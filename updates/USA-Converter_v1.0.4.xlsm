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1v\Development\USA-Converter\actions-runner\actions-runner\_work\USA-Converter\USA-Converter\target\"/>
    </mc:Choice>
  </mc:AlternateContent>
  <xr:revisionPtr revIDLastSave="0" documentId="13_ncr:1_{4E0FAB3F-B1FC-4851-8262-55626A8C950F}" xr6:coauthVersionLast="47" xr6:coauthVersionMax="47" xr10:uidLastSave="{00000000-0000-0000-0000-000000000000}"/>
  <workbookProtection workbookAlgorithmName="SHA-512" workbookHashValue="pba+u61sDTIlZilr/hy5uYSb4DZ7P15w9/os2nM+i0HLOEdCHvpSZ74fwSVh3c6dt8A1ssneNb07Jz6upa9B3A==" workbookSaltValue="d8uv4t5IwI8zRc7z6aABnw==" workbookSpinCount="100000" lockStructure="1"/>
  <bookViews>
    <workbookView xWindow="7452" yWindow="7452" windowWidth="6828" windowHeight="2496" xr2:uid="{00000000-000D-0000-FFFF-FFFF00000000}"/>
  </bookViews>
  <sheets>
    <sheet name="MENU" sheetId="15" r:id="rId1"/>
    <sheet name="Tax_Report_for CPA" sheetId="45" r:id="rId2"/>
    <sheet name="CPA_Detail" sheetId="16" r:id="rId3"/>
    <sheet name="支払税額計算" sheetId="17" r:id="rId4"/>
    <sheet name="DB" sheetId="14" state="veryHidden" r:id="rId5"/>
    <sheet name="テンプレ" sheetId="8" state="veryHidden" r:id="rId6"/>
    <sheet name="マスタ" sheetId="18" state="veryHidden" r:id="rId7"/>
    <sheet name="為替データ" sheetId="30" state="veryHidden" r:id="rId8"/>
    <sheet name="事業所得" sheetId="46" r:id="rId9"/>
    <sheet name="不動産所得" sheetId="47" r:id="rId10"/>
    <sheet name="総合配当" sheetId="48" r:id="rId11"/>
    <sheet name="給与所得" sheetId="49" r:id="rId12"/>
    <sheet name="総合譲渡" sheetId="50" r:id="rId13"/>
    <sheet name="一時所得" sheetId="51" r:id="rId14"/>
    <sheet name="分離譲渡" sheetId="52" r:id="rId15"/>
    <sheet name="分離株式譲渡" sheetId="53" r:id="rId16"/>
    <sheet name="山林所得" sheetId="54" r:id="rId17"/>
    <sheet name="退職所得" sheetId="55" r:id="rId18"/>
    <sheet name="分離配当" sheetId="56" r:id="rId19"/>
    <sheet name="先物取引" sheetId="57" r:id="rId20"/>
    <sheet name="雑所得" sheetId="58" r:id="rId21"/>
    <sheet name="申告不要分" sheetId="59" r:id="rId22"/>
    <sheet name="確認・使い方" sheetId="23" r:id="rId23"/>
    <sheet name="詳細設定" sheetId="24" r:id="rId24"/>
  </sheets>
  <functionGroups builtInGroupCount="19"/>
  <definedNames>
    <definedName name="_xlnm._FilterDatabase" localSheetId="6" hidden="1">マスタ!$A$1:$I$31</definedName>
    <definedName name="AcquisitionDate">DB!$N$1</definedName>
    <definedName name="Amount_FX">DB!$L$1</definedName>
    <definedName name="Amount_JPY">DB!$H$1</definedName>
    <definedName name="Broker">DB!$F$1</definedName>
    <definedName name="Category">DB!$D$1</definedName>
    <definedName name="Cost_FX">DB!$Q$1</definedName>
    <definedName name="Cost_JPY">DB!$M$1</definedName>
    <definedName name="Cost_Rate">DB!$P$1</definedName>
    <definedName name="Cost_RateType">DB!$O$1</definedName>
    <definedName name="Country">DB!$C$1</definedName>
    <definedName name="CPA_Categories">マスタ!$D$2:$D$20</definedName>
    <definedName name="CPA_RateTypes">マスタ!$A$2:$A$11</definedName>
    <definedName name="Description">DB!$E$1</definedName>
    <definedName name="Description_JP">DB!$E$1</definedName>
    <definedName name="Expense_FX">DB!$U$1</definedName>
    <definedName name="Expense_JPY">DB!$R$1</definedName>
    <definedName name="Expense_Rate">DB!$T$1</definedName>
    <definedName name="Expense_RateType">DB!$S$1</definedName>
    <definedName name="ForeignTax_FX">DB!$AA$1</definedName>
    <definedName name="ForeignTax_JP">DB!$X$1</definedName>
    <definedName name="ForeignTax_JPY">DB!$X$1</definedName>
    <definedName name="ForeignTax_Rate">DB!$Z$1</definedName>
    <definedName name="ForeignTax_RateType">DB!$Y$1</definedName>
    <definedName name="Form">DB!$AJ$1</definedName>
    <definedName name="FTC">DB!$AL$1</definedName>
    <definedName name="JPTax_FX">DB!$AI$1</definedName>
    <definedName name="JPTax_JPY">DB!$AF$1</definedName>
    <definedName name="JPTax_Rate">DB!$AH$1</definedName>
    <definedName name="JPTax_RateType">DB!$AG$1</definedName>
    <definedName name="Line">DB!$AK$1</definedName>
    <definedName name="NetIncome_FX">DB!$W$1</definedName>
    <definedName name="NetIncome_JPY">DB!$V$1</definedName>
    <definedName name="Payer">DB!$G$1</definedName>
    <definedName name="_xlnm.Print_Area" localSheetId="2">CPA_Detail!$A$1:$J$5</definedName>
    <definedName name="_xlnm.Print_Area" localSheetId="0">MENU!$A$1:$L$41</definedName>
    <definedName name="_xlnm.Print_Area" localSheetId="1">'Tax_Report_for CPA'!$A$1:$J$34</definedName>
    <definedName name="_xlnm.Print_Area" localSheetId="5">テンプレ!$A$1:$J$38</definedName>
    <definedName name="_xlnm.Print_Area" localSheetId="13">一時所得!$A$1:$J$38</definedName>
    <definedName name="_xlnm.Print_Area" localSheetId="22">確認・使い方!$B$1:$H$47</definedName>
    <definedName name="_xlnm.Print_Area" localSheetId="11">給与所得!$A$1:$J$38</definedName>
    <definedName name="_xlnm.Print_Area" localSheetId="20">雑所得!$A$1:$J$38</definedName>
    <definedName name="_xlnm.Print_Area" localSheetId="16">山林所得!$A$1:$J$38</definedName>
    <definedName name="_xlnm.Print_Area" localSheetId="3">支払税額計算!$A$1:$I$37</definedName>
    <definedName name="_xlnm.Print_Area" localSheetId="8">事業所得!$A$1:$J$38</definedName>
    <definedName name="_xlnm.Print_Area" localSheetId="23">詳細設定!$B$1:$H$21</definedName>
    <definedName name="_xlnm.Print_Area" localSheetId="21">申告不要分!$A$1:$J$38</definedName>
    <definedName name="_xlnm.Print_Area" localSheetId="19">先物取引!$A$1:$J$38</definedName>
    <definedName name="_xlnm.Print_Area" localSheetId="12">総合譲渡!$A$1:$J$38</definedName>
    <definedName name="_xlnm.Print_Area" localSheetId="10">総合配当!$A$1:$J$38</definedName>
    <definedName name="_xlnm.Print_Area" localSheetId="17">退職所得!$A$1:$J$38</definedName>
    <definedName name="_xlnm.Print_Area" localSheetId="9">不動産所得!$A$1:$J$38</definedName>
    <definedName name="_xlnm.Print_Area" localSheetId="15">分離株式譲渡!$A$1:$J$38</definedName>
    <definedName name="_xlnm.Print_Area" localSheetId="14">分離譲渡!$A$1:$J$38</definedName>
    <definedName name="_xlnm.Print_Area" localSheetId="18">分離配当!$A$1:$J$38</definedName>
    <definedName name="_xlnm.Print_Titles" localSheetId="2">CPA_Detail!$1:$5</definedName>
    <definedName name="Sale_Date">DB!$I$1</definedName>
    <definedName name="Sale_Rate">DB!$K$1</definedName>
    <definedName name="Sale_RateType">DB!$J$1</definedName>
    <definedName name="Source">DB!$AM$1</definedName>
    <definedName name="Timestamp">DB!$A$1</definedName>
    <definedName name="USA_CONVERTER_DATA_SCHEMA" hidden="1">2</definedName>
    <definedName name="USTax_FX">DB!$AE$1</definedName>
    <definedName name="USTax_JPY">DB!$AB$1</definedName>
    <definedName name="USTax_Rate">DB!$AD$1</definedName>
    <definedName name="USTax_RateType">DB!$AC$1</definedName>
    <definedName name="Year">DB!$B$1</definedName>
    <definedName name="Z_AED1A6D3_A4E7_45F8_93C4_DE2B3261C45F_.wvu.FilterData" localSheetId="6" hidden="1">マスタ!$A$1:$I$31</definedName>
    <definedName name="Z_AED1A6D3_A4E7_45F8_93C4_DE2B3261C45F_.wvu.PrintArea" localSheetId="0" hidden="1">MENU!$A$1:$L$40</definedName>
    <definedName name="Z_AED1A6D3_A4E7_45F8_93C4_DE2B3261C45F_.wvu.PrintArea" localSheetId="1" hidden="1">'Tax_Report_for CPA'!$A$1:$J$34</definedName>
    <definedName name="Z_AED1A6D3_A4E7_45F8_93C4_DE2B3261C45F_.wvu.PrintArea" localSheetId="5" hidden="1">テンプレ!$A$1:$P$38</definedName>
    <definedName name="Z_AED1A6D3_A4E7_45F8_93C4_DE2B3261C45F_.wvu.PrintArea" localSheetId="3" hidden="1">支払税額計算!$A$1:$I$28</definedName>
    <definedName name="テンプレ_AcquisitionDate">テンプレ!$D$10</definedName>
    <definedName name="テンプレ_Amount_FX">テンプレ!$G$7</definedName>
    <definedName name="テンプレ_Amount_JPY">テンプレ!$C$7</definedName>
    <definedName name="テンプレ_AmountJPY">テンプレ!$C$7</definedName>
    <definedName name="テンプレ_Area">テンプレ!$A$1:$G$24</definedName>
    <definedName name="テンプレ_Broker">テンプレ!$F$4</definedName>
    <definedName name="テンプレ_Category">テンプレ!$D$4</definedName>
    <definedName name="テンプレ_Cost_FX">テンプレ!$G$10</definedName>
    <definedName name="テンプレ_Cost_JPY">テンプレ!$C$10</definedName>
    <definedName name="テンプレ_Cost_Rate">テンプレ!$F$10</definedName>
    <definedName name="テンプレ_Cost_RateType">テンプレ!$E$10</definedName>
    <definedName name="テンプレ_Country">テンプレ!$C$4</definedName>
    <definedName name="テンプレ_Description">テンプレ!$E$4</definedName>
    <definedName name="テンプレ_Expense_FX">テンプレ!$G$14</definedName>
    <definedName name="テンプレ_Expense_JPY">テンプレ!$C$14</definedName>
    <definedName name="テンプレ_Expense_Rate">テンプレ!$F$14</definedName>
    <definedName name="テンプレ_Expense_RateType">テンプレ!$E$14</definedName>
    <definedName name="テンプレ_ForeignTax_FX">テンプレ!$G$21</definedName>
    <definedName name="テンプレ_ForeignTax_JPY">テンプレ!$C$21</definedName>
    <definedName name="テンプレ_ForeignTax_Rate">テンプレ!$F$21</definedName>
    <definedName name="テンプレ_ForeignTax_RateType">テンプレ!$E$21</definedName>
    <definedName name="テンプレ_Form">テンプレ!$H$4</definedName>
    <definedName name="テンプレ_FTC">テンプレ!$J$4</definedName>
    <definedName name="テンプレ_JPTax_FX">テンプレ!$G$23</definedName>
    <definedName name="テンプレ_JPTax_JPY">テンプレ!$C$23</definedName>
    <definedName name="テンプレ_JPTax_Rate">テンプレ!$F$23</definedName>
    <definedName name="テンプレ_JPTax_RateType">テンプレ!$E$23</definedName>
    <definedName name="テンプレ_Line">テンプレ!$I$4</definedName>
    <definedName name="テンプレ_NetIncome_FX">テンプレ!$D$18</definedName>
    <definedName name="テンプレ_NetIncome_JPY">テンプレ!$C$18</definedName>
    <definedName name="テンプレ_Payer">テンプレ!$G$4</definedName>
    <definedName name="テンプレ_Sale_Date">テンプレ!$D$7</definedName>
    <definedName name="テンプレ_Sale_Rate">テンプレ!$F$7</definedName>
    <definedName name="テンプレ_Sale_RateType">テンプレ!$E$7</definedName>
    <definedName name="テンプレ_Saledate">テンプレ!$D$7</definedName>
    <definedName name="テンプレ_Title">テンプレ!$A$27</definedName>
    <definedName name="テンプレ_USTax_FX">テンプレ!$G$22</definedName>
    <definedName name="テンプレ_USTax_JPY">テンプレ!$C$22</definedName>
    <definedName name="テンプレ_USTax_Rate">テンプレ!$F$22</definedName>
    <definedName name="テンプレ_USTax_RateType">テンプレ!$E$22</definedName>
    <definedName name="テンプレ_Year">テンプレ!$B$4</definedName>
    <definedName name="一時所得_AcquisitionDate">一時所得!$D$10</definedName>
    <definedName name="一時所得_Amount_FX">一時所得!$G$7</definedName>
    <definedName name="一時所得_Amount_JPY">一時所得!$C$7</definedName>
    <definedName name="一時所得_AmountJPY">一時所得!$C$7</definedName>
    <definedName name="一時所得_Area">一時所得!$A$1:$G$24</definedName>
    <definedName name="一時所得_Broker">一時所得!$F$4</definedName>
    <definedName name="一時所得_Category">一時所得!$D$4</definedName>
    <definedName name="一時所得_Cost_FX">一時所得!$G$10</definedName>
    <definedName name="一時所得_Cost_JPY">一時所得!$C$10</definedName>
    <definedName name="一時所得_Cost_Rate">一時所得!$F$10</definedName>
    <definedName name="一時所得_Cost_RateType">一時所得!$E$10</definedName>
    <definedName name="一時所得_Country">一時所得!$C$4</definedName>
    <definedName name="一時所得_Description">一時所得!$E$4</definedName>
    <definedName name="一時所得_Expense_FX">一時所得!$G$14</definedName>
    <definedName name="一時所得_Expense_JPY">一時所得!$C$14</definedName>
    <definedName name="一時所得_Expense_Rate">一時所得!$F$14</definedName>
    <definedName name="一時所得_Expense_RateType">一時所得!$E$14</definedName>
    <definedName name="一時所得_ForeignTax_FX">一時所得!$G$21</definedName>
    <definedName name="一時所得_ForeignTax_JPY">一時所得!$C$21</definedName>
    <definedName name="一時所得_ForeignTax_Rate">一時所得!$F$21</definedName>
    <definedName name="一時所得_ForeignTax_RateType">一時所得!$E$21</definedName>
    <definedName name="一時所得_Form">一時所得!$H$4</definedName>
    <definedName name="一時所得_FTC">一時所得!$J$4</definedName>
    <definedName name="一時所得_JPTax_FX">一時所得!$G$23</definedName>
    <definedName name="一時所得_JPTax_JPY">一時所得!$C$23</definedName>
    <definedName name="一時所得_JPTax_Rate">一時所得!$F$23</definedName>
    <definedName name="一時所得_JPTax_RateType">一時所得!$E$23</definedName>
    <definedName name="一時所得_Line">一時所得!$I$4</definedName>
    <definedName name="一時所得_NetIncome_FX">一時所得!$D$18</definedName>
    <definedName name="一時所得_NetIncome_JPY">一時所得!$C$18</definedName>
    <definedName name="一時所得_Payer">一時所得!$G$4</definedName>
    <definedName name="一時所得_Sale_Date">一時所得!$D$7</definedName>
    <definedName name="一時所得_Sale_Rate">一時所得!$F$7</definedName>
    <definedName name="一時所得_Sale_RateType">一時所得!$E$7</definedName>
    <definedName name="一時所得_Saledate">一時所得!$D$7</definedName>
    <definedName name="一時所得_Title">一時所得!$A$27</definedName>
    <definedName name="一時所得_USTax_FX">一時所得!$G$22</definedName>
    <definedName name="一時所得_USTax_JPY">一時所得!$C$22</definedName>
    <definedName name="一時所得_USTax_Rate">一時所得!$F$22</definedName>
    <definedName name="一時所得_USTax_RateType">一時所得!$E$22</definedName>
    <definedName name="一時所得_Year">一時所得!$B$4</definedName>
    <definedName name="給与所得_AcquisitionDate">給与所得!$D$10</definedName>
    <definedName name="給与所得_Amount_FX">給与所得!$G$7</definedName>
    <definedName name="給与所得_Amount_JPY">給与所得!$C$7</definedName>
    <definedName name="給与所得_AmountJPY">給与所得!$C$7</definedName>
    <definedName name="給与所得_Area">給与所得!$A$1:$G$24</definedName>
    <definedName name="給与所得_Broker">給与所得!$F$4</definedName>
    <definedName name="給与所得_Category">給与所得!$D$4</definedName>
    <definedName name="給与所得_Cost_FX">給与所得!$G$10</definedName>
    <definedName name="給与所得_Cost_JPY">給与所得!$C$10</definedName>
    <definedName name="給与所得_Cost_Rate">給与所得!$F$10</definedName>
    <definedName name="給与所得_Cost_RateType">給与所得!$E$10</definedName>
    <definedName name="給与所得_Country">給与所得!$C$4</definedName>
    <definedName name="給与所得_Description">給与所得!$E$4</definedName>
    <definedName name="給与所得_Expense_FX">給与所得!$G$14</definedName>
    <definedName name="給与所得_Expense_JPY">給与所得!$C$14</definedName>
    <definedName name="給与所得_Expense_Rate">給与所得!$F$14</definedName>
    <definedName name="給与所得_Expense_RateType">給与所得!$E$14</definedName>
    <definedName name="給与所得_ForeignTax_FX">給与所得!$G$21</definedName>
    <definedName name="給与所得_ForeignTax_JPY">給与所得!$C$21</definedName>
    <definedName name="給与所得_ForeignTax_Rate">給与所得!$F$21</definedName>
    <definedName name="給与所得_ForeignTax_RateType">給与所得!$E$21</definedName>
    <definedName name="給与所得_Form">給与所得!$H$4</definedName>
    <definedName name="給与所得_FTC">給与所得!$J$4</definedName>
    <definedName name="給与所得_JPTax_FX">給与所得!$G$23</definedName>
    <definedName name="給与所得_JPTax_JPY">給与所得!$C$23</definedName>
    <definedName name="給与所得_JPTax_Rate">給与所得!$F$23</definedName>
    <definedName name="給与所得_JPTax_RateType">給与所得!$E$23</definedName>
    <definedName name="給与所得_Line">給与所得!$I$4</definedName>
    <definedName name="給与所得_NetIncome_FX">給与所得!$D$18</definedName>
    <definedName name="給与所得_NetIncome_JPY">給与所得!$C$18</definedName>
    <definedName name="給与所得_Payer">給与所得!$G$4</definedName>
    <definedName name="給与所得_Sale_Date">給与所得!$D$7</definedName>
    <definedName name="給与所得_Sale_Rate">給与所得!$F$7</definedName>
    <definedName name="給与所得_Sale_RateType">給与所得!$E$7</definedName>
    <definedName name="給与所得_Saledate">給与所得!$D$7</definedName>
    <definedName name="給与所得_Title">給与所得!$A$27</definedName>
    <definedName name="給与所得_USTax_FX">給与所得!$G$22</definedName>
    <definedName name="給与所得_USTax_JPY">給与所得!$C$22</definedName>
    <definedName name="給与所得_USTax_Rate">給与所得!$F$22</definedName>
    <definedName name="給与所得_USTax_RateType">給与所得!$E$22</definedName>
    <definedName name="給与所得_Year">給与所得!$B$4</definedName>
    <definedName name="雑所得_AcquisitionDate">雑所得!$D$10</definedName>
    <definedName name="雑所得_Amount_FX">雑所得!$G$7</definedName>
    <definedName name="雑所得_Amount_JPY">雑所得!$C$7</definedName>
    <definedName name="雑所得_AmountJPY">雑所得!$C$7</definedName>
    <definedName name="雑所得_Area">雑所得!$A$1:$G$24</definedName>
    <definedName name="雑所得_Broker">雑所得!$F$4</definedName>
    <definedName name="雑所得_Category">雑所得!$D$4</definedName>
    <definedName name="雑所得_Cost_FX">雑所得!$G$10</definedName>
    <definedName name="雑所得_Cost_JPY">雑所得!$C$10</definedName>
    <definedName name="雑所得_Cost_Rate">雑所得!$F$10</definedName>
    <definedName name="雑所得_Cost_RateType">雑所得!$E$10</definedName>
    <definedName name="雑所得_Country">雑所得!$C$4</definedName>
    <definedName name="雑所得_Description">雑所得!$E$4</definedName>
    <definedName name="雑所得_Expense_FX">雑所得!$G$14</definedName>
    <definedName name="雑所得_Expense_JPY">雑所得!$C$14</definedName>
    <definedName name="雑所得_Expense_Rate">雑所得!$F$14</definedName>
    <definedName name="雑所得_Expense_RateType">雑所得!$E$14</definedName>
    <definedName name="雑所得_ForeignTax_FX">雑所得!$G$21</definedName>
    <definedName name="雑所得_ForeignTax_JPY">雑所得!$C$21</definedName>
    <definedName name="雑所得_ForeignTax_Rate">雑所得!$F$21</definedName>
    <definedName name="雑所得_ForeignTax_RateType">雑所得!$E$21</definedName>
    <definedName name="雑所得_Form">雑所得!$H$4</definedName>
    <definedName name="雑所得_FTC">雑所得!$J$4</definedName>
    <definedName name="雑所得_JPTax_FX">雑所得!$G$23</definedName>
    <definedName name="雑所得_JPTax_JPY">雑所得!$C$23</definedName>
    <definedName name="雑所得_JPTax_Rate">雑所得!$F$23</definedName>
    <definedName name="雑所得_JPTax_RateType">雑所得!$E$23</definedName>
    <definedName name="雑所得_Line">雑所得!$I$4</definedName>
    <definedName name="雑所得_NetIncome_FX">雑所得!$D$18</definedName>
    <definedName name="雑所得_NetIncome_JPY">雑所得!$C$18</definedName>
    <definedName name="雑所得_Payer">雑所得!$G$4</definedName>
    <definedName name="雑所得_Sale_Date">雑所得!$D$7</definedName>
    <definedName name="雑所得_Sale_Rate">雑所得!$F$7</definedName>
    <definedName name="雑所得_Sale_RateType">雑所得!$E$7</definedName>
    <definedName name="雑所得_Saledate">雑所得!$D$7</definedName>
    <definedName name="雑所得_Title">雑所得!$A$27</definedName>
    <definedName name="雑所得_USTax_FX">雑所得!$G$22</definedName>
    <definedName name="雑所得_USTax_JPY">雑所得!$C$22</definedName>
    <definedName name="雑所得_USTax_Rate">雑所得!$F$22</definedName>
    <definedName name="雑所得_USTax_RateType">雑所得!$E$22</definedName>
    <definedName name="雑所得_Year">雑所得!$B$4</definedName>
    <definedName name="山林所得_AcquisitionDate">山林所得!$D$10</definedName>
    <definedName name="山林所得_Amount_FX">山林所得!$G$7</definedName>
    <definedName name="山林所得_Amount_JPY">山林所得!$C$7</definedName>
    <definedName name="山林所得_AmountJPY">山林所得!$C$7</definedName>
    <definedName name="山林所得_Area">山林所得!$A$1:$G$24</definedName>
    <definedName name="山林所得_Broker">山林所得!$F$4</definedName>
    <definedName name="山林所得_Category">山林所得!$D$4</definedName>
    <definedName name="山林所得_Cost_FX">山林所得!$G$10</definedName>
    <definedName name="山林所得_Cost_JPY">山林所得!$C$10</definedName>
    <definedName name="山林所得_Cost_Rate">山林所得!$F$10</definedName>
    <definedName name="山林所得_Cost_RateType">山林所得!$E$10</definedName>
    <definedName name="山林所得_Country">山林所得!$C$4</definedName>
    <definedName name="山林所得_Description">山林所得!$E$4</definedName>
    <definedName name="山林所得_Expense_FX">山林所得!$G$14</definedName>
    <definedName name="山林所得_Expense_JPY">山林所得!$C$14</definedName>
    <definedName name="山林所得_Expense_Rate">山林所得!$F$14</definedName>
    <definedName name="山林所得_Expense_RateType">山林所得!$E$14</definedName>
    <definedName name="山林所得_ForeignTax_FX">山林所得!$G$21</definedName>
    <definedName name="山林所得_ForeignTax_JPY">山林所得!$C$21</definedName>
    <definedName name="山林所得_ForeignTax_Rate">山林所得!$F$21</definedName>
    <definedName name="山林所得_ForeignTax_RateType">山林所得!$E$21</definedName>
    <definedName name="山林所得_Form">山林所得!$H$4</definedName>
    <definedName name="山林所得_FTC">山林所得!$J$4</definedName>
    <definedName name="山林所得_JPTax_FX">山林所得!$G$23</definedName>
    <definedName name="山林所得_JPTax_JPY">山林所得!$C$23</definedName>
    <definedName name="山林所得_JPTax_Rate">山林所得!$F$23</definedName>
    <definedName name="山林所得_JPTax_RateType">山林所得!$E$23</definedName>
    <definedName name="山林所得_Line">山林所得!$I$4</definedName>
    <definedName name="山林所得_NetIncome_FX">山林所得!$D$18</definedName>
    <definedName name="山林所得_NetIncome_JPY">山林所得!$C$18</definedName>
    <definedName name="山林所得_Payer">山林所得!$G$4</definedName>
    <definedName name="山林所得_Sale_Date">山林所得!$D$7</definedName>
    <definedName name="山林所得_Sale_Rate">山林所得!$F$7</definedName>
    <definedName name="山林所得_Sale_RateType">山林所得!$E$7</definedName>
    <definedName name="山林所得_Saledate">山林所得!$D$7</definedName>
    <definedName name="山林所得_Title">山林所得!$A$27</definedName>
    <definedName name="山林所得_USTax_FX">山林所得!$G$22</definedName>
    <definedName name="山林所得_USTax_JPY">山林所得!$C$22</definedName>
    <definedName name="山林所得_USTax_Rate">山林所得!$F$22</definedName>
    <definedName name="山林所得_USTax_RateType">山林所得!$E$22</definedName>
    <definedName name="山林所得_Year">山林所得!$B$4</definedName>
    <definedName name="事業所得_AcquisitionDate">事業所得!$D$10</definedName>
    <definedName name="事業所得_Amount_FX">事業所得!$G$7</definedName>
    <definedName name="事業所得_Amount_JPY">事業所得!$C$7</definedName>
    <definedName name="事業所得_AmountJPY">事業所得!$C$7</definedName>
    <definedName name="事業所得_Area">事業所得!$A$1:$G$24</definedName>
    <definedName name="事業所得_Broker">事業所得!$F$4</definedName>
    <definedName name="事業所得_Category">事業所得!$D$4</definedName>
    <definedName name="事業所得_Cost_FX">事業所得!$G$10</definedName>
    <definedName name="事業所得_Cost_JPY">事業所得!$C$10</definedName>
    <definedName name="事業所得_Cost_Rate">事業所得!$F$10</definedName>
    <definedName name="事業所得_Cost_RateType">事業所得!$E$10</definedName>
    <definedName name="事業所得_Country">事業所得!$C$4</definedName>
    <definedName name="事業所得_Description">事業所得!$E$4</definedName>
    <definedName name="事業所得_Expense_FX">事業所得!$G$14</definedName>
    <definedName name="事業所得_Expense_JPY">事業所得!$C$14</definedName>
    <definedName name="事業所得_Expense_Rate">事業所得!$F$14</definedName>
    <definedName name="事業所得_Expense_RateType">事業所得!$E$14</definedName>
    <definedName name="事業所得_ForeignTax_FX">事業所得!$G$21</definedName>
    <definedName name="事業所得_ForeignTax_JPY">事業所得!$C$21</definedName>
    <definedName name="事業所得_ForeignTax_Rate">事業所得!$F$21</definedName>
    <definedName name="事業所得_ForeignTax_RateType">事業所得!$E$21</definedName>
    <definedName name="事業所得_Form">事業所得!$H$4</definedName>
    <definedName name="事業所得_FTC">事業所得!$J$4</definedName>
    <definedName name="事業所得_JPTax_FX">事業所得!$G$23</definedName>
    <definedName name="事業所得_JPTax_JPY">事業所得!$C$23</definedName>
    <definedName name="事業所得_JPTax_Rate">事業所得!$F$23</definedName>
    <definedName name="事業所得_JPTax_RateType">事業所得!$E$23</definedName>
    <definedName name="事業所得_Line">事業所得!$I$4</definedName>
    <definedName name="事業所得_NetIncome_FX">事業所得!$D$18</definedName>
    <definedName name="事業所得_NetIncome_JPY">事業所得!$C$18</definedName>
    <definedName name="事業所得_Payer">事業所得!$G$4</definedName>
    <definedName name="事業所得_Sale_Date">事業所得!$D$7</definedName>
    <definedName name="事業所得_Sale_Rate">事業所得!$F$7</definedName>
    <definedName name="事業所得_Sale_RateType">事業所得!$E$7</definedName>
    <definedName name="事業所得_Saledate">事業所得!$D$7</definedName>
    <definedName name="事業所得_Title">事業所得!$A$27</definedName>
    <definedName name="事業所得_USTax_FX">事業所得!$G$22</definedName>
    <definedName name="事業所得_USTax_JPY">事業所得!$C$22</definedName>
    <definedName name="事業所得_USTax_Rate">事業所得!$F$22</definedName>
    <definedName name="事業所得_USTax_RateType">事業所得!$E$22</definedName>
    <definedName name="事業所得_Year">事業所得!$B$4</definedName>
    <definedName name="申告不要分_AcquisitionDate">申告不要分!$D$10</definedName>
    <definedName name="申告不要分_Amount_FX">申告不要分!$G$7</definedName>
    <definedName name="申告不要分_Amount_JPY">申告不要分!$C$7</definedName>
    <definedName name="申告不要分_AmountJPY">申告不要分!$C$7</definedName>
    <definedName name="申告不要分_Area">申告不要分!$A$1:$G$24</definedName>
    <definedName name="申告不要分_Broker">申告不要分!$F$4</definedName>
    <definedName name="申告不要分_Category">申告不要分!$D$4</definedName>
    <definedName name="申告不要分_Cost_FX">申告不要分!$G$10</definedName>
    <definedName name="申告不要分_Cost_JPY">申告不要分!$C$10</definedName>
    <definedName name="申告不要分_Cost_Rate">申告不要分!$F$10</definedName>
    <definedName name="申告不要分_Cost_RateType">申告不要分!$E$10</definedName>
    <definedName name="申告不要分_Country">申告不要分!$C$4</definedName>
    <definedName name="申告不要分_Description">申告不要分!$E$4</definedName>
    <definedName name="申告不要分_Expense_FX">申告不要分!$G$14</definedName>
    <definedName name="申告不要分_Expense_JPY">申告不要分!$C$14</definedName>
    <definedName name="申告不要分_Expense_Rate">申告不要分!$F$14</definedName>
    <definedName name="申告不要分_Expense_RateType">申告不要分!$E$14</definedName>
    <definedName name="申告不要分_ForeignTax_FX">申告不要分!$G$21</definedName>
    <definedName name="申告不要分_ForeignTax_JPY">申告不要分!$C$21</definedName>
    <definedName name="申告不要分_ForeignTax_Rate">申告不要分!$F$21</definedName>
    <definedName name="申告不要分_ForeignTax_RateType">申告不要分!$E$21</definedName>
    <definedName name="申告不要分_Form">申告不要分!$H$4</definedName>
    <definedName name="申告不要分_FTC">申告不要分!$J$4</definedName>
    <definedName name="申告不要分_JPTax_FX">申告不要分!$G$23</definedName>
    <definedName name="申告不要分_JPTax_JPY">申告不要分!$C$23</definedName>
    <definedName name="申告不要分_JPTax_Rate">申告不要分!$F$23</definedName>
    <definedName name="申告不要分_JPTax_RateType">申告不要分!$E$23</definedName>
    <definedName name="申告不要分_Line">申告不要分!$I$4</definedName>
    <definedName name="申告不要分_NetIncome_FX">申告不要分!$D$18</definedName>
    <definedName name="申告不要分_NetIncome_JPY">申告不要分!$C$18</definedName>
    <definedName name="申告不要分_Payer">申告不要分!$G$4</definedName>
    <definedName name="申告不要分_Sale_Date">申告不要分!$D$7</definedName>
    <definedName name="申告不要分_Sale_Rate">申告不要分!$F$7</definedName>
    <definedName name="申告不要分_Sale_RateType">申告不要分!$E$7</definedName>
    <definedName name="申告不要分_Saledate">申告不要分!$D$7</definedName>
    <definedName name="申告不要分_Title">申告不要分!$A$27</definedName>
    <definedName name="申告不要分_USTax_FX">申告不要分!$G$22</definedName>
    <definedName name="申告不要分_USTax_JPY">申告不要分!$C$22</definedName>
    <definedName name="申告不要分_USTax_Rate">申告不要分!$F$22</definedName>
    <definedName name="申告不要分_USTax_RateType">申告不要分!$E$22</definedName>
    <definedName name="申告不要分_Year">申告不要分!$B$4</definedName>
    <definedName name="先物取引_AcquisitionDate">先物取引!$D$10</definedName>
    <definedName name="先物取引_Amount_FX">先物取引!$G$7</definedName>
    <definedName name="先物取引_Amount_JPY">先物取引!$C$7</definedName>
    <definedName name="先物取引_AmountJPY">先物取引!$C$7</definedName>
    <definedName name="先物取引_Area">先物取引!$A$1:$G$24</definedName>
    <definedName name="先物取引_Broker">先物取引!$F$4</definedName>
    <definedName name="先物取引_Category">先物取引!$D$4</definedName>
    <definedName name="先物取引_Cost_FX">先物取引!$G$10</definedName>
    <definedName name="先物取引_Cost_JPY">先物取引!$C$10</definedName>
    <definedName name="先物取引_Cost_Rate">先物取引!$F$10</definedName>
    <definedName name="先物取引_Cost_RateType">先物取引!$E$10</definedName>
    <definedName name="先物取引_Country">先物取引!$C$4</definedName>
    <definedName name="先物取引_Description">先物取引!$E$4</definedName>
    <definedName name="先物取引_Expense_FX">先物取引!$G$14</definedName>
    <definedName name="先物取引_Expense_JPY">先物取引!$C$14</definedName>
    <definedName name="先物取引_Expense_Rate">先物取引!$F$14</definedName>
    <definedName name="先物取引_Expense_RateType">先物取引!$E$14</definedName>
    <definedName name="先物取引_ForeignTax_FX">先物取引!$G$21</definedName>
    <definedName name="先物取引_ForeignTax_JPY">先物取引!$C$21</definedName>
    <definedName name="先物取引_ForeignTax_Rate">先物取引!$F$21</definedName>
    <definedName name="先物取引_ForeignTax_RateType">先物取引!$E$21</definedName>
    <definedName name="先物取引_Form">先物取引!$H$4</definedName>
    <definedName name="先物取引_FTC">先物取引!$J$4</definedName>
    <definedName name="先物取引_JPTax_FX">先物取引!$G$23</definedName>
    <definedName name="先物取引_JPTax_JPY">先物取引!$C$23</definedName>
    <definedName name="先物取引_JPTax_Rate">先物取引!$F$23</definedName>
    <definedName name="先物取引_JPTax_RateType">先物取引!$E$23</definedName>
    <definedName name="先物取引_Line">先物取引!$I$4</definedName>
    <definedName name="先物取引_NetIncome_FX">先物取引!$D$18</definedName>
    <definedName name="先物取引_NetIncome_JPY">先物取引!$C$18</definedName>
    <definedName name="先物取引_Payer">先物取引!$G$4</definedName>
    <definedName name="先物取引_Sale_Date">先物取引!$D$7</definedName>
    <definedName name="先物取引_Sale_Rate">先物取引!$F$7</definedName>
    <definedName name="先物取引_Sale_RateType">先物取引!$E$7</definedName>
    <definedName name="先物取引_Saledate">先物取引!$D$7</definedName>
    <definedName name="先物取引_Title">先物取引!$A$27</definedName>
    <definedName name="先物取引_USTax_FX">先物取引!$G$22</definedName>
    <definedName name="先物取引_USTax_JPY">先物取引!$C$22</definedName>
    <definedName name="先物取引_USTax_Rate">先物取引!$F$22</definedName>
    <definedName name="先物取引_USTax_RateType">先物取引!$E$22</definedName>
    <definedName name="先物取引_Year">先物取引!$B$4</definedName>
    <definedName name="総合譲渡_AcquisitionDate">総合譲渡!$D$10</definedName>
    <definedName name="総合譲渡_Amount_FX">総合譲渡!$G$7</definedName>
    <definedName name="総合譲渡_Amount_JPY">総合譲渡!$C$7</definedName>
    <definedName name="総合譲渡_AmountJPY">総合譲渡!$C$7</definedName>
    <definedName name="総合譲渡_Area">総合譲渡!$A$1:$G$24</definedName>
    <definedName name="総合譲渡_Broker">総合譲渡!$F$4</definedName>
    <definedName name="総合譲渡_Category">総合譲渡!$D$4</definedName>
    <definedName name="総合譲渡_Cost_FX">総合譲渡!$G$10</definedName>
    <definedName name="総合譲渡_Cost_JPY">総合譲渡!$C$10</definedName>
    <definedName name="総合譲渡_Cost_Rate">総合譲渡!$F$10</definedName>
    <definedName name="総合譲渡_Cost_RateType">総合譲渡!$E$10</definedName>
    <definedName name="総合譲渡_Country">総合譲渡!$C$4</definedName>
    <definedName name="総合譲渡_Description">総合譲渡!$E$4</definedName>
    <definedName name="総合譲渡_Expense_FX">総合譲渡!$G$14</definedName>
    <definedName name="総合譲渡_Expense_JPY">総合譲渡!$C$14</definedName>
    <definedName name="総合譲渡_Expense_Rate">総合譲渡!$F$14</definedName>
    <definedName name="総合譲渡_Expense_RateType">総合譲渡!$E$14</definedName>
    <definedName name="総合譲渡_ForeignTax_FX">総合譲渡!$G$21</definedName>
    <definedName name="総合譲渡_ForeignTax_JPY">総合譲渡!$C$21</definedName>
    <definedName name="総合譲渡_ForeignTax_Rate">総合譲渡!$F$21</definedName>
    <definedName name="総合譲渡_ForeignTax_RateType">総合譲渡!$E$21</definedName>
    <definedName name="総合譲渡_Form">総合譲渡!$H$4</definedName>
    <definedName name="総合譲渡_FTC">総合譲渡!$J$4</definedName>
    <definedName name="総合譲渡_JPTax_FX">総合譲渡!$G$23</definedName>
    <definedName name="総合譲渡_JPTax_JPY">総合譲渡!$C$23</definedName>
    <definedName name="総合譲渡_JPTax_Rate">総合譲渡!$F$23</definedName>
    <definedName name="総合譲渡_JPTax_RateType">総合譲渡!$E$23</definedName>
    <definedName name="総合譲渡_Line">総合譲渡!$I$4</definedName>
    <definedName name="総合譲渡_NetIncome_FX">総合譲渡!$D$18</definedName>
    <definedName name="総合譲渡_NetIncome_JPY">総合譲渡!$C$18</definedName>
    <definedName name="総合譲渡_Payer">総合譲渡!$G$4</definedName>
    <definedName name="総合譲渡_Sale_Date">総合譲渡!$D$7</definedName>
    <definedName name="総合譲渡_Sale_Rate">総合譲渡!$F$7</definedName>
    <definedName name="総合譲渡_Sale_RateType">総合譲渡!$E$7</definedName>
    <definedName name="総合譲渡_Saledate">総合譲渡!$D$7</definedName>
    <definedName name="総合譲渡_Title">総合譲渡!$A$27</definedName>
    <definedName name="総合譲渡_USTax_FX">総合譲渡!$G$22</definedName>
    <definedName name="総合譲渡_USTax_JPY">総合譲渡!$C$22</definedName>
    <definedName name="総合譲渡_USTax_Rate">総合譲渡!$F$22</definedName>
    <definedName name="総合譲渡_USTax_RateType">総合譲渡!$E$22</definedName>
    <definedName name="総合譲渡_Year">総合譲渡!$B$4</definedName>
    <definedName name="総合配当_AcquisitionDate">総合配当!$D$10</definedName>
    <definedName name="総合配当_Amount_FX">総合配当!$G$7</definedName>
    <definedName name="総合配当_Amount_JPY">総合配当!$C$7</definedName>
    <definedName name="総合配当_AmountJPY">総合配当!$C$7</definedName>
    <definedName name="総合配当_Area">総合配当!$A$1:$G$24</definedName>
    <definedName name="総合配当_Broker">総合配当!$F$4</definedName>
    <definedName name="総合配当_Category">総合配当!$D$4</definedName>
    <definedName name="総合配当_Cost_FX">総合配当!$G$10</definedName>
    <definedName name="総合配当_Cost_JPY">総合配当!$C$10</definedName>
    <definedName name="総合配当_Cost_Rate">総合配当!$F$10</definedName>
    <definedName name="総合配当_Cost_RateType">総合配当!$E$10</definedName>
    <definedName name="総合配当_Country">総合配当!$C$4</definedName>
    <definedName name="総合配当_Description">総合配当!$E$4</definedName>
    <definedName name="総合配当_Expense_FX">総合配当!$G$14</definedName>
    <definedName name="総合配当_Expense_JPY">総合配当!$C$14</definedName>
    <definedName name="総合配当_Expense_Rate">総合配当!$F$14</definedName>
    <definedName name="総合配当_Expense_RateType">総合配当!$E$14</definedName>
    <definedName name="総合配当_ForeignTax_FX">総合配当!$G$21</definedName>
    <definedName name="総合配当_ForeignTax_JPY">総合配当!$C$21</definedName>
    <definedName name="総合配当_ForeignTax_Rate">総合配当!$F$21</definedName>
    <definedName name="総合配当_ForeignTax_RateType">総合配当!$E$21</definedName>
    <definedName name="総合配当_Form">総合配当!$H$4</definedName>
    <definedName name="総合配当_FTC">総合配当!$J$4</definedName>
    <definedName name="総合配当_JPTax_FX">総合配当!$G$23</definedName>
    <definedName name="総合配当_JPTax_JPY">総合配当!$C$23</definedName>
    <definedName name="総合配当_JPTax_Rate">総合配当!$F$23</definedName>
    <definedName name="総合配当_JPTax_RateType">総合配当!$E$23</definedName>
    <definedName name="総合配当_Line">総合配当!$I$4</definedName>
    <definedName name="総合配当_NetIncome_FX">総合配当!$D$18</definedName>
    <definedName name="総合配当_NetIncome_JPY">総合配当!$C$18</definedName>
    <definedName name="総合配当_Payer">総合配当!$G$4</definedName>
    <definedName name="総合配当_Sale_Date">総合配当!$D$7</definedName>
    <definedName name="総合配当_Sale_Rate">総合配当!$F$7</definedName>
    <definedName name="総合配当_Sale_RateType">総合配当!$E$7</definedName>
    <definedName name="総合配当_Saledate">総合配当!$D$7</definedName>
    <definedName name="総合配当_Title">総合配当!$A$27</definedName>
    <definedName name="総合配当_USTax_FX">総合配当!$G$22</definedName>
    <definedName name="総合配当_USTax_JPY">総合配当!$C$22</definedName>
    <definedName name="総合配当_USTax_Rate">総合配当!$F$22</definedName>
    <definedName name="総合配当_USTax_RateType">総合配当!$E$22</definedName>
    <definedName name="総合配当_Year">総合配当!$B$4</definedName>
    <definedName name="退職所得_AcquisitionDate">退職所得!$D$10</definedName>
    <definedName name="退職所得_Amount_FX">退職所得!$G$7</definedName>
    <definedName name="退職所得_Amount_JPY">退職所得!$C$7</definedName>
    <definedName name="退職所得_AmountJPY">退職所得!$C$7</definedName>
    <definedName name="退職所得_Area">退職所得!$A$1:$G$24</definedName>
    <definedName name="退職所得_Broker">退職所得!$F$4</definedName>
    <definedName name="退職所得_Category">退職所得!$D$4</definedName>
    <definedName name="退職所得_Cost_FX">退職所得!$G$10</definedName>
    <definedName name="退職所得_Cost_JPY">退職所得!$C$10</definedName>
    <definedName name="退職所得_Cost_Rate">退職所得!$F$10</definedName>
    <definedName name="退職所得_Cost_RateType">退職所得!$E$10</definedName>
    <definedName name="退職所得_Country">退職所得!$C$4</definedName>
    <definedName name="退職所得_Description">退職所得!$E$4</definedName>
    <definedName name="退職所得_Expense_FX">退職所得!$G$14</definedName>
    <definedName name="退職所得_Expense_JPY">退職所得!$C$14</definedName>
    <definedName name="退職所得_Expense_Rate">退職所得!$F$14</definedName>
    <definedName name="退職所得_Expense_RateType">退職所得!$E$14</definedName>
    <definedName name="退職所得_ForeignTax_FX">退職所得!$G$21</definedName>
    <definedName name="退職所得_ForeignTax_JPY">退職所得!$C$21</definedName>
    <definedName name="退職所得_ForeignTax_Rate">退職所得!$F$21</definedName>
    <definedName name="退職所得_ForeignTax_RateType">退職所得!$E$21</definedName>
    <definedName name="退職所得_Form">退職所得!$H$4</definedName>
    <definedName name="退職所得_FTC">退職所得!$J$4</definedName>
    <definedName name="退職所得_JPTax_FX">退職所得!$G$23</definedName>
    <definedName name="退職所得_JPTax_JPY">退職所得!$C$23</definedName>
    <definedName name="退職所得_JPTax_Rate">退職所得!$F$23</definedName>
    <definedName name="退職所得_JPTax_RateType">退職所得!$E$23</definedName>
    <definedName name="退職所得_Line">退職所得!$I$4</definedName>
    <definedName name="退職所得_NetIncome_FX">退職所得!$D$18</definedName>
    <definedName name="退職所得_NetIncome_JPY">退職所得!$C$18</definedName>
    <definedName name="退職所得_Payer">退職所得!$G$4</definedName>
    <definedName name="退職所得_Sale_Date">退職所得!$D$7</definedName>
    <definedName name="退職所得_Sale_Rate">退職所得!$F$7</definedName>
    <definedName name="退職所得_Sale_RateType">退職所得!$E$7</definedName>
    <definedName name="退職所得_Saledate">退職所得!$D$7</definedName>
    <definedName name="退職所得_Title">退職所得!$A$27</definedName>
    <definedName name="退職所得_USTax_FX">退職所得!$G$22</definedName>
    <definedName name="退職所得_USTax_JPY">退職所得!$C$22</definedName>
    <definedName name="退職所得_USTax_Rate">退職所得!$F$22</definedName>
    <definedName name="退職所得_USTax_RateType">退職所得!$E$22</definedName>
    <definedName name="退職所得_Year">退職所得!$B$4</definedName>
    <definedName name="不動産所得_AcquisitionDate">不動産所得!$D$10</definedName>
    <definedName name="不動産所得_Amount_FX">不動産所得!$G$7</definedName>
    <definedName name="不動産所得_Amount_JPY">不動産所得!$C$7</definedName>
    <definedName name="不動産所得_AmountJPY">不動産所得!$C$7</definedName>
    <definedName name="不動産所得_Area">不動産所得!$A$1:$G$24</definedName>
    <definedName name="不動産所得_Broker">不動産所得!$F$4</definedName>
    <definedName name="不動産所得_Category">不動産所得!$D$4</definedName>
    <definedName name="不動産所得_Cost_FX">不動産所得!$G$10</definedName>
    <definedName name="不動産所得_Cost_JPY">不動産所得!$C$10</definedName>
    <definedName name="不動産所得_Cost_Rate">不動産所得!$F$10</definedName>
    <definedName name="不動産所得_Cost_RateType">不動産所得!$E$10</definedName>
    <definedName name="不動産所得_Country">不動産所得!$C$4</definedName>
    <definedName name="不動産所得_Description">不動産所得!$E$4</definedName>
    <definedName name="不動産所得_Expense_FX">不動産所得!$G$14</definedName>
    <definedName name="不動産所得_Expense_JPY">不動産所得!$C$14</definedName>
    <definedName name="不動産所得_Expense_Rate">不動産所得!$F$14</definedName>
    <definedName name="不動産所得_Expense_RateType">不動産所得!$E$14</definedName>
    <definedName name="不動産所得_ForeignTax_FX">不動産所得!$G$21</definedName>
    <definedName name="不動産所得_ForeignTax_JPY">不動産所得!$C$21</definedName>
    <definedName name="不動産所得_ForeignTax_Rate">不動産所得!$F$21</definedName>
    <definedName name="不動産所得_ForeignTax_RateType">不動産所得!$E$21</definedName>
    <definedName name="不動産所得_Form">不動産所得!$H$4</definedName>
    <definedName name="不動産所得_FTC">不動産所得!$J$4</definedName>
    <definedName name="不動産所得_JPTax_FX">不動産所得!$G$23</definedName>
    <definedName name="不動産所得_JPTax_JPY">不動産所得!$C$23</definedName>
    <definedName name="不動産所得_JPTax_Rate">不動産所得!$F$23</definedName>
    <definedName name="不動産所得_JPTax_RateType">不動産所得!$E$23</definedName>
    <definedName name="不動産所得_Line">不動産所得!$I$4</definedName>
    <definedName name="不動産所得_NetIncome_FX">不動産所得!$D$18</definedName>
    <definedName name="不動産所得_NetIncome_JPY">不動産所得!$C$18</definedName>
    <definedName name="不動産所得_Payer">不動産所得!$G$4</definedName>
    <definedName name="不動産所得_Sale_Date">不動産所得!$D$7</definedName>
    <definedName name="不動産所得_Sale_Rate">不動産所得!$F$7</definedName>
    <definedName name="不動産所得_Sale_RateType">不動産所得!$E$7</definedName>
    <definedName name="不動産所得_Saledate">不動産所得!$D$7</definedName>
    <definedName name="不動産所得_Title">不動産所得!$A$27</definedName>
    <definedName name="不動産所得_USTax_FX">不動産所得!$G$22</definedName>
    <definedName name="不動産所得_USTax_JPY">不動産所得!$C$22</definedName>
    <definedName name="不動産所得_USTax_Rate">不動産所得!$F$22</definedName>
    <definedName name="不動産所得_USTax_RateType">不動産所得!$E$22</definedName>
    <definedName name="不動産所得_Year">不動産所得!$B$4</definedName>
    <definedName name="分離株式譲渡_AcquisitionDate">分離株式譲渡!$D$10</definedName>
    <definedName name="分離株式譲渡_Amount_FX">分離株式譲渡!$G$7</definedName>
    <definedName name="分離株式譲渡_Amount_JPY">分離株式譲渡!$C$7</definedName>
    <definedName name="分離株式譲渡_AmountJPY">分離株式譲渡!$C$7</definedName>
    <definedName name="分離株式譲渡_Area">分離株式譲渡!$A$1:$G$24</definedName>
    <definedName name="分離株式譲渡_Broker">分離株式譲渡!$F$4</definedName>
    <definedName name="分離株式譲渡_Category">分離株式譲渡!$D$4</definedName>
    <definedName name="分離株式譲渡_Cost_FX">分離株式譲渡!$G$10</definedName>
    <definedName name="分離株式譲渡_Cost_JPY">分離株式譲渡!$C$10</definedName>
    <definedName name="分離株式譲渡_Cost_Rate">分離株式譲渡!$F$10</definedName>
    <definedName name="分離株式譲渡_Cost_RateType">分離株式譲渡!$E$10</definedName>
    <definedName name="分離株式譲渡_Country">分離株式譲渡!$C$4</definedName>
    <definedName name="分離株式譲渡_Description">分離株式譲渡!$E$4</definedName>
    <definedName name="分離株式譲渡_Expense_FX">分離株式譲渡!$G$14</definedName>
    <definedName name="分離株式譲渡_Expense_JPY">分離株式譲渡!$C$14</definedName>
    <definedName name="分離株式譲渡_Expense_Rate">分離株式譲渡!$F$14</definedName>
    <definedName name="分離株式譲渡_Expense_RateType">分離株式譲渡!$E$14</definedName>
    <definedName name="分離株式譲渡_ForeignTax_FX">分離株式譲渡!$G$21</definedName>
    <definedName name="分離株式譲渡_ForeignTax_JPY">分離株式譲渡!$C$21</definedName>
    <definedName name="分離株式譲渡_ForeignTax_Rate">分離株式譲渡!$F$21</definedName>
    <definedName name="分離株式譲渡_ForeignTax_RateType">分離株式譲渡!$E$21</definedName>
    <definedName name="分離株式譲渡_Form">分離株式譲渡!$H$4</definedName>
    <definedName name="分離株式譲渡_FTC">分離株式譲渡!$J$4</definedName>
    <definedName name="分離株式譲渡_JPTax_FX">分離株式譲渡!$G$23</definedName>
    <definedName name="分離株式譲渡_JPTax_JPY">分離株式譲渡!$C$23</definedName>
    <definedName name="分離株式譲渡_JPTax_Rate">分離株式譲渡!$F$23</definedName>
    <definedName name="分離株式譲渡_JPTax_RateType">分離株式譲渡!$E$23</definedName>
    <definedName name="分離株式譲渡_Line">分離株式譲渡!$I$4</definedName>
    <definedName name="分離株式譲渡_NetIncome_FX">分離株式譲渡!$D$18</definedName>
    <definedName name="分離株式譲渡_NetIncome_JPY">分離株式譲渡!$C$18</definedName>
    <definedName name="分離株式譲渡_Payer">分離株式譲渡!$G$4</definedName>
    <definedName name="分離株式譲渡_Sale_Date">分離株式譲渡!$D$7</definedName>
    <definedName name="分離株式譲渡_Sale_Rate">分離株式譲渡!$F$7</definedName>
    <definedName name="分離株式譲渡_Sale_RateType">分離株式譲渡!$E$7</definedName>
    <definedName name="分離株式譲渡_Saledate">分離株式譲渡!$D$7</definedName>
    <definedName name="分離株式譲渡_Title">分離株式譲渡!$A$27</definedName>
    <definedName name="分離株式譲渡_USTax_FX">分離株式譲渡!$G$22</definedName>
    <definedName name="分離株式譲渡_USTax_JPY">分離株式譲渡!$C$22</definedName>
    <definedName name="分離株式譲渡_USTax_Rate">分離株式譲渡!$F$22</definedName>
    <definedName name="分離株式譲渡_USTax_RateType">分離株式譲渡!$E$22</definedName>
    <definedName name="分離株式譲渡_Year">分離株式譲渡!$B$4</definedName>
    <definedName name="分離譲渡_AcquisitionDate">分離譲渡!$D$10</definedName>
    <definedName name="分離譲渡_Amount_FX">分離譲渡!$G$7</definedName>
    <definedName name="分離譲渡_Amount_JPY">分離譲渡!$C$7</definedName>
    <definedName name="分離譲渡_AmountJPY">分離譲渡!$C$7</definedName>
    <definedName name="分離譲渡_Area">分離譲渡!$A$1:$G$24</definedName>
    <definedName name="分離譲渡_Broker">分離譲渡!$F$4</definedName>
    <definedName name="分離譲渡_Category">分離譲渡!$D$4</definedName>
    <definedName name="分離譲渡_Cost_FX">分離譲渡!$G$10</definedName>
    <definedName name="分離譲渡_Cost_JPY">分離譲渡!$C$10</definedName>
    <definedName name="分離譲渡_Cost_Rate">分離譲渡!$F$10</definedName>
    <definedName name="分離譲渡_Cost_RateType">分離譲渡!$E$10</definedName>
    <definedName name="分離譲渡_Country">分離譲渡!$C$4</definedName>
    <definedName name="分離譲渡_Description">分離譲渡!$E$4</definedName>
    <definedName name="分離譲渡_Expense_FX">分離譲渡!$G$14</definedName>
    <definedName name="分離譲渡_Expense_JPY">分離譲渡!$C$14</definedName>
    <definedName name="分離譲渡_Expense_Rate">分離譲渡!$F$14</definedName>
    <definedName name="分離譲渡_Expense_RateType">分離譲渡!$E$14</definedName>
    <definedName name="分離譲渡_ForeignTax_FX">分離譲渡!$G$21</definedName>
    <definedName name="分離譲渡_ForeignTax_JPY">分離譲渡!$C$21</definedName>
    <definedName name="分離譲渡_ForeignTax_Rate">分離譲渡!$F$21</definedName>
    <definedName name="分離譲渡_ForeignTax_RateType">分離譲渡!$E$21</definedName>
    <definedName name="分離譲渡_Form">分離譲渡!$H$4</definedName>
    <definedName name="分離譲渡_FTC">分離譲渡!$J$4</definedName>
    <definedName name="分離譲渡_JPTax_FX">分離譲渡!$G$23</definedName>
    <definedName name="分離譲渡_JPTax_JPY">分離譲渡!$C$23</definedName>
    <definedName name="分離譲渡_JPTax_Rate">分離譲渡!$F$23</definedName>
    <definedName name="分離譲渡_JPTax_RateType">分離譲渡!$E$23</definedName>
    <definedName name="分離譲渡_Line">分離譲渡!$I$4</definedName>
    <definedName name="分離譲渡_NetIncome_FX">分離譲渡!$D$18</definedName>
    <definedName name="分離譲渡_NetIncome_JPY">分離譲渡!$C$18</definedName>
    <definedName name="分離譲渡_Payer">分離譲渡!$G$4</definedName>
    <definedName name="分離譲渡_Sale_Date">分離譲渡!$D$7</definedName>
    <definedName name="分離譲渡_Sale_Rate">分離譲渡!$F$7</definedName>
    <definedName name="分離譲渡_Sale_RateType">分離譲渡!$E$7</definedName>
    <definedName name="分離譲渡_Saledate">分離譲渡!$D$7</definedName>
    <definedName name="分離譲渡_Title">分離譲渡!$A$27</definedName>
    <definedName name="分離譲渡_USTax_FX">分離譲渡!$G$22</definedName>
    <definedName name="分離譲渡_USTax_JPY">分離譲渡!$C$22</definedName>
    <definedName name="分離譲渡_USTax_Rate">分離譲渡!$F$22</definedName>
    <definedName name="分離譲渡_USTax_RateType">分離譲渡!$E$22</definedName>
    <definedName name="分離譲渡_Year">分離譲渡!$B$4</definedName>
    <definedName name="分離配当_AcquisitionDate">分離配当!$D$10</definedName>
    <definedName name="分離配当_Amount_FX">分離配当!$G$7</definedName>
    <definedName name="分離配当_Amount_JPY">分離配当!$C$7</definedName>
    <definedName name="分離配当_AmountJPY">分離配当!$C$7</definedName>
    <definedName name="分離配当_Area">分離配当!$A$1:$G$24</definedName>
    <definedName name="分離配当_Broker">分離配当!$F$4</definedName>
    <definedName name="分離配当_Category">分離配当!$D$4</definedName>
    <definedName name="分離配当_Cost_FX">分離配当!$G$10</definedName>
    <definedName name="分離配当_Cost_JPY">分離配当!$C$10</definedName>
    <definedName name="分離配当_Cost_Rate">分離配当!$F$10</definedName>
    <definedName name="分離配当_Cost_RateType">分離配当!$E$10</definedName>
    <definedName name="分離配当_Country">分離配当!$C$4</definedName>
    <definedName name="分離配当_Description">分離配当!$E$4</definedName>
    <definedName name="分離配当_Expense_FX">分離配当!$G$14</definedName>
    <definedName name="分離配当_Expense_JPY">分離配当!$C$14</definedName>
    <definedName name="分離配当_Expense_Rate">分離配当!$F$14</definedName>
    <definedName name="分離配当_Expense_RateType">分離配当!$E$14</definedName>
    <definedName name="分離配当_ForeignTax_FX">分離配当!$G$21</definedName>
    <definedName name="分離配当_ForeignTax_JPY">分離配当!$C$21</definedName>
    <definedName name="分離配当_ForeignTax_Rate">分離配当!$F$21</definedName>
    <definedName name="分離配当_ForeignTax_RateType">分離配当!$E$21</definedName>
    <definedName name="分離配当_Form">分離配当!$H$4</definedName>
    <definedName name="分離配当_FTC">分離配当!$J$4</definedName>
    <definedName name="分離配当_JPTax_FX">分離配当!$G$23</definedName>
    <definedName name="分離配当_JPTax_JPY">分離配当!$C$23</definedName>
    <definedName name="分離配当_JPTax_Rate">分離配当!$F$23</definedName>
    <definedName name="分離配当_JPTax_RateType">分離配当!$E$23</definedName>
    <definedName name="分離配当_Line">分離配当!$I$4</definedName>
    <definedName name="分離配当_NetIncome_FX">分離配当!$D$18</definedName>
    <definedName name="分離配当_NetIncome_JPY">分離配当!$C$18</definedName>
    <definedName name="分離配当_Payer">分離配当!$G$4</definedName>
    <definedName name="分離配当_Sale_Date">分離配当!$D$7</definedName>
    <definedName name="分離配当_Sale_Rate">分離配当!$F$7</definedName>
    <definedName name="分離配当_Sale_RateType">分離配当!$E$7</definedName>
    <definedName name="分離配当_Saledate">分離配当!$D$7</definedName>
    <definedName name="分離配当_Title">分離配当!$A$27</definedName>
    <definedName name="分離配当_USTax_FX">分離配当!$G$22</definedName>
    <definedName name="分離配当_USTax_JPY">分離配当!$C$22</definedName>
    <definedName name="分離配当_USTax_Rate">分離配当!$F$22</definedName>
    <definedName name="分離配当_USTax_RateType">分離配当!$E$22</definedName>
    <definedName name="分離配当_Year">分離配当!$B$4</definedName>
  </definedNames>
  <calcPr calcId="191029" forceFullCalc="1"/>
  <customWorkbookViews>
    <customWorkbookView name="ユーザー" guid="{AED1A6D3-A4E7-45F8-93C4-DE2B3261C45F}" maximized="1" xWindow="-9" yWindow="-9" windowWidth="1938" windowHeight="1038" activeSheetId="15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3" i="23" l="1"/>
  <c r="D33" i="23"/>
  <c r="C33" i="23"/>
  <c r="F32" i="23"/>
  <c r="D32" i="23"/>
  <c r="C32" i="23"/>
  <c r="F31" i="23"/>
  <c r="D31" i="23"/>
  <c r="C31" i="23"/>
  <c r="F30" i="23"/>
  <c r="D30" i="23"/>
  <c r="C30" i="23"/>
  <c r="F29" i="23"/>
  <c r="D29" i="23"/>
  <c r="C29" i="23"/>
  <c r="F28" i="23"/>
  <c r="D28" i="23"/>
  <c r="C28" i="23"/>
  <c r="F27" i="23"/>
  <c r="D27" i="23"/>
  <c r="C27" i="23"/>
  <c r="F26" i="23"/>
  <c r="D26" i="23"/>
  <c r="C26" i="23"/>
  <c r="F25" i="23"/>
  <c r="D25" i="23"/>
  <c r="C25" i="23"/>
  <c r="F24" i="23"/>
  <c r="D24" i="23"/>
  <c r="C24" i="23"/>
  <c r="F23" i="23"/>
  <c r="D23" i="23"/>
  <c r="C23" i="23"/>
  <c r="F22" i="23"/>
  <c r="D22" i="23"/>
  <c r="C22" i="23"/>
  <c r="F21" i="23"/>
  <c r="D21" i="23"/>
  <c r="C21" i="23"/>
  <c r="F20" i="23"/>
  <c r="D20" i="23"/>
  <c r="C20" i="23"/>
  <c r="B21" i="24"/>
  <c r="A2" i="16"/>
  <c r="G37" i="17"/>
  <c r="D37" i="17"/>
  <c r="G36" i="17"/>
  <c r="D36" i="17"/>
  <c r="D35" i="17"/>
  <c r="D10" i="17" s="1"/>
  <c r="G34" i="17"/>
  <c r="D34" i="17"/>
  <c r="E28" i="17"/>
  <c r="D28" i="17"/>
  <c r="G26" i="17"/>
  <c r="F26" i="17"/>
  <c r="E26" i="17"/>
  <c r="D26" i="17"/>
  <c r="E22" i="17"/>
  <c r="D22" i="17"/>
  <c r="F19" i="17"/>
  <c r="F18" i="17"/>
  <c r="G13" i="17"/>
  <c r="D13" i="17"/>
  <c r="D12" i="17"/>
  <c r="G12" i="17" s="1"/>
  <c r="D11" i="17"/>
  <c r="D8" i="17"/>
  <c r="G8" i="17" s="1"/>
  <c r="D7" i="17"/>
  <c r="D6" i="17"/>
  <c r="G28" i="45"/>
  <c r="F28" i="45"/>
  <c r="G27" i="45"/>
  <c r="F27" i="45"/>
  <c r="H26" i="45"/>
  <c r="G26" i="45"/>
  <c r="F26" i="45"/>
  <c r="G25" i="45"/>
  <c r="F25" i="45"/>
  <c r="G24" i="45"/>
  <c r="F24" i="45"/>
  <c r="G23" i="45"/>
  <c r="F23" i="45"/>
  <c r="J19" i="45"/>
  <c r="I19" i="45"/>
  <c r="H19" i="45"/>
  <c r="G19" i="45"/>
  <c r="F19" i="45"/>
  <c r="J17" i="45"/>
  <c r="I17" i="45"/>
  <c r="H17" i="45"/>
  <c r="G17" i="45"/>
  <c r="F17" i="45"/>
  <c r="J16" i="45"/>
  <c r="I16" i="45"/>
  <c r="H16" i="45"/>
  <c r="G16" i="45"/>
  <c r="F16" i="45"/>
  <c r="J15" i="45"/>
  <c r="I15" i="45"/>
  <c r="H15" i="45"/>
  <c r="G15" i="45"/>
  <c r="F15" i="45"/>
  <c r="J14" i="45"/>
  <c r="I14" i="45"/>
  <c r="H14" i="45"/>
  <c r="G14" i="45"/>
  <c r="F14" i="45"/>
  <c r="J13" i="45"/>
  <c r="I13" i="45"/>
  <c r="H13" i="45"/>
  <c r="G13" i="45"/>
  <c r="F13" i="45"/>
  <c r="J12" i="45"/>
  <c r="I12" i="45"/>
  <c r="H12" i="45"/>
  <c r="G12" i="45"/>
  <c r="F12" i="45"/>
  <c r="J11" i="45"/>
  <c r="I11" i="45"/>
  <c r="H11" i="45"/>
  <c r="G11" i="45"/>
  <c r="F11" i="45"/>
  <c r="J10" i="45"/>
  <c r="I10" i="45"/>
  <c r="H10" i="45"/>
  <c r="G10" i="45"/>
  <c r="F10" i="45"/>
  <c r="J9" i="45"/>
  <c r="I9" i="45"/>
  <c r="H9" i="45"/>
  <c r="G9" i="45"/>
  <c r="F9" i="45"/>
  <c r="A5" i="45"/>
  <c r="A4" i="45"/>
  <c r="G23" i="59"/>
  <c r="G22" i="59"/>
  <c r="G21" i="59"/>
  <c r="D18" i="59"/>
  <c r="C18" i="59"/>
  <c r="G14" i="59"/>
  <c r="G10" i="59"/>
  <c r="G7" i="59"/>
  <c r="J4" i="59"/>
  <c r="I4" i="59"/>
  <c r="H4" i="59"/>
  <c r="B4" i="59"/>
  <c r="G23" i="58"/>
  <c r="G22" i="58"/>
  <c r="G21" i="58"/>
  <c r="D18" i="58"/>
  <c r="C18" i="58"/>
  <c r="G14" i="58"/>
  <c r="G10" i="58"/>
  <c r="G7" i="58"/>
  <c r="J4" i="58"/>
  <c r="I4" i="58"/>
  <c r="H4" i="58"/>
  <c r="B4" i="58"/>
  <c r="G23" i="57"/>
  <c r="G22" i="57"/>
  <c r="G21" i="57"/>
  <c r="D18" i="57"/>
  <c r="C18" i="57"/>
  <c r="G14" i="57"/>
  <c r="G10" i="57"/>
  <c r="G7" i="57"/>
  <c r="J4" i="57"/>
  <c r="I4" i="57"/>
  <c r="H4" i="57"/>
  <c r="B4" i="57"/>
  <c r="G23" i="56"/>
  <c r="G22" i="56"/>
  <c r="G21" i="56"/>
  <c r="D18" i="56"/>
  <c r="C18" i="56"/>
  <c r="G14" i="56"/>
  <c r="G10" i="56"/>
  <c r="G7" i="56"/>
  <c r="J4" i="56"/>
  <c r="I4" i="56"/>
  <c r="H4" i="56"/>
  <c r="B4" i="56"/>
  <c r="G23" i="55"/>
  <c r="G22" i="55"/>
  <c r="G21" i="55"/>
  <c r="D18" i="55"/>
  <c r="C18" i="55"/>
  <c r="G14" i="55"/>
  <c r="G10" i="55"/>
  <c r="G7" i="55"/>
  <c r="J4" i="55"/>
  <c r="I4" i="55"/>
  <c r="H4" i="55"/>
  <c r="B4" i="55"/>
  <c r="G23" i="54"/>
  <c r="G22" i="54"/>
  <c r="G21" i="54"/>
  <c r="D18" i="54"/>
  <c r="C18" i="54"/>
  <c r="G14" i="54"/>
  <c r="G10" i="54"/>
  <c r="G7" i="54"/>
  <c r="J4" i="54"/>
  <c r="I4" i="54"/>
  <c r="H4" i="54"/>
  <c r="B4" i="54"/>
  <c r="G23" i="53"/>
  <c r="G22" i="53"/>
  <c r="G21" i="53"/>
  <c r="D18" i="53"/>
  <c r="C18" i="53"/>
  <c r="G14" i="53"/>
  <c r="G10" i="53"/>
  <c r="G7" i="53"/>
  <c r="J4" i="53"/>
  <c r="I4" i="53"/>
  <c r="H4" i="53"/>
  <c r="B4" i="53"/>
  <c r="G23" i="52"/>
  <c r="G22" i="52"/>
  <c r="G21" i="52"/>
  <c r="D18" i="52"/>
  <c r="C18" i="52"/>
  <c r="G14" i="52"/>
  <c r="G10" i="52"/>
  <c r="G7" i="52"/>
  <c r="J4" i="52"/>
  <c r="I4" i="52"/>
  <c r="H4" i="52"/>
  <c r="B4" i="52"/>
  <c r="G23" i="51"/>
  <c r="G22" i="51"/>
  <c r="G21" i="51"/>
  <c r="D18" i="51"/>
  <c r="C18" i="51"/>
  <c r="G14" i="51"/>
  <c r="G10" i="51"/>
  <c r="G7" i="51"/>
  <c r="J4" i="51"/>
  <c r="I4" i="51"/>
  <c r="H4" i="51"/>
  <c r="B4" i="51"/>
  <c r="G23" i="50"/>
  <c r="G22" i="50"/>
  <c r="G21" i="50"/>
  <c r="D18" i="50"/>
  <c r="C18" i="50"/>
  <c r="G14" i="50"/>
  <c r="G10" i="50"/>
  <c r="G7" i="50"/>
  <c r="J4" i="50"/>
  <c r="I4" i="50"/>
  <c r="H4" i="50"/>
  <c r="B4" i="50"/>
  <c r="G23" i="49"/>
  <c r="G22" i="49"/>
  <c r="G21" i="49"/>
  <c r="D18" i="49"/>
  <c r="C18" i="49"/>
  <c r="G14" i="49"/>
  <c r="G10" i="49"/>
  <c r="G7" i="49"/>
  <c r="J4" i="49"/>
  <c r="I4" i="49"/>
  <c r="H4" i="49"/>
  <c r="B4" i="49"/>
  <c r="G23" i="48"/>
  <c r="G22" i="48"/>
  <c r="G21" i="48"/>
  <c r="D18" i="48"/>
  <c r="C18" i="48"/>
  <c r="G14" i="48"/>
  <c r="G10" i="48"/>
  <c r="G7" i="48"/>
  <c r="J4" i="48"/>
  <c r="I4" i="48"/>
  <c r="H4" i="48"/>
  <c r="B4" i="48"/>
  <c r="G23" i="47"/>
  <c r="G22" i="47"/>
  <c r="G21" i="47"/>
  <c r="D18" i="47"/>
  <c r="C18" i="47"/>
  <c r="G14" i="47"/>
  <c r="G10" i="47"/>
  <c r="G7" i="47"/>
  <c r="J4" i="47"/>
  <c r="I4" i="47"/>
  <c r="H4" i="47"/>
  <c r="B4" i="47"/>
  <c r="G23" i="46"/>
  <c r="G22" i="46"/>
  <c r="G21" i="46"/>
  <c r="D18" i="46"/>
  <c r="C18" i="46"/>
  <c r="G14" i="46"/>
  <c r="G10" i="46"/>
  <c r="G7" i="46"/>
  <c r="J4" i="46"/>
  <c r="I4" i="46"/>
  <c r="H4" i="46"/>
  <c r="B4" i="46"/>
  <c r="F52" i="15"/>
  <c r="B48" i="15"/>
  <c r="E2" i="15"/>
  <c r="G23" i="8"/>
  <c r="G22" i="8"/>
  <c r="G21" i="8"/>
  <c r="D18" i="8"/>
  <c r="C18" i="8"/>
  <c r="G14" i="8"/>
  <c r="G10" i="8"/>
  <c r="G7" i="8"/>
  <c r="J4" i="8"/>
  <c r="I4" i="8"/>
  <c r="H4" i="8"/>
  <c r="B4" i="8"/>
  <c r="F8" i="17"/>
  <c r="F23" i="59"/>
  <c r="F22" i="59"/>
  <c r="F21" i="59"/>
  <c r="F14" i="59"/>
  <c r="F10" i="59"/>
  <c r="F7" i="59"/>
  <c r="F23" i="58"/>
  <c r="F22" i="58"/>
  <c r="F21" i="58"/>
  <c r="F14" i="58"/>
  <c r="F10" i="58"/>
  <c r="F7" i="58"/>
  <c r="F23" i="57"/>
  <c r="F22" i="57"/>
  <c r="F21" i="57"/>
  <c r="F14" i="57"/>
  <c r="F10" i="57"/>
  <c r="F7" i="57"/>
  <c r="F23" i="56"/>
  <c r="F22" i="56"/>
  <c r="F21" i="56"/>
  <c r="F14" i="56"/>
  <c r="F10" i="56"/>
  <c r="F7" i="56"/>
  <c r="F23" i="55"/>
  <c r="F22" i="55"/>
  <c r="F21" i="55"/>
  <c r="F14" i="55"/>
  <c r="F10" i="55"/>
  <c r="F7" i="55"/>
  <c r="F23" i="54"/>
  <c r="F22" i="54"/>
  <c r="F21" i="54"/>
  <c r="F14" i="54"/>
  <c r="F10" i="54"/>
  <c r="F7" i="54"/>
  <c r="F23" i="53"/>
  <c r="F22" i="53"/>
  <c r="F21" i="53"/>
  <c r="F14" i="53"/>
  <c r="F10" i="53"/>
  <c r="F7" i="53"/>
  <c r="F23" i="52"/>
  <c r="F22" i="52"/>
  <c r="F21" i="52"/>
  <c r="F14" i="52"/>
  <c r="F10" i="52"/>
  <c r="F7" i="52"/>
  <c r="F23" i="51"/>
  <c r="F22" i="51"/>
  <c r="F21" i="51"/>
  <c r="F14" i="51"/>
  <c r="F10" i="51"/>
  <c r="F7" i="51"/>
  <c r="F23" i="50"/>
  <c r="F22" i="50"/>
  <c r="F21" i="50"/>
  <c r="F14" i="50"/>
  <c r="F10" i="50"/>
  <c r="F7" i="50"/>
  <c r="F23" i="49"/>
  <c r="F22" i="49"/>
  <c r="F21" i="49"/>
  <c r="F14" i="49"/>
  <c r="F10" i="49"/>
  <c r="F7" i="49"/>
  <c r="F23" i="48"/>
  <c r="F22" i="48"/>
  <c r="F21" i="48"/>
  <c r="F14" i="48"/>
  <c r="F10" i="48"/>
  <c r="F7" i="48"/>
  <c r="F23" i="47"/>
  <c r="F22" i="47"/>
  <c r="F21" i="47"/>
  <c r="F14" i="47"/>
  <c r="F10" i="47"/>
  <c r="F7" i="47"/>
  <c r="F23" i="46"/>
  <c r="F22" i="46"/>
  <c r="F21" i="46"/>
  <c r="F14" i="46"/>
  <c r="F10" i="46"/>
  <c r="F7" i="46"/>
  <c r="F23" i="8"/>
  <c r="F22" i="8"/>
  <c r="F21" i="8"/>
  <c r="F14" i="8"/>
  <c r="F10" i="8"/>
  <c r="F7" i="8"/>
  <c r="E23" i="23" l="1"/>
  <c r="E27" i="23"/>
  <c r="E20" i="23"/>
  <c r="E32" i="23"/>
  <c r="E26" i="23"/>
  <c r="E22" i="23"/>
  <c r="E30" i="23"/>
  <c r="E31" i="23"/>
  <c r="E24" i="23"/>
  <c r="E28" i="23"/>
  <c r="E21" i="23"/>
  <c r="E25" i="23"/>
  <c r="E29" i="23"/>
  <c r="E33" i="23"/>
  <c r="E19" i="17"/>
  <c r="D19" i="17"/>
  <c r="E18" i="17"/>
  <c r="D18" i="17"/>
  <c r="F13" i="17"/>
  <c r="F12" i="17"/>
  <c r="G10" i="17"/>
  <c r="G18" i="17" l="1"/>
  <c r="G19" i="17"/>
  <c r="H22" i="17"/>
  <c r="I22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<sst xmlns="http://schemas.openxmlformats.org/spreadsheetml/2006/main" count="2100" uniqueCount="355">
  <si>
    <t>Country（国）</t>
  </si>
  <si>
    <t>Category（区分）</t>
  </si>
  <si>
    <t>Description（内容）</t>
  </si>
  <si>
    <t>Broker（証券会社）</t>
  </si>
  <si>
    <t>Cost_JPY（取得価額）</t>
  </si>
  <si>
    <t>ForeignTax（外国税）</t>
  </si>
  <si>
    <t>USTax（米国税）</t>
  </si>
  <si>
    <t>JPTax（日本税）</t>
  </si>
  <si>
    <t>Year（年）</t>
  </si>
  <si>
    <t>AcquisitionDate（取得日）</t>
  </si>
  <si>
    <t>記載項目</t>
    <rPh sb="0" eb="2">
      <t>キサイ</t>
    </rPh>
    <rPh sb="2" eb="4">
      <t>コウモク</t>
    </rPh>
    <phoneticPr fontId="2"/>
  </si>
  <si>
    <t>（単位は円）</t>
    <rPh sb="1" eb="3">
      <t>タンイ</t>
    </rPh>
    <rPh sb="4" eb="5">
      <t>エン</t>
    </rPh>
    <phoneticPr fontId="2"/>
  </si>
  <si>
    <t>第一表</t>
    <rPh sb="0" eb="1">
      <t>ダイ</t>
    </rPh>
    <rPh sb="2" eb="3">
      <t>ヒョウ</t>
    </rPh>
    <phoneticPr fontId="2"/>
  </si>
  <si>
    <t>総合課税</t>
    <rPh sb="0" eb="4">
      <t>ソウゴウカゼイ</t>
    </rPh>
    <phoneticPr fontId="2"/>
  </si>
  <si>
    <t>収入金額等</t>
    <phoneticPr fontId="2"/>
  </si>
  <si>
    <t>事業</t>
    <rPh sb="0" eb="2">
      <t>ジギョウ</t>
    </rPh>
    <phoneticPr fontId="2"/>
  </si>
  <si>
    <t>営業等</t>
    <rPh sb="0" eb="3">
      <t>エイギョウトウ</t>
    </rPh>
    <phoneticPr fontId="2"/>
  </si>
  <si>
    <t>→</t>
    <phoneticPr fontId="2"/>
  </si>
  <si>
    <t>農業</t>
    <rPh sb="0" eb="2">
      <t>ノウギョウ</t>
    </rPh>
    <phoneticPr fontId="2"/>
  </si>
  <si>
    <t>不動産</t>
    <rPh sb="0" eb="3">
      <t>フドウサン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</si>
  <si>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</si>
  <si>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</si>
  <si>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</si>
  <si>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公的年金等</t>
    <rPh sb="0" eb="5">
      <t>コウテキネンキントウ</t>
    </rPh>
    <phoneticPr fontId="2"/>
  </si>
  <si>
    <t>業務</t>
    <rPh sb="0" eb="2">
      <t>ギョウム</t>
    </rPh>
    <phoneticPr fontId="2"/>
  </si>
  <si>
    <t>その他</t>
    <rPh sb="2" eb="3">
      <t>タ</t>
    </rPh>
    <phoneticPr fontId="2"/>
  </si>
  <si>
    <t>総合譲渡</t>
    <rPh sb="0" eb="2">
      <t>ソウゴウ</t>
    </rPh>
    <rPh sb="2" eb="4">
      <t>ジョウト</t>
    </rPh>
    <phoneticPr fontId="2"/>
  </si>
  <si>
    <t>短期</t>
    <rPh sb="0" eb="2">
      <t>タンキ</t>
    </rPh>
    <phoneticPr fontId="2"/>
  </si>
  <si>
    <t>長期</t>
    <rPh sb="0" eb="2">
      <t>チョウキ</t>
    </rPh>
    <phoneticPr fontId="2"/>
  </si>
  <si>
    <t>一時</t>
    <rPh sb="0" eb="2">
      <t>イチジ</t>
    </rPh>
    <phoneticPr fontId="2"/>
  </si>
  <si>
    <t>税金の計算</t>
    <rPh sb="0" eb="2">
      <t>ゼイキン</t>
    </rPh>
    <rPh sb="3" eb="5">
      <t>ケイサン</t>
    </rPh>
    <phoneticPr fontId="2"/>
  </si>
  <si>
    <t>所得税及び
復興特別所得税の額</t>
    <phoneticPr fontId="2"/>
  </si>
  <si>
    <t>外国税額控除等</t>
    <rPh sb="0" eb="2">
      <t>ガイコク</t>
    </rPh>
    <rPh sb="2" eb="4">
      <t>ゼイガク</t>
    </rPh>
    <rPh sb="4" eb="6">
      <t>コウジョ</t>
    </rPh>
    <rPh sb="6" eb="7">
      <t>トウ</t>
    </rPh>
    <phoneticPr fontId="2"/>
  </si>
  <si>
    <t>源泉徴収税額</t>
    <rPh sb="0" eb="6">
      <t>ゲンセンチョウシュウゼイガク</t>
    </rPh>
    <phoneticPr fontId="2"/>
  </si>
  <si>
    <t>申告納税額</t>
    <rPh sb="0" eb="2">
      <t>シンコク</t>
    </rPh>
    <rPh sb="2" eb="5">
      <t>ノウゼイガク</t>
    </rPh>
    <phoneticPr fontId="2"/>
  </si>
  <si>
    <t>予定納税額</t>
    <rPh sb="0" eb="5">
      <t>ヨテイノウゼイガク</t>
    </rPh>
    <phoneticPr fontId="2"/>
  </si>
  <si>
    <t>納める税額</t>
    <rPh sb="0" eb="1">
      <t>オサ</t>
    </rPh>
    <rPh sb="3" eb="5">
      <t>ゼイガク</t>
    </rPh>
    <phoneticPr fontId="2"/>
  </si>
  <si>
    <t>第三表</t>
    <rPh sb="0" eb="1">
      <t>ダイ</t>
    </rPh>
    <rPh sb="1" eb="2">
      <t>サン</t>
    </rPh>
    <rPh sb="2" eb="3">
      <t>ヒョウ</t>
    </rPh>
    <phoneticPr fontId="2"/>
  </si>
  <si>
    <t>分離課税</t>
    <rPh sb="0" eb="4">
      <t>ブンリカゼイ</t>
    </rPh>
    <phoneticPr fontId="2"/>
  </si>
  <si>
    <t>短期譲渡</t>
    <rPh sb="0" eb="2">
      <t>タンキ</t>
    </rPh>
    <rPh sb="2" eb="4">
      <t>ジョウト</t>
    </rPh>
    <phoneticPr fontId="2"/>
  </si>
  <si>
    <t>一般分</t>
    <rPh sb="0" eb="3">
      <t>イッパンブン</t>
    </rPh>
    <phoneticPr fontId="2"/>
  </si>
  <si>
    <t>軽減分</t>
    <rPh sb="0" eb="2">
      <t>ケイゲン</t>
    </rPh>
    <rPh sb="2" eb="3">
      <t>ブン</t>
    </rPh>
    <phoneticPr fontId="2"/>
  </si>
  <si>
    <t>長期譲渡</t>
    <rPh sb="0" eb="2">
      <t>チョウキ</t>
    </rPh>
    <rPh sb="2" eb="4">
      <t>ジョウト</t>
    </rPh>
    <phoneticPr fontId="2"/>
  </si>
  <si>
    <t>特定分</t>
    <rPh sb="0" eb="3">
      <t>トクテイブン</t>
    </rPh>
    <phoneticPr fontId="2"/>
  </si>
  <si>
    <t>軽課分</t>
    <rPh sb="0" eb="1">
      <t>ケイ</t>
    </rPh>
    <rPh sb="1" eb="2">
      <t>カ</t>
    </rPh>
    <rPh sb="2" eb="3">
      <t>ブン</t>
    </rPh>
    <phoneticPr fontId="2"/>
  </si>
  <si>
    <t>一般株式等の譲渡</t>
    <rPh sb="0" eb="4">
      <t>イッパンカブシキ</t>
    </rPh>
    <rPh sb="4" eb="5">
      <t>トウ</t>
    </rPh>
    <rPh sb="6" eb="8">
      <t>ジョウト</t>
    </rPh>
    <phoneticPr fontId="2"/>
  </si>
  <si>
    <t>上場株式等の譲渡</t>
    <rPh sb="0" eb="5">
      <t>ジョウジョウカブシキトウ</t>
    </rPh>
    <rPh sb="6" eb="8">
      <t>ジョウト</t>
    </rPh>
    <phoneticPr fontId="2"/>
  </si>
  <si>
    <t>上場株式等の配当等</t>
    <rPh sb="0" eb="5">
      <t>ジョウジョウカブシキトウ</t>
    </rPh>
    <rPh sb="6" eb="9">
      <t>ハイトウトウ</t>
    </rPh>
    <phoneticPr fontId="2"/>
  </si>
  <si>
    <t>先物取引</t>
    <rPh sb="0" eb="2">
      <t>サキモノ</t>
    </rPh>
    <rPh sb="2" eb="4">
      <t>トリヒキ</t>
    </rPh>
    <phoneticPr fontId="2"/>
  </si>
  <si>
    <t>山林</t>
    <rPh sb="0" eb="2">
      <t>サンリン</t>
    </rPh>
    <phoneticPr fontId="2"/>
  </si>
  <si>
    <t>退職</t>
    <rPh sb="0" eb="2">
      <t>タイショク</t>
    </rPh>
    <phoneticPr fontId="2"/>
  </si>
  <si>
    <t>FTCカテゴリ</t>
  </si>
  <si>
    <t>国内株式</t>
  </si>
  <si>
    <t>Passive income</t>
  </si>
  <si>
    <t>国内投信（株式型）</t>
  </si>
  <si>
    <t>国内投信（債券型）</t>
  </si>
  <si>
    <t>米国株式</t>
  </si>
  <si>
    <t>米国源泉税</t>
  </si>
  <si>
    <t>Schedule D</t>
  </si>
  <si>
    <t>雑所得</t>
  </si>
  <si>
    <t>Schedule 1</t>
  </si>
  <si>
    <t>一時所得</t>
  </si>
  <si>
    <t>Wages</t>
  </si>
  <si>
    <t>給与所得</t>
  </si>
  <si>
    <t>不動産所得</t>
  </si>
  <si>
    <t>事業所得</t>
  </si>
  <si>
    <t>Schedule B</t>
  </si>
  <si>
    <t>Schedule C</t>
  </si>
  <si>
    <t>Schedule E</t>
  </si>
  <si>
    <t>為替レート</t>
  </si>
  <si>
    <t>当年分</t>
    <rPh sb="0" eb="3">
      <t>トウネンブン</t>
    </rPh>
    <phoneticPr fontId="2"/>
  </si>
  <si>
    <t>前年分</t>
    <rPh sb="0" eb="2">
      <t>ゼンネン</t>
    </rPh>
    <rPh sb="2" eb="3">
      <t>ブン</t>
    </rPh>
    <phoneticPr fontId="2"/>
  </si>
  <si>
    <t>Income taxes
 – withholding</t>
    <phoneticPr fontId="2"/>
  </si>
  <si>
    <t>Income taxes 
– estimated</t>
    <phoneticPr fontId="2"/>
  </si>
  <si>
    <t>Income taxes – final</t>
    <phoneticPr fontId="2"/>
  </si>
  <si>
    <t>Income taxes
-Total</t>
    <phoneticPr fontId="2"/>
  </si>
  <si>
    <t>America</t>
    <phoneticPr fontId="2"/>
  </si>
  <si>
    <t>Dividends(上場株式配当)</t>
  </si>
  <si>
    <t>Dividends(非上場株式配当)</t>
  </si>
  <si>
    <t>Dividends(分配金（配当相当）)</t>
  </si>
  <si>
    <t>Interest(分配金（利子相当）)</t>
  </si>
  <si>
    <t>Dividends(配当)</t>
  </si>
  <si>
    <t>Capital gain(譲渡益)</t>
  </si>
  <si>
    <t>Interest(利子)</t>
  </si>
  <si>
    <t>Royalties(印税)</t>
  </si>
  <si>
    <t>Pensions / Annuities(公的年金)</t>
  </si>
  <si>
    <t>Other income(懸賞金・保険金)</t>
  </si>
  <si>
    <t>Japan</t>
    <phoneticPr fontId="2"/>
  </si>
  <si>
    <t>為替タイプ</t>
    <rPh sb="0" eb="2">
      <t>カワセ</t>
    </rPh>
    <phoneticPr fontId="2"/>
  </si>
  <si>
    <t>通貨</t>
    <rPh sb="0" eb="2">
      <t>ツウカ</t>
    </rPh>
    <phoneticPr fontId="2"/>
  </si>
  <si>
    <t>USD</t>
    <phoneticPr fontId="2"/>
  </si>
  <si>
    <t>外貨換算通貨＝</t>
    <rPh sb="0" eb="2">
      <t>ガイカ</t>
    </rPh>
    <rPh sb="2" eb="4">
      <t>カンザン</t>
    </rPh>
    <rPh sb="4" eb="6">
      <t>ツウカ</t>
    </rPh>
    <phoneticPr fontId="2"/>
  </si>
  <si>
    <t>TTB</t>
  </si>
  <si>
    <t>TTS</t>
  </si>
  <si>
    <t>DATE</t>
  </si>
  <si>
    <t>TTM</t>
  </si>
  <si>
    <t>月</t>
  </si>
  <si>
    <t>火</t>
  </si>
  <si>
    <t>水</t>
  </si>
  <si>
    <t>木</t>
  </si>
  <si>
    <t>金</t>
  </si>
  <si>
    <t>米ドル（USD）</t>
  </si>
  <si>
    <t>ユーロ(EUR)</t>
  </si>
  <si>
    <t>カナダ・ドル（CAD）</t>
  </si>
  <si>
    <t>月平均(TTS)</t>
    <rPh sb="0" eb="1">
      <t>ツキ</t>
    </rPh>
    <rPh sb="1" eb="3">
      <t>ヘイキン</t>
    </rPh>
    <phoneticPr fontId="2"/>
  </si>
  <si>
    <t>英ポンド（GBP）</t>
  </si>
  <si>
    <t>月平均(TTB)</t>
    <rPh sb="0" eb="1">
      <t>ツキ</t>
    </rPh>
    <rPh sb="1" eb="3">
      <t>ヘイキン</t>
    </rPh>
    <phoneticPr fontId="2"/>
  </si>
  <si>
    <t>スイス･フラン（CHF）</t>
  </si>
  <si>
    <t>月平均(TTM)</t>
    <rPh sb="0" eb="1">
      <t>ツキ</t>
    </rPh>
    <rPh sb="1" eb="3">
      <t>ヘイキン</t>
    </rPh>
    <phoneticPr fontId="2"/>
  </si>
  <si>
    <t>ﾃﾞﾝﾏｰｸ･ｸﾛｰﾈ（DKK）</t>
  </si>
  <si>
    <t>年平均(TTS)</t>
    <rPh sb="0" eb="3">
      <t>ネンヘイキン</t>
    </rPh>
    <phoneticPr fontId="2"/>
  </si>
  <si>
    <t>ﾉﾙｳｪｰ･ｸﾛｰﾈ（NOK）</t>
  </si>
  <si>
    <t>年平均(TTB)</t>
    <rPh sb="0" eb="3">
      <t>ネンヘイキン</t>
    </rPh>
    <phoneticPr fontId="2"/>
  </si>
  <si>
    <t>ｽｳｪｰﾃﾞﾝ･ｸﾛｰﾈ（SEK）</t>
  </si>
  <si>
    <t>年平均(TTM)</t>
    <rPh sb="0" eb="3">
      <t>ネンヘイキン</t>
    </rPh>
    <phoneticPr fontId="2"/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</si>
  <si>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</si>
  <si>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</si>
  <si>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</si>
  <si>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</si>
  <si>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</si>
  <si>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</si>
  <si>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</si>
  <si>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</si>
  <si>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</si>
  <si>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</si>
  <si>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</si>
  <si>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</si>
  <si>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</si>
  <si>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</si>
  <si>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</si>
  <si>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</si>
  <si>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</si>
  <si>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</si>
  <si>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</si>
  <si>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</si>
  <si>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</si>
  <si>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</si>
  <si>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98年9月2日から</t>
  </si>
  <si>
    <t>公表停止</t>
  </si>
  <si>
    <t>Line</t>
  </si>
  <si>
    <t>為替タイプ</t>
    <rPh sb="0" eb="2">
      <t>カワセ</t>
    </rPh>
    <phoneticPr fontId="2"/>
  </si>
  <si>
    <t>外貨</t>
    <rPh sb="0" eb="2">
      <t>ガイカ</t>
    </rPh>
    <phoneticPr fontId="2"/>
  </si>
  <si>
    <t>為替レート</t>
    <rPh sb="0" eb="2">
      <t>カワセ</t>
    </rPh>
    <phoneticPr fontId="2"/>
  </si>
  <si>
    <t>年分</t>
    <rPh sb="0" eb="2">
      <t>ネンブン</t>
    </rPh>
    <phoneticPr fontId="2"/>
  </si>
  <si>
    <t>Passive income</t>
    <phoneticPr fontId="2"/>
  </si>
  <si>
    <t>Foreign source 
income</t>
    <phoneticPr fontId="2"/>
  </si>
  <si>
    <t>U.S. source 
income</t>
    <phoneticPr fontId="2"/>
  </si>
  <si>
    <t>JPY</t>
    <phoneticPr fontId="2"/>
  </si>
  <si>
    <t>USD</t>
    <phoneticPr fontId="2"/>
  </si>
  <si>
    <t>General limitation income</t>
    <phoneticPr fontId="2"/>
  </si>
  <si>
    <t>FTC</t>
  </si>
  <si>
    <t>( Japanese Tax )</t>
    <phoneticPr fontId="2"/>
  </si>
  <si>
    <t>( Other Foreign Tax )</t>
    <phoneticPr fontId="2"/>
  </si>
  <si>
    <r>
      <t>(</t>
    </r>
    <r>
      <rPr>
        <sz val="10"/>
        <color theme="8"/>
        <rFont val="ＭＳ Ｐ明朝"/>
        <family val="1"/>
        <charset val="128"/>
      </rPr>
      <t>検算</t>
    </r>
    <r>
      <rPr>
        <sz val="10"/>
        <color theme="8"/>
        <rFont val="Century"/>
        <family val="1"/>
      </rPr>
      <t>)</t>
    </r>
    <rPh sb="1" eb="3">
      <t>ケンザン</t>
    </rPh>
    <phoneticPr fontId="2"/>
  </si>
  <si>
    <t>↓入力</t>
    <rPh sb="1" eb="3">
      <t>ニュウリョク</t>
    </rPh>
    <phoneticPr fontId="2"/>
  </si>
  <si>
    <t>Total Foreign Tax</t>
    <phoneticPr fontId="2"/>
  </si>
  <si>
    <t>JPY</t>
    <phoneticPr fontId="2"/>
  </si>
  <si>
    <t>USD</t>
    <phoneticPr fontId="2"/>
  </si>
  <si>
    <t>↓クリックして入力</t>
    <rPh sb="7" eb="9">
      <t>ニュウリョク</t>
    </rPh>
    <phoneticPr fontId="2"/>
  </si>
  <si>
    <t>about Form 1116</t>
    <phoneticPr fontId="2"/>
  </si>
  <si>
    <t>Form</t>
  </si>
  <si>
    <t>Payer（支払者又は銘柄）</t>
  </si>
  <si>
    <t>分離株式譲渡</t>
  </si>
  <si>
    <t>分離配当</t>
  </si>
  <si>
    <t>申告不要分</t>
  </si>
  <si>
    <t>第一表項目-年間支払税額(国税)の計算</t>
    <rPh sb="0" eb="2">
      <t>ダイイチ</t>
    </rPh>
    <rPh sb="2" eb="3">
      <t>ヒョウ</t>
    </rPh>
    <rPh sb="3" eb="5">
      <t>コウモク</t>
    </rPh>
    <rPh sb="6" eb="8">
      <t>ネンカン</t>
    </rPh>
    <rPh sb="8" eb="10">
      <t>シハラ</t>
    </rPh>
    <rPh sb="10" eb="12">
      <t>ゼイガク</t>
    </rPh>
    <rPh sb="13" eb="15">
      <t>コクゼイ</t>
    </rPh>
    <rPh sb="17" eb="19">
      <t>ケイサン</t>
    </rPh>
    <phoneticPr fontId="2"/>
  </si>
  <si>
    <t>以下自動計算</t>
    <phoneticPr fontId="2"/>
  </si>
  <si>
    <t>Timestamp</t>
  </si>
  <si>
    <t>Amount_JPY</t>
  </si>
  <si>
    <t>申告不要を
選択した所得</t>
    <rPh sb="0" eb="2">
      <t>シンコク</t>
    </rPh>
    <rPh sb="2" eb="4">
      <t>フヨウ</t>
    </rPh>
    <rPh sb="6" eb="8">
      <t>センタク</t>
    </rPh>
    <rPh sb="10" eb="12">
      <t>ショトク</t>
    </rPh>
    <phoneticPr fontId="2"/>
  </si>
  <si>
    <t>MENU</t>
  </si>
  <si>
    <t>U.S. TAX INFORMATION REPORT</t>
  </si>
  <si>
    <t>Amounts transcribed from Japanese tax records. Currency: JPY / USD.</t>
  </si>
  <si>
    <t>Income summary</t>
  </si>
  <si>
    <t>CPA workpaper category</t>
  </si>
  <si>
    <t>Net income JPY</t>
  </si>
  <si>
    <t>Net income USD</t>
  </si>
  <si>
    <t>U.S. tax USD</t>
  </si>
  <si>
    <t>JP W/H tax USD</t>
  </si>
  <si>
    <t>Other tax USD</t>
  </si>
  <si>
    <t>Pensions / annuities — treaty review</t>
  </si>
  <si>
    <t>CPA special review</t>
  </si>
  <si>
    <t>U.S. tax only</t>
  </si>
  <si>
    <t>Total of classified records</t>
  </si>
  <si>
    <t>Japanese tax payments</t>
  </si>
  <si>
    <t>Withholding tax on Japanese return</t>
  </si>
  <si>
    <t>Estimated payments for report year</t>
  </si>
  <si>
    <t>Prior-year final tax paid in report year</t>
  </si>
  <si>
    <t>Additional withholding on unreported income</t>
  </si>
  <si>
    <t>Payment / refund / FX adjustments</t>
  </si>
  <si>
    <t>Total Japanese tax payments</t>
  </si>
  <si>
    <t>Income amounts are workpaper amounts before U.S. tax adjustments. Tax paid is not the foreign tax credit.</t>
  </si>
  <si>
    <t>Pension treaty treatment, PFIC, qualified dividends, wash sales and U.S. sourcing require CPA review.</t>
  </si>
  <si>
    <t>Country and FTC categories are preparer inputs. Existing exchange rates were retained.</t>
  </si>
  <si>
    <t>DB row</t>
  </si>
  <si>
    <t>Income category</t>
  </si>
  <si>
    <t>Country</t>
  </si>
  <si>
    <t>Net JPY</t>
  </si>
  <si>
    <t>Net USD</t>
  </si>
  <si>
    <t>Year</t>
  </si>
  <si>
    <t>Sale_Date</t>
  </si>
  <si>
    <t>Sale_RateType</t>
  </si>
  <si>
    <t>Sale_Rate</t>
  </si>
  <si>
    <t>Amount_FX</t>
  </si>
  <si>
    <t>Cost_JPY</t>
  </si>
  <si>
    <t>AcquisitionDate(取得日)</t>
  </si>
  <si>
    <t>Cost_RateType</t>
  </si>
  <si>
    <t>Cost_Rate</t>
  </si>
  <si>
    <t>Cost_FX</t>
  </si>
  <si>
    <t>Expense_JPY</t>
  </si>
  <si>
    <t>Expense_RateType</t>
  </si>
  <si>
    <t>Expense_Rate</t>
  </si>
  <si>
    <t>Expense_FX</t>
  </si>
  <si>
    <t>NetIncome_JPY</t>
  </si>
  <si>
    <t>NetIncome_FX</t>
  </si>
  <si>
    <t>ForeignTax_JPY</t>
  </si>
  <si>
    <t>ForeignTax_RateType</t>
  </si>
  <si>
    <t>ForeignTax_Rate</t>
  </si>
  <si>
    <t>ForeignTax_FX</t>
  </si>
  <si>
    <t>USTax_JPY</t>
  </si>
  <si>
    <t>USTax_RateType</t>
  </si>
  <si>
    <t>USTax_Rate</t>
  </si>
  <si>
    <t>US Tax_FX</t>
  </si>
  <si>
    <t>JP Tax_JPY</t>
  </si>
  <si>
    <t>JPTax_RateType</t>
  </si>
  <si>
    <t>JPTax_Rate</t>
  </si>
  <si>
    <t>JPTax_FX</t>
  </si>
  <si>
    <t>Source</t>
  </si>
  <si>
    <t>Review</t>
  </si>
  <si>
    <t>Expense_Date</t>
  </si>
  <si>
    <t>ForeignTax_Date</t>
  </si>
  <si>
    <t>USTax_Date</t>
  </si>
  <si>
    <t>JPTax_Date</t>
  </si>
  <si>
    <t>テンプレ　入力・登録</t>
  </si>
  <si>
    <t xml:space="preserve">Form </t>
  </si>
  <si>
    <t>Amount_JPY（収入金額又は譲渡価額）</t>
  </si>
  <si>
    <t>円貨(\)</t>
  </si>
  <si>
    <t>SaleDate（収入・譲渡日）</t>
  </si>
  <si>
    <t>為替タイプ</t>
  </si>
  <si>
    <t>外貨</t>
  </si>
  <si>
    <t>Expense_JPY（譲渡費用又は必要経費）</t>
  </si>
  <si>
    <t>為替日付</t>
  </si>
  <si>
    <t>Net income_JPY(差引所得)</t>
  </si>
  <si>
    <t>円貨</t>
  </si>
  <si>
    <t>Withholding tax(源泉所得税)</t>
  </si>
  <si>
    <t>青字・淡黄色＝入力　登録済みの訂正は「訂正」から読み込みます。</t>
  </si>
  <si>
    <t>(入力済み一覧表示)―検算用</t>
  </si>
  <si>
    <t>DB行</t>
  </si>
  <si>
    <t>Category（日本での区分）</t>
  </si>
  <si>
    <t>CPA参照箇所（確定前）</t>
  </si>
  <si>
    <t>Part II / 1040 3b</t>
  </si>
  <si>
    <t>CPA review</t>
  </si>
  <si>
    <t>Part I / 1040 2b</t>
  </si>
  <si>
    <t>米国税</t>
  </si>
  <si>
    <t>1040 25b / review</t>
  </si>
  <si>
    <t>Not foreign tax</t>
  </si>
  <si>
    <t>株式・資産譲渡</t>
  </si>
  <si>
    <t>Form 8949 / Schedule D</t>
  </si>
  <si>
    <t>利子・雑所得</t>
  </si>
  <si>
    <t>雑所得等</t>
  </si>
  <si>
    <t>Royalties / CPA review</t>
  </si>
  <si>
    <t>手入力</t>
  </si>
  <si>
    <t>公的年金等</t>
  </si>
  <si>
    <t>Pension</t>
  </si>
  <si>
    <t>1040 5a/5b / treaty review</t>
  </si>
  <si>
    <t>Other income(懸賞金・保険金・他)</t>
  </si>
  <si>
    <t>一時・雑所得</t>
  </si>
  <si>
    <t>旧区分互換</t>
  </si>
  <si>
    <t>Business income(事業所得)</t>
  </si>
  <si>
    <t>Rental income(不動産所得)</t>
  </si>
  <si>
    <t>Wages(給与所得)</t>
  </si>
  <si>
    <t>1040 1h / CPA review</t>
  </si>
  <si>
    <t>Retirement income(退職所得)</t>
  </si>
  <si>
    <t>退職所得</t>
  </si>
  <si>
    <t>Futures(先物取引)</t>
  </si>
  <si>
    <t>先物取引</t>
  </si>
  <si>
    <t>Form 6781 / CPA review</t>
  </si>
  <si>
    <t>Timber income(山林所得)</t>
  </si>
  <si>
    <t>山林所得</t>
  </si>
  <si>
    <t>Substitute payments(配当代替金)</t>
  </si>
  <si>
    <t>1099-MISC box 8 / review</t>
  </si>
  <si>
    <t>分類は報告用の仮分類です。米国の課税所得・条約・PFIC・源泉地はCPAが確認します。</t>
  </si>
  <si>
    <t>2025 Form 1040: https://www.irs.gov/pub/irs-pdf/f1040.pdf</t>
  </si>
  <si>
    <t>Schedule B: https://www.irs.gov/pub/irs-pdf/f1040sb.pdf</t>
  </si>
  <si>
    <t>為替: https://www.irs.gov/individuals/international-taxpayers/yearly-average-currency-exchange-rates</t>
  </si>
  <si>
    <t>事業所得　入力・登録</t>
  </si>
  <si>
    <t>不動産所得　入力・登録</t>
  </si>
  <si>
    <t>総合配当　入力・登録</t>
  </si>
  <si>
    <t>給与所得　入力・登録</t>
  </si>
  <si>
    <t>総合譲渡　入力・登録</t>
  </si>
  <si>
    <t>一時所得　入力・登録</t>
  </si>
  <si>
    <t>分離譲渡　入力・登録</t>
  </si>
  <si>
    <t>分離株式譲渡　入力・登録</t>
  </si>
  <si>
    <t>山林所得　入力・登録</t>
  </si>
  <si>
    <t>退職所得　入力・登録</t>
  </si>
  <si>
    <t>分離配当　入力・登録</t>
  </si>
  <si>
    <t>先物取引　入力・登録</t>
  </si>
  <si>
    <t>雑所得　入力・登録</t>
  </si>
  <si>
    <t>申告不要分　入力・登録</t>
  </si>
  <si>
    <t>総合配当</t>
  </si>
  <si>
    <t>総合譲渡</t>
  </si>
  <si>
    <t>分離譲渡</t>
  </si>
  <si>
    <t>MURC為替データ</t>
  </si>
  <si>
    <t>三菱UFJリサーチ&amp;コンサルティング 公表データ（自動取得）</t>
  </si>
  <si>
    <t>2025年</t>
  </si>
  <si>
    <t>トルコ・リラ（TRY）</t>
  </si>
  <si>
    <t>曜</t>
  </si>
  <si>
    <t>土</t>
  </si>
  <si>
    <t>日</t>
  </si>
  <si>
    <t>詳細設定（任意）</t>
  </si>
  <si>
    <t>CPA向け氏名表示と日本税の調整だけを設定します。通常は未入力のままで利用できます。</t>
  </si>
  <si>
    <t>項目</t>
  </si>
  <si>
    <t>入力値</t>
  </si>
  <si>
    <t>説明</t>
  </si>
  <si>
    <t>氏名 / Taxpayer name</t>
  </si>
  <si>
    <t>CPAレポートの見出しへ表示する任意項目です。</t>
  </si>
  <si>
    <t>申告不要分の源泉税</t>
  </si>
  <si>
    <t>「別途加算」は申告書に含まれない源泉税をCPA報告へ加算します。不明な場合は「未設定」にしてください。</t>
  </si>
  <si>
    <t>支払税額調整（円）</t>
  </si>
  <si>
    <t>還付・住民税・追加納付など、必要な場合だけ円額を調整します。</t>
  </si>
  <si>
    <t>支払税額調整（USD）</t>
  </si>
  <si>
    <t>CPAと確認済みのUSD調整額がある場合だけ入力します。</t>
  </si>
  <si>
    <t>未設定</t>
  </si>
  <si>
    <t>補足_x000D_
・税額調整は必須ではありません。_x000D_
・「別途加算」の判断が不明な場合は「未設定」のままにし、CPAへ確認してください。_x000D_
・このシートの入力値はMENU・支払税額計算・CPAレポートへ連動します。</t>
  </si>
  <si>
    <t>INCOME AND WITHHOLDING DETAIL</t>
  </si>
  <si>
    <t>Grouped by Form / Line. Each subtotal reconciles to the corresponding Tax Report summary row.</t>
  </si>
  <si>
    <t>Payer / security</t>
  </si>
  <si>
    <t>Description / broker</t>
  </si>
  <si>
    <t>JP W/H USD</t>
  </si>
  <si>
    <t>年平均(TTM)</t>
    <phoneticPr fontId="2"/>
  </si>
  <si>
    <t>確認・使い方</t>
  </si>
  <si>
    <t>MENU集計とDB明細の照合結果を確認します。すべて「一致」になればレポート出力できます。</t>
  </si>
  <si>
    <t>使い方：① MENUで対象年を入力  ② 各所得シートへ入力  ③ 入力一覧を更新  ④ 下表を確認  ⑤ レポート出力</t>
  </si>
  <si>
    <t>区分</t>
  </si>
  <si>
    <t>DB</t>
  </si>
  <si>
    <t>差額</t>
  </si>
  <si>
    <t>判定</t>
  </si>
  <si>
    <t>「要確認」の場合は、MENU集計額と入力明細の区分・金額を確認してください。</t>
  </si>
  <si>
    <t>詳細設定（任意）　氏名・税額調整</t>
  </si>
  <si>
    <t>IncomeDate（収入日）</t>
    <phoneticPr fontId="2"/>
  </si>
  <si>
    <t>CostDate（取得日等・任意）</t>
    <phoneticPr fontId="2"/>
  </si>
  <si>
    <t>IncomeDate（受領日）</t>
    <phoneticPr fontId="2"/>
  </si>
  <si>
    <t>ReferenceDate（取得日等・任意）</t>
    <phoneticPr fontId="2"/>
  </si>
  <si>
    <t>SaleDate（譲渡日）</t>
    <phoneticPr fontId="2"/>
  </si>
  <si>
    <t>AcquisitionDate（取得日）</t>
    <phoneticPr fontId="2"/>
  </si>
  <si>
    <t>日本税は、申告書内の源泉税と申告不要所得の源泉税を区別します。二重計上しないでください。</t>
    <phoneticPr fontId="2"/>
  </si>
  <si>
    <t>前年最終税額は当年中に実際に納付した額を入力します。還付・住民税・追加納付は詳細設定の税額調整で反映します。</t>
    <phoneticPr fontId="2"/>
  </si>
  <si>
    <t>円/USD換算は為替タイプに応じて自動取得または手入力します。支払日等による換算の適否はCPAへ確認してください。</t>
    <phoneticPr fontId="2"/>
  </si>
  <si>
    <t>日本税の調整・CPA報告</t>
  </si>
  <si>
    <t>JPY</t>
  </si>
  <si>
    <t>USD</t>
  </si>
  <si>
    <t>申告不要所得の日本源泉税</t>
    <phoneticPr fontId="2"/>
  </si>
  <si>
    <t>源泉税の集計範囲</t>
    <phoneticPr fontId="2"/>
  </si>
  <si>
    <t>支払税額調整（詳細設定）</t>
    <phoneticPr fontId="2"/>
  </si>
  <si>
    <t>CPA報告用の日本税支払額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</si>
</sst>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0_ ;[Red]\-0.00\ "/>
    <numFmt numFmtId="178" formatCode="0.00_);[Red]\(0.00\)"/>
    <numFmt numFmtId="179" formatCode="0.00_ "/>
    <numFmt numFmtId="180" formatCode="0.00;[Red]0.00"/>
    <numFmt numFmtId="181" formatCode="#,##0;[Red]\(#,##0\);&quot;—&quot;"/>
    <numFmt numFmtId="182" formatCode="yyyy/mm/dd"/>
    <numFmt numFmtId="183" formatCode="0.000000"/>
    <numFmt numFmtId="184" formatCode="#,##0.00;[Red]\(#,##0.00\);&quot;—&quot;"/>
    <numFmt numFmtId="185" formatCode="yyyy/mm/dd\ hh:mm:ss"/>
    <numFmt numFmtId="186" formatCode="[=0]&quot;&quot;;[=1]&quot;要確認：必須項目&quot;;&quot;要確認：換算・分類&quot;"/>
    <numFmt numFmtId="187" formatCode="#,##0.00;[Red]\(#,##0.00\);&quot;-&quot;"/>
    <numFmt numFmtId="188" formatCode="#,##0;[Red]\(#,##0\);&quot;-&quot;"/>
  </numFmts>
  <fonts count="61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0"/>
      <color theme="1"/>
      <name val="Century"/>
      <family val="1"/>
    </font>
    <font>
      <sz val="10"/>
      <color theme="1"/>
      <name val="ＭＳ Ｐ明朝"/>
      <family val="1"/>
      <charset val="128"/>
    </font>
    <font>
      <sz val="10"/>
      <color rgb="FF000000"/>
      <name val="ＭＳ Ｐ明朝"/>
      <family val="1"/>
      <charset val="128"/>
    </font>
    <font>
      <sz val="10"/>
      <color rgb="FF000000"/>
      <name val="Century"/>
      <family val="1"/>
    </font>
    <font>
      <sz val="10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color theme="1"/>
      <name val="Yu Gothic"/>
      <family val="3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8"/>
      <name val="Century"/>
      <family val="1"/>
    </font>
    <font>
      <sz val="10"/>
      <color theme="8"/>
      <name val="ＭＳ Ｐ明朝"/>
      <family val="1"/>
      <charset val="128"/>
    </font>
    <font>
      <sz val="11"/>
      <color theme="1"/>
      <name val="Yu Gothic"/>
      <family val="3"/>
      <charset val="128"/>
    </font>
    <font>
      <b/>
      <sz val="11"/>
      <color theme="0"/>
      <name val="Yu Gothic"/>
      <family val="3"/>
      <charset val="128"/>
    </font>
    <font>
      <sz val="10"/>
      <color theme="1"/>
      <name val="Century"/>
    </font>
    <font>
      <sz val="10"/>
      <color theme="8"/>
      <name val="Century"/>
    </font>
    <font>
      <sz val="10"/>
      <color theme="0"/>
      <name val="Century"/>
    </font>
    <font>
      <sz val="11"/>
      <color theme="1"/>
      <name val="Century"/>
    </font>
    <font>
      <sz val="10"/>
      <color theme="1"/>
      <name val="Arial"/>
    </font>
    <font>
      <sz val="11"/>
      <color rgb="FF1D4ED8"/>
      <name val="Arial"/>
    </font>
    <font>
      <b/>
      <sz val="10"/>
      <color rgb="FFFFFFFF"/>
      <name val="Arial"/>
    </font>
    <font>
      <b/>
      <sz val="15"/>
      <color rgb="FF172638"/>
      <name val="Arial"/>
    </font>
    <font>
      <b/>
      <sz val="11"/>
      <color theme="1"/>
      <name val="Arial"/>
    </font>
    <font>
      <sz val="10"/>
      <color rgb="FFB45309"/>
      <name val="Arial"/>
    </font>
    <font>
      <sz val="11"/>
      <color theme="1"/>
      <name val="Arial"/>
    </font>
    <font>
      <sz val="11"/>
      <color rgb="FF172638"/>
      <name val="Arial"/>
    </font>
    <font>
      <b/>
      <sz val="17"/>
      <color rgb="FF172638"/>
      <name val="Arial"/>
    </font>
    <font>
      <b/>
      <sz val="12"/>
      <color rgb="FFFFFFFF"/>
      <name val="Arial"/>
    </font>
    <font>
      <sz val="10"/>
      <color rgb="FF64748B"/>
      <name val="Arial"/>
    </font>
    <font>
      <b/>
      <sz val="10"/>
      <color rgb="FF172638"/>
      <name val="Arial"/>
    </font>
    <font>
      <b/>
      <sz val="11"/>
      <color rgb="FF172638"/>
      <name val="Arial"/>
    </font>
    <font>
      <u/>
      <sz val="11"/>
      <color theme="10"/>
      <name val="Yu Gothic"/>
      <family val="2"/>
      <scheme val="minor"/>
    </font>
    <font>
      <b/>
      <sz val="16"/>
      <color rgb="FFFFFFFF"/>
      <name val="Yu Gothic"/>
      <family val="3"/>
      <charset val="128"/>
      <scheme val="minor"/>
    </font>
    <font>
      <sz val="10"/>
      <color rgb="FF505050"/>
      <name val="Yu Gothic"/>
      <family val="3"/>
      <charset val="128"/>
      <scheme val="minor"/>
    </font>
    <font>
      <b/>
      <sz val="11"/>
      <color rgb="FFFFFFFF"/>
      <name val="Yu Gothic"/>
      <family val="3"/>
      <charset val="128"/>
      <scheme val="minor"/>
    </font>
    <font>
      <sz val="9.5"/>
      <color theme="1"/>
      <name val="Yu Gothic"/>
      <family val="3"/>
      <charset val="128"/>
      <scheme val="minor"/>
    </font>
    <font>
      <sz val="9.5"/>
      <color rgb="FF5A5A5A"/>
      <name val="Yu Gothic"/>
      <family val="3"/>
      <charset val="128"/>
      <scheme val="minor"/>
    </font>
    <font>
      <sz val="11"/>
      <color rgb="FF1F4E79"/>
      <name val="Yu Gothic"/>
      <family val="3"/>
      <charset val="128"/>
      <scheme val="minor"/>
    </font>
    <font>
      <sz val="9.5"/>
      <color theme="1"/>
      <name val="Arial"/>
      <family val="2"/>
    </font>
    <font>
      <b/>
      <sz val="17"/>
      <color rgb="FF17365D"/>
      <name val="Arial"/>
      <family val="2"/>
    </font>
    <font>
      <sz val="10"/>
      <color rgb="FF505050"/>
      <name val="Arial"/>
      <family val="2"/>
    </font>
    <font>
      <sz val="9"/>
      <color rgb="FF5A5A5A"/>
      <name val="Arial"/>
      <family val="2"/>
    </font>
    <font>
      <b/>
      <sz val="9"/>
      <color rgb="FFFFFFFF"/>
      <name val="Arial"/>
      <family val="2"/>
    </font>
    <font>
      <b/>
      <sz val="16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b/>
      <u/>
      <sz val="11"/>
      <color theme="10"/>
      <name val="Yu Gothic"/>
      <family val="3"/>
      <charset val="128"/>
      <scheme val="minor"/>
    </font>
    <font>
      <sz val="9.5"/>
      <color rgb="FF505050"/>
      <name val="Yu Gothic"/>
      <family val="3"/>
      <charset val="128"/>
    </font>
    <font>
      <b/>
      <sz val="10"/>
      <color rgb="FFFFFFFF"/>
      <name val="Yu Gothic"/>
      <family val="3"/>
      <charset val="128"/>
    </font>
    <font>
      <b/>
      <sz val="10"/>
      <color theme="1"/>
      <name val="Yu Gothic"/>
      <family val="3"/>
      <charset val="128"/>
    </font>
    <font>
      <sz val="10"/>
      <color theme="1"/>
      <name val="Yu Gothic"/>
      <family val="3"/>
      <charset val="128"/>
    </font>
    <font>
      <sz val="10"/>
      <color rgb="FF1F4E79"/>
      <name val="Century"/>
      <family val="1"/>
    </font>
  </fonts>
  <fills count="2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none"/>
    </fill>
    <fill>
      <patternFill patternType="solid">
        <fgColor theme="4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0"/>
      </patternFill>
    </fill>
    <fill>
      <patternFill patternType="solid">
        <fgColor rgb="FFFFF4CC"/>
      </patternFill>
    </fill>
    <fill>
      <patternFill patternType="solid">
        <fgColor rgb="FF172638"/>
      </patternFill>
    </fill>
    <fill>
      <patternFill patternType="solid">
        <fgColor rgb="FFF1F5F9"/>
      </patternFill>
    </fill>
    <fill>
      <patternFill patternType="solid">
        <fgColor rgb="FFE7EDF4"/>
      </patternFill>
    </fill>
    <fill>
      <patternFill patternType="solid">
        <fgColor rgb="FF17365D"/>
        <bgColor indexed="64"/>
      </patternFill>
    </fill>
    <fill>
      <patternFill patternType="solid">
        <fgColor rgb="FF365F9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38" fontId="1" fillId="0" borderId="0" applyFont="0" applyFill="0" applyBorder="0" applyAlignment="0" applyProtection="0">
      <alignment vertical="center"/>
    </xf>
    <xf numFmtId="0" fontId="15" fillId="0" borderId="0"/>
    <xf numFmtId="0" fontId="41" fillId="0" borderId="0" applyNumberFormat="0" applyFill="0" applyBorder="0" applyAlignment="0" applyProtection="0"/>
  </cellStyleXfs>
  <cellXfs count="419">
    <xf numFmtId="0" fontId="0" fillId="0" borderId="0" xfId="0"/>
    <xf numFmtId="0" fontId="11" fillId="0" borderId="0" xfId="0" applyFont="1"/>
    <xf numFmtId="0" fontId="3" fillId="2" borderId="30" xfId="0" applyFont="1" applyFill="1" applyBorder="1"/>
    <xf numFmtId="14" fontId="0" fillId="0" borderId="0" xfId="0" applyNumberFormat="1"/>
    <xf numFmtId="22" fontId="0" fillId="0" borderId="0" xfId="0" applyNumberFormat="1"/>
    <xf numFmtId="56" fontId="12" fillId="0" borderId="35" xfId="0" applyNumberFormat="1" applyFont="1" applyBorder="1" applyAlignment="1">
      <alignment horizontal="center" vertical="center"/>
    </xf>
    <xf numFmtId="178" fontId="13" fillId="0" borderId="35" xfId="0" applyNumberFormat="1" applyFont="1" applyBorder="1" applyAlignment="1">
      <alignment horizontal="center" vertical="center" shrinkToFit="1"/>
    </xf>
    <xf numFmtId="178" fontId="13" fillId="0" borderId="38" xfId="0" applyNumberFormat="1" applyFont="1" applyBorder="1" applyAlignment="1">
      <alignment horizontal="center" vertical="center"/>
    </xf>
    <xf numFmtId="178" fontId="13" fillId="0" borderId="40" xfId="0" applyNumberFormat="1" applyFont="1" applyBorder="1" applyAlignment="1">
      <alignment horizontal="center" vertical="center"/>
    </xf>
    <xf numFmtId="178" fontId="13" fillId="0" borderId="39" xfId="0" applyNumberFormat="1" applyFont="1" applyBorder="1" applyAlignment="1">
      <alignment horizontal="center" vertical="center"/>
    </xf>
    <xf numFmtId="178" fontId="13" fillId="5" borderId="38" xfId="0" applyNumberFormat="1" applyFont="1" applyFill="1" applyBorder="1" applyAlignment="1">
      <alignment horizontal="center" vertical="center"/>
    </xf>
    <xf numFmtId="178" fontId="13" fillId="5" borderId="40" xfId="0" applyNumberFormat="1" applyFont="1" applyFill="1" applyBorder="1" applyAlignment="1">
      <alignment horizontal="center" vertical="center"/>
    </xf>
    <xf numFmtId="178" fontId="13" fillId="5" borderId="39" xfId="0" applyNumberFormat="1" applyFont="1" applyFill="1" applyBorder="1" applyAlignment="1">
      <alignment horizontal="center" vertical="center"/>
    </xf>
    <xf numFmtId="178" fontId="13" fillId="6" borderId="40" xfId="0" applyNumberFormat="1" applyFont="1" applyFill="1" applyBorder="1" applyAlignment="1">
      <alignment horizontal="center" vertical="center"/>
    </xf>
    <xf numFmtId="178" fontId="13" fillId="6" borderId="39" xfId="0" applyNumberFormat="1" applyFont="1" applyFill="1" applyBorder="1" applyAlignment="1">
      <alignment horizontal="center" vertical="center"/>
    </xf>
    <xf numFmtId="178" fontId="13" fillId="6" borderId="38" xfId="0" applyNumberFormat="1" applyFont="1" applyFill="1" applyBorder="1" applyAlignment="1">
      <alignment horizontal="center" vertical="center"/>
    </xf>
    <xf numFmtId="177" fontId="13" fillId="0" borderId="42" xfId="2" applyNumberFormat="1" applyFont="1" applyBorder="1"/>
    <xf numFmtId="179" fontId="13" fillId="0" borderId="41" xfId="0" applyNumberFormat="1" applyFont="1" applyBorder="1"/>
    <xf numFmtId="179" fontId="13" fillId="0" borderId="0" xfId="0" applyNumberFormat="1" applyFont="1"/>
    <xf numFmtId="179" fontId="13" fillId="0" borderId="42" xfId="0" applyNumberFormat="1" applyFont="1" applyBorder="1"/>
    <xf numFmtId="179" fontId="13" fillId="5" borderId="41" xfId="0" applyNumberFormat="1" applyFont="1" applyFill="1" applyBorder="1"/>
    <xf numFmtId="179" fontId="13" fillId="5" borderId="0" xfId="0" applyNumberFormat="1" applyFont="1" applyFill="1"/>
    <xf numFmtId="179" fontId="13" fillId="5" borderId="42" xfId="0" applyNumberFormat="1" applyFont="1" applyFill="1" applyBorder="1"/>
    <xf numFmtId="179" fontId="13" fillId="6" borderId="0" xfId="0" applyNumberFormat="1" applyFont="1" applyFill="1"/>
    <xf numFmtId="179" fontId="13" fillId="6" borderId="42" xfId="0" applyNumberFormat="1" applyFont="1" applyFill="1" applyBorder="1"/>
    <xf numFmtId="179" fontId="13" fillId="6" borderId="41" xfId="0" applyNumberFormat="1" applyFont="1" applyFill="1" applyBorder="1"/>
    <xf numFmtId="180" fontId="13" fillId="0" borderId="41" xfId="0" applyNumberFormat="1" applyFont="1" applyBorder="1" applyAlignment="1">
      <alignment horizontal="center" vertical="center"/>
    </xf>
    <xf numFmtId="180" fontId="13" fillId="0" borderId="0" xfId="0" applyNumberFormat="1" applyFont="1" applyAlignment="1">
      <alignment horizontal="center" vertical="center"/>
    </xf>
    <xf numFmtId="180" fontId="13" fillId="0" borderId="42" xfId="0" applyNumberFormat="1" applyFont="1" applyBorder="1" applyAlignment="1">
      <alignment horizontal="center" vertical="center"/>
    </xf>
    <xf numFmtId="180" fontId="13" fillId="5" borderId="41" xfId="0" applyNumberFormat="1" applyFont="1" applyFill="1" applyBorder="1" applyAlignment="1">
      <alignment horizontal="center" vertical="center"/>
    </xf>
    <xf numFmtId="180" fontId="13" fillId="5" borderId="0" xfId="0" applyNumberFormat="1" applyFont="1" applyFill="1" applyAlignment="1">
      <alignment horizontal="center" vertical="center"/>
    </xf>
    <xf numFmtId="180" fontId="13" fillId="5" borderId="42" xfId="0" applyNumberFormat="1" applyFont="1" applyFill="1" applyBorder="1" applyAlignment="1">
      <alignment horizontal="center" vertical="center"/>
    </xf>
    <xf numFmtId="180" fontId="13" fillId="6" borderId="0" xfId="0" applyNumberFormat="1" applyFont="1" applyFill="1" applyAlignment="1">
      <alignment horizontal="center" vertical="center"/>
    </xf>
    <xf numFmtId="180" fontId="13" fillId="6" borderId="42" xfId="0" applyNumberFormat="1" applyFont="1" applyFill="1" applyBorder="1" applyAlignment="1">
      <alignment horizontal="center" vertical="center"/>
    </xf>
    <xf numFmtId="180" fontId="13" fillId="6" borderId="41" xfId="0" applyNumberFormat="1" applyFont="1" applyFill="1" applyBorder="1" applyAlignment="1">
      <alignment horizontal="center" vertical="center"/>
    </xf>
    <xf numFmtId="180" fontId="13" fillId="0" borderId="41" xfId="0" applyNumberFormat="1" applyFont="1" applyBorder="1" applyAlignment="1">
      <alignment horizontal="center"/>
    </xf>
    <xf numFmtId="180" fontId="13" fillId="0" borderId="0" xfId="0" applyNumberFormat="1" applyFont="1" applyAlignment="1">
      <alignment horizontal="center"/>
    </xf>
    <xf numFmtId="180" fontId="13" fillId="0" borderId="42" xfId="0" applyNumberFormat="1" applyFont="1" applyBorder="1" applyAlignment="1">
      <alignment horizontal="center"/>
    </xf>
    <xf numFmtId="180" fontId="13" fillId="5" borderId="41" xfId="0" applyNumberFormat="1" applyFont="1" applyFill="1" applyBorder="1" applyAlignment="1">
      <alignment horizontal="center"/>
    </xf>
    <xf numFmtId="180" fontId="13" fillId="5" borderId="0" xfId="0" applyNumberFormat="1" applyFont="1" applyFill="1" applyAlignment="1">
      <alignment horizontal="center"/>
    </xf>
    <xf numFmtId="180" fontId="13" fillId="5" borderId="42" xfId="0" applyNumberFormat="1" applyFont="1" applyFill="1" applyBorder="1" applyAlignment="1">
      <alignment horizontal="center"/>
    </xf>
    <xf numFmtId="180" fontId="13" fillId="6" borderId="0" xfId="0" applyNumberFormat="1" applyFont="1" applyFill="1" applyAlignment="1">
      <alignment horizontal="center"/>
    </xf>
    <xf numFmtId="180" fontId="13" fillId="6" borderId="42" xfId="0" applyNumberFormat="1" applyFont="1" applyFill="1" applyBorder="1" applyAlignment="1">
      <alignment horizontal="center"/>
    </xf>
    <xf numFmtId="180" fontId="13" fillId="6" borderId="41" xfId="0" applyNumberFormat="1" applyFont="1" applyFill="1" applyBorder="1" applyAlignment="1">
      <alignment horizontal="center"/>
    </xf>
    <xf numFmtId="180" fontId="13" fillId="0" borderId="41" xfId="0" applyNumberFormat="1" applyFont="1" applyBorder="1"/>
    <xf numFmtId="180" fontId="13" fillId="0" borderId="0" xfId="0" applyNumberFormat="1" applyFont="1"/>
    <xf numFmtId="180" fontId="13" fillId="0" borderId="42" xfId="0" applyNumberFormat="1" applyFont="1" applyBorder="1"/>
    <xf numFmtId="180" fontId="13" fillId="5" borderId="41" xfId="0" applyNumberFormat="1" applyFont="1" applyFill="1" applyBorder="1"/>
    <xf numFmtId="180" fontId="13" fillId="5" borderId="0" xfId="0" applyNumberFormat="1" applyFont="1" applyFill="1"/>
    <xf numFmtId="180" fontId="13" fillId="5" borderId="42" xfId="0" applyNumberFormat="1" applyFont="1" applyFill="1" applyBorder="1"/>
    <xf numFmtId="180" fontId="13" fillId="6" borderId="0" xfId="0" applyNumberFormat="1" applyFont="1" applyFill="1"/>
    <xf numFmtId="180" fontId="13" fillId="6" borderId="42" xfId="0" applyNumberFormat="1" applyFont="1" applyFill="1" applyBorder="1"/>
    <xf numFmtId="180" fontId="13" fillId="6" borderId="41" xfId="0" applyNumberFormat="1" applyFont="1" applyFill="1" applyBorder="1"/>
    <xf numFmtId="179" fontId="13" fillId="0" borderId="41" xfId="2" applyNumberFormat="1" applyFont="1" applyBorder="1"/>
    <xf numFmtId="179" fontId="13" fillId="0" borderId="0" xfId="2" applyNumberFormat="1" applyFont="1"/>
    <xf numFmtId="179" fontId="13" fillId="0" borderId="42" xfId="2" applyNumberFormat="1" applyFont="1" applyBorder="1"/>
    <xf numFmtId="179" fontId="13" fillId="5" borderId="41" xfId="2" applyNumberFormat="1" applyFont="1" applyFill="1" applyBorder="1"/>
    <xf numFmtId="179" fontId="13" fillId="5" borderId="0" xfId="2" applyNumberFormat="1" applyFont="1" applyFill="1"/>
    <xf numFmtId="179" fontId="13" fillId="5" borderId="42" xfId="2" applyNumberFormat="1" applyFont="1" applyFill="1" applyBorder="1"/>
    <xf numFmtId="177" fontId="13" fillId="0" borderId="36" xfId="2" applyNumberFormat="1" applyFont="1" applyBorder="1" applyAlignment="1">
      <alignment horizontal="center"/>
    </xf>
    <xf numFmtId="179" fontId="13" fillId="0" borderId="35" xfId="0" applyNumberFormat="1" applyFont="1" applyBorder="1"/>
    <xf numFmtId="179" fontId="13" fillId="0" borderId="37" xfId="0" applyNumberFormat="1" applyFont="1" applyBorder="1"/>
    <xf numFmtId="179" fontId="13" fillId="0" borderId="36" xfId="0" applyNumberFormat="1" applyFont="1" applyBorder="1"/>
    <xf numFmtId="179" fontId="13" fillId="5" borderId="35" xfId="0" applyNumberFormat="1" applyFont="1" applyFill="1" applyBorder="1"/>
    <xf numFmtId="179" fontId="13" fillId="5" borderId="37" xfId="0" applyNumberFormat="1" applyFont="1" applyFill="1" applyBorder="1"/>
    <xf numFmtId="179" fontId="13" fillId="5" borderId="36" xfId="0" applyNumberFormat="1" applyFont="1" applyFill="1" applyBorder="1"/>
    <xf numFmtId="179" fontId="13" fillId="6" borderId="37" xfId="0" applyNumberFormat="1" applyFont="1" applyFill="1" applyBorder="1"/>
    <xf numFmtId="179" fontId="13" fillId="6" borderId="36" xfId="0" applyNumberFormat="1" applyFont="1" applyFill="1" applyBorder="1"/>
    <xf numFmtId="179" fontId="13" fillId="6" borderId="35" xfId="0" applyNumberFormat="1" applyFont="1" applyFill="1" applyBorder="1"/>
    <xf numFmtId="177" fontId="13" fillId="0" borderId="42" xfId="2" applyNumberFormat="1" applyFont="1" applyBorder="1" applyAlignment="1">
      <alignment horizontal="center"/>
    </xf>
    <xf numFmtId="177" fontId="13" fillId="0" borderId="39" xfId="2" applyNumberFormat="1" applyFont="1" applyBorder="1" applyAlignment="1">
      <alignment horizontal="center"/>
    </xf>
    <xf numFmtId="179" fontId="13" fillId="0" borderId="38" xfId="0" applyNumberFormat="1" applyFont="1" applyBorder="1"/>
    <xf numFmtId="179" fontId="13" fillId="0" borderId="40" xfId="0" applyNumberFormat="1" applyFont="1" applyBorder="1"/>
    <xf numFmtId="179" fontId="13" fillId="0" borderId="39" xfId="0" applyNumberFormat="1" applyFont="1" applyBorder="1"/>
    <xf numFmtId="179" fontId="13" fillId="5" borderId="38" xfId="0" applyNumberFormat="1" applyFont="1" applyFill="1" applyBorder="1"/>
    <xf numFmtId="179" fontId="13" fillId="5" borderId="40" xfId="0" applyNumberFormat="1" applyFont="1" applyFill="1" applyBorder="1"/>
    <xf numFmtId="179" fontId="13" fillId="5" borderId="39" xfId="0" applyNumberFormat="1" applyFont="1" applyFill="1" applyBorder="1"/>
    <xf numFmtId="179" fontId="13" fillId="6" borderId="40" xfId="0" applyNumberFormat="1" applyFont="1" applyFill="1" applyBorder="1"/>
    <xf numFmtId="179" fontId="13" fillId="6" borderId="39" xfId="0" applyNumberFormat="1" applyFont="1" applyFill="1" applyBorder="1"/>
    <xf numFmtId="179" fontId="13" fillId="6" borderId="38" xfId="0" applyNumberFormat="1" applyFont="1" applyFill="1" applyBorder="1"/>
    <xf numFmtId="178" fontId="13" fillId="0" borderId="0" xfId="0" applyNumberFormat="1" applyFont="1" applyAlignment="1">
      <alignment horizontal="center" vertical="center"/>
    </xf>
    <xf numFmtId="178" fontId="13" fillId="0" borderId="0" xfId="0" applyNumberFormat="1" applyFont="1" applyAlignment="1">
      <alignment vertical="center" shrinkToFit="1"/>
    </xf>
    <xf numFmtId="178" fontId="14" fillId="0" borderId="0" xfId="0" applyNumberFormat="1" applyFont="1" applyAlignment="1">
      <alignment vertical="center" wrapText="1" shrinkToFit="1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12" fillId="0" borderId="36" xfId="0" quotePrefix="1" applyNumberFormat="1" applyFont="1" applyBorder="1"/>
    <xf numFmtId="177" fontId="13" fillId="0" borderId="39" xfId="0" applyNumberFormat="1" applyFont="1" applyBorder="1"/>
    <xf numFmtId="180" fontId="17" fillId="5" borderId="41" xfId="0" quotePrefix="1" applyNumberFormat="1" applyFont="1" applyFill="1" applyBorder="1"/>
    <xf numFmtId="180" fontId="18" fillId="5" borderId="0" xfId="0" applyNumberFormat="1" applyFont="1" applyFill="1"/>
    <xf numFmtId="180" fontId="18" fillId="5" borderId="42" xfId="0" applyNumberFormat="1" applyFont="1" applyFill="1" applyBorder="1"/>
    <xf numFmtId="177" fontId="19" fillId="0" borderId="42" xfId="2" applyNumberFormat="1" applyFont="1" applyBorder="1" applyAlignment="1">
      <alignment horizontal="center"/>
    </xf>
    <xf numFmtId="180" fontId="0" fillId="0" borderId="41" xfId="0" applyNumberFormat="1" applyBorder="1"/>
    <xf numFmtId="180" fontId="13" fillId="0" borderId="41" xfId="0" applyNumberFormat="1" applyFont="1" applyBorder="1" applyAlignment="1">
      <alignment horizontal="right" vertical="center"/>
    </xf>
    <xf numFmtId="180" fontId="13" fillId="0" borderId="0" xfId="0" applyNumberFormat="1" applyFont="1" applyAlignment="1">
      <alignment horizontal="right" vertical="center"/>
    </xf>
    <xf numFmtId="180" fontId="13" fillId="0" borderId="42" xfId="0" applyNumberFormat="1" applyFont="1" applyBorder="1" applyAlignment="1">
      <alignment horizontal="right" vertical="center"/>
    </xf>
    <xf numFmtId="180" fontId="13" fillId="5" borderId="41" xfId="0" applyNumberFormat="1" applyFont="1" applyFill="1" applyBorder="1" applyAlignment="1">
      <alignment horizontal="right" vertical="center"/>
    </xf>
    <xf numFmtId="180" fontId="13" fillId="5" borderId="0" xfId="0" applyNumberFormat="1" applyFont="1" applyFill="1" applyAlignment="1">
      <alignment horizontal="right" vertical="center"/>
    </xf>
    <xf numFmtId="180" fontId="13" fillId="5" borderId="42" xfId="0" applyNumberFormat="1" applyFont="1" applyFill="1" applyBorder="1" applyAlignment="1">
      <alignment horizontal="right" vertical="center"/>
    </xf>
    <xf numFmtId="180" fontId="13" fillId="6" borderId="0" xfId="0" applyNumberFormat="1" applyFont="1" applyFill="1" applyAlignment="1">
      <alignment horizontal="right" vertical="center"/>
    </xf>
    <xf numFmtId="180" fontId="13" fillId="6" borderId="42" xfId="0" applyNumberFormat="1" applyFont="1" applyFill="1" applyBorder="1" applyAlignment="1">
      <alignment horizontal="right" vertical="center"/>
    </xf>
    <xf numFmtId="180" fontId="13" fillId="6" borderId="41" xfId="0" applyNumberFormat="1" applyFont="1" applyFill="1" applyBorder="1" applyAlignment="1">
      <alignment horizontal="right" vertical="center"/>
    </xf>
    <xf numFmtId="180" fontId="13" fillId="0" borderId="41" xfId="2" applyNumberFormat="1" applyFont="1" applyBorder="1"/>
    <xf numFmtId="180" fontId="13" fillId="0" borderId="0" xfId="2" applyNumberFormat="1" applyFont="1"/>
    <xf numFmtId="180" fontId="13" fillId="0" borderId="42" xfId="2" applyNumberFormat="1" applyFont="1" applyBorder="1"/>
    <xf numFmtId="180" fontId="13" fillId="5" borderId="41" xfId="2" applyNumberFormat="1" applyFont="1" applyFill="1" applyBorder="1"/>
    <xf numFmtId="180" fontId="13" fillId="5" borderId="0" xfId="2" applyNumberFormat="1" applyFont="1" applyFill="1"/>
    <xf numFmtId="180" fontId="13" fillId="5" borderId="42" xfId="2" applyNumberFormat="1" applyFont="1" applyFill="1" applyBorder="1"/>
    <xf numFmtId="177" fontId="13" fillId="0" borderId="36" xfId="2" applyNumberFormat="1" applyFont="1" applyBorder="1"/>
    <xf numFmtId="180" fontId="13" fillId="0" borderId="35" xfId="0" applyNumberFormat="1" applyFont="1" applyBorder="1"/>
    <xf numFmtId="180" fontId="13" fillId="0" borderId="37" xfId="0" applyNumberFormat="1" applyFont="1" applyBorder="1"/>
    <xf numFmtId="180" fontId="13" fillId="0" borderId="36" xfId="0" applyNumberFormat="1" applyFont="1" applyBorder="1"/>
    <xf numFmtId="180" fontId="13" fillId="5" borderId="35" xfId="0" applyNumberFormat="1" applyFont="1" applyFill="1" applyBorder="1"/>
    <xf numFmtId="180" fontId="13" fillId="5" borderId="37" xfId="0" applyNumberFormat="1" applyFont="1" applyFill="1" applyBorder="1"/>
    <xf numFmtId="180" fontId="13" fillId="5" borderId="36" xfId="0" applyNumberFormat="1" applyFont="1" applyFill="1" applyBorder="1"/>
    <xf numFmtId="180" fontId="13" fillId="6" borderId="37" xfId="0" applyNumberFormat="1" applyFont="1" applyFill="1" applyBorder="1"/>
    <xf numFmtId="180" fontId="13" fillId="6" borderId="36" xfId="0" applyNumberFormat="1" applyFont="1" applyFill="1" applyBorder="1"/>
    <xf numFmtId="180" fontId="13" fillId="6" borderId="35" xfId="0" applyNumberFormat="1" applyFont="1" applyFill="1" applyBorder="1"/>
    <xf numFmtId="177" fontId="13" fillId="0" borderId="39" xfId="2" applyNumberFormat="1" applyFont="1" applyBorder="1"/>
    <xf numFmtId="180" fontId="13" fillId="0" borderId="38" xfId="0" applyNumberFormat="1" applyFont="1" applyBorder="1"/>
    <xf numFmtId="180" fontId="13" fillId="0" borderId="40" xfId="0" applyNumberFormat="1" applyFont="1" applyBorder="1"/>
    <xf numFmtId="180" fontId="13" fillId="0" borderId="39" xfId="0" applyNumberFormat="1" applyFont="1" applyBorder="1"/>
    <xf numFmtId="180" fontId="13" fillId="5" borderId="38" xfId="0" applyNumberFormat="1" applyFont="1" applyFill="1" applyBorder="1"/>
    <xf numFmtId="180" fontId="13" fillId="5" borderId="40" xfId="0" applyNumberFormat="1" applyFont="1" applyFill="1" applyBorder="1"/>
    <xf numFmtId="180" fontId="13" fillId="5" borderId="39" xfId="0" applyNumberFormat="1" applyFont="1" applyFill="1" applyBorder="1"/>
    <xf numFmtId="180" fontId="13" fillId="6" borderId="40" xfId="0" applyNumberFormat="1" applyFont="1" applyFill="1" applyBorder="1"/>
    <xf numFmtId="180" fontId="13" fillId="6" borderId="39" xfId="0" applyNumberFormat="1" applyFont="1" applyFill="1" applyBorder="1"/>
    <xf numFmtId="180" fontId="13" fillId="6" borderId="38" xfId="0" applyNumberFormat="1" applyFont="1" applyFill="1" applyBorder="1"/>
    <xf numFmtId="180" fontId="0" fillId="0" borderId="0" xfId="0" applyNumberFormat="1"/>
    <xf numFmtId="180" fontId="0" fillId="0" borderId="42" xfId="0" applyNumberFormat="1" applyBorder="1"/>
    <xf numFmtId="180" fontId="0" fillId="6" borderId="0" xfId="0" applyNumberFormat="1" applyFill="1"/>
    <xf numFmtId="180" fontId="0" fillId="6" borderId="42" xfId="0" applyNumberFormat="1" applyFill="1" applyBorder="1"/>
    <xf numFmtId="180" fontId="0" fillId="6" borderId="41" xfId="0" applyNumberFormat="1" applyFill="1" applyBorder="1"/>
    <xf numFmtId="177" fontId="0" fillId="0" borderId="42" xfId="2" applyNumberFormat="1" applyFont="1" applyBorder="1"/>
    <xf numFmtId="177" fontId="0" fillId="0" borderId="36" xfId="2" applyNumberFormat="1" applyFont="1" applyBorder="1" applyAlignment="1">
      <alignment horizontal="center"/>
    </xf>
    <xf numFmtId="177" fontId="0" fillId="0" borderId="42" xfId="2" applyNumberFormat="1" applyFont="1" applyBorder="1" applyAlignment="1">
      <alignment horizontal="center"/>
    </xf>
    <xf numFmtId="177" fontId="0" fillId="0" borderId="39" xfId="2" applyNumberFormat="1" applyFont="1" applyBorder="1" applyAlignment="1">
      <alignment horizontal="center"/>
    </xf>
    <xf numFmtId="177" fontId="0" fillId="0" borderId="37" xfId="2" applyNumberFormat="1" applyFont="1" applyBorder="1" applyAlignment="1">
      <alignment horizontal="center"/>
    </xf>
    <xf numFmtId="177" fontId="0" fillId="0" borderId="0" xfId="2" applyNumberFormat="1" applyFont="1" applyAlignment="1">
      <alignment horizontal="center"/>
    </xf>
    <xf numFmtId="14" fontId="13" fillId="0" borderId="38" xfId="0" applyNumberFormat="1" applyFont="1" applyBorder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ill="1"/>
    <xf numFmtId="22" fontId="0" fillId="10" borderId="0" xfId="0" applyNumberFormat="1" applyFill="1"/>
    <xf numFmtId="0" fontId="0" fillId="10" borderId="0" xfId="0" applyFill="1"/>
    <xf numFmtId="14" fontId="0" fillId="10" borderId="0" xfId="0" applyNumberFormat="1" applyFill="1"/>
    <xf numFmtId="22" fontId="0" fillId="9" borderId="0" xfId="0" applyNumberFormat="1" applyFill="1"/>
    <xf numFmtId="14" fontId="0" fillId="9" borderId="0" xfId="0" applyNumberFormat="1" applyFill="1"/>
    <xf numFmtId="0" fontId="11" fillId="11" borderId="0" xfId="0" applyFont="1" applyFill="1"/>
    <xf numFmtId="38" fontId="4" fillId="4" borderId="6" xfId="1" applyFont="1" applyFill="1" applyBorder="1" applyAlignment="1" applyProtection="1">
      <protection locked="0"/>
    </xf>
    <xf numFmtId="38" fontId="4" fillId="4" borderId="9" xfId="1" applyFont="1" applyFill="1" applyBorder="1" applyAlignment="1" applyProtection="1">
      <protection locked="0"/>
    </xf>
    <xf numFmtId="38" fontId="4" fillId="4" borderId="15" xfId="1" applyFont="1" applyFill="1" applyBorder="1" applyAlignment="1" applyProtection="1">
      <protection locked="0"/>
    </xf>
    <xf numFmtId="0" fontId="22" fillId="12" borderId="55" xfId="0" applyFont="1" applyFill="1" applyBorder="1"/>
    <xf numFmtId="0" fontId="24" fillId="12" borderId="55" xfId="0" applyFont="1" applyFill="1" applyBorder="1"/>
    <xf numFmtId="38" fontId="24" fillId="12" borderId="55" xfId="0" applyNumberFormat="1" applyFont="1" applyFill="1" applyBorder="1"/>
    <xf numFmtId="176" fontId="24" fillId="12" borderId="55" xfId="0" applyNumberFormat="1" applyFont="1" applyFill="1" applyBorder="1"/>
    <xf numFmtId="0" fontId="22" fillId="12" borderId="55" xfId="0" applyFont="1" applyFill="1" applyBorder="1" applyAlignment="1">
      <alignment horizontal="center"/>
    </xf>
    <xf numFmtId="0" fontId="23" fillId="13" borderId="63" xfId="0" applyFont="1" applyFill="1" applyBorder="1"/>
    <xf numFmtId="0" fontId="23" fillId="13" borderId="64" xfId="0" applyFont="1" applyFill="1" applyBorder="1"/>
    <xf numFmtId="0" fontId="22" fillId="12" borderId="59" xfId="0" applyFont="1" applyFill="1" applyBorder="1" applyAlignment="1">
      <alignment horizontal="center"/>
    </xf>
    <xf numFmtId="0" fontId="22" fillId="12" borderId="60" xfId="0" applyFont="1" applyFill="1" applyBorder="1"/>
    <xf numFmtId="0" fontId="22" fillId="12" borderId="57" xfId="0" applyFont="1" applyFill="1" applyBorder="1"/>
    <xf numFmtId="0" fontId="22" fillId="12" borderId="60" xfId="0" applyFont="1" applyFill="1" applyBorder="1" applyAlignment="1">
      <alignment horizontal="center"/>
    </xf>
    <xf numFmtId="0" fontId="22" fillId="12" borderId="66" xfId="0" applyFont="1" applyFill="1" applyBorder="1" applyAlignment="1">
      <alignment horizontal="center"/>
    </xf>
    <xf numFmtId="0" fontId="22" fillId="12" borderId="56" xfId="0" applyFont="1" applyFill="1" applyBorder="1" applyAlignment="1">
      <alignment horizontal="center"/>
    </xf>
    <xf numFmtId="0" fontId="22" fillId="12" borderId="67" xfId="0" applyFont="1" applyFill="1" applyBorder="1"/>
    <xf numFmtId="0" fontId="22" fillId="12" borderId="58" xfId="0" applyFont="1" applyFill="1" applyBorder="1"/>
    <xf numFmtId="0" fontId="22" fillId="12" borderId="62" xfId="0" applyFont="1" applyFill="1" applyBorder="1"/>
    <xf numFmtId="38" fontId="22" fillId="12" borderId="55" xfId="0" applyNumberFormat="1" applyFont="1" applyFill="1" applyBorder="1"/>
    <xf numFmtId="38" fontId="22" fillId="12" borderId="60" xfId="0" applyNumberFormat="1" applyFont="1" applyFill="1" applyBorder="1" applyAlignment="1">
      <alignment horizontal="center"/>
    </xf>
    <xf numFmtId="38" fontId="22" fillId="12" borderId="59" xfId="0" applyNumberFormat="1" applyFont="1" applyFill="1" applyBorder="1" applyAlignment="1">
      <alignment horizontal="center"/>
    </xf>
    <xf numFmtId="22" fontId="22" fillId="12" borderId="55" xfId="0" applyNumberFormat="1" applyFont="1" applyFill="1" applyBorder="1"/>
    <xf numFmtId="0" fontId="22" fillId="12" borderId="69" xfId="0" applyFont="1" applyFill="1" applyBorder="1"/>
    <xf numFmtId="0" fontId="27" fillId="12" borderId="55" xfId="0" applyFont="1" applyFill="1" applyBorder="1"/>
    <xf numFmtId="0" fontId="22" fillId="17" borderId="55" xfId="0" applyFont="1" applyFill="1" applyBorder="1"/>
    <xf numFmtId="0" fontId="22" fillId="18" borderId="55" xfId="0" applyFont="1" applyFill="1" applyBorder="1"/>
    <xf numFmtId="0" fontId="28" fillId="12" borderId="55" xfId="0" applyFont="1" applyFill="1" applyBorder="1"/>
    <xf numFmtId="0" fontId="28" fillId="12" borderId="55" xfId="0" applyFont="1" applyFill="1" applyBorder="1" applyAlignment="1">
      <alignment vertical="center" wrapText="1"/>
    </xf>
    <xf numFmtId="0" fontId="29" fillId="19" borderId="65" xfId="0" applyFont="1" applyFill="1" applyBorder="1" applyAlignment="1">
      <alignment horizontal="center"/>
    </xf>
    <xf numFmtId="181" fontId="29" fillId="19" borderId="65" xfId="0" applyNumberFormat="1" applyFont="1" applyFill="1" applyBorder="1"/>
    <xf numFmtId="182" fontId="29" fillId="19" borderId="65" xfId="0" applyNumberFormat="1" applyFont="1" applyFill="1" applyBorder="1"/>
    <xf numFmtId="183" fontId="29" fillId="19" borderId="65" xfId="0" applyNumberFormat="1" applyFont="1" applyFill="1" applyBorder="1" applyAlignment="1">
      <alignment horizontal="center"/>
    </xf>
    <xf numFmtId="184" fontId="22" fillId="16" borderId="57" xfId="0" applyNumberFormat="1" applyFont="1" applyFill="1" applyBorder="1" applyAlignment="1">
      <alignment horizontal="center"/>
    </xf>
    <xf numFmtId="0" fontId="30" fillId="20" borderId="60" xfId="0" applyFont="1" applyFill="1" applyBorder="1" applyAlignment="1">
      <alignment horizontal="center" wrapText="1"/>
    </xf>
    <xf numFmtId="0" fontId="30" fillId="20" borderId="66" xfId="0" applyFont="1" applyFill="1" applyBorder="1" applyAlignment="1">
      <alignment horizontal="center" wrapText="1"/>
    </xf>
    <xf numFmtId="0" fontId="30" fillId="20" borderId="69" xfId="0" applyFont="1" applyFill="1" applyBorder="1" applyAlignment="1">
      <alignment horizontal="center" wrapText="1"/>
    </xf>
    <xf numFmtId="0" fontId="30" fillId="20" borderId="59" xfId="0" applyFont="1" applyFill="1" applyBorder="1" applyAlignment="1">
      <alignment horizontal="center" wrapText="1"/>
    </xf>
    <xf numFmtId="0" fontId="29" fillId="19" borderId="65" xfId="0" applyFont="1" applyFill="1" applyBorder="1" applyAlignment="1">
      <alignment wrapText="1"/>
    </xf>
    <xf numFmtId="0" fontId="28" fillId="21" borderId="58" xfId="0" applyFont="1" applyFill="1" applyBorder="1" applyAlignment="1">
      <alignment wrapText="1"/>
    </xf>
    <xf numFmtId="0" fontId="28" fillId="21" borderId="59" xfId="0" applyFont="1" applyFill="1" applyBorder="1" applyAlignment="1">
      <alignment wrapText="1"/>
    </xf>
    <xf numFmtId="0" fontId="31" fillId="12" borderId="55" xfId="0" applyFont="1" applyFill="1" applyBorder="1"/>
    <xf numFmtId="184" fontId="32" fillId="22" borderId="59" xfId="0" applyNumberFormat="1" applyFont="1" applyFill="1" applyBorder="1"/>
    <xf numFmtId="181" fontId="32" fillId="22" borderId="59" xfId="0" applyNumberFormat="1" applyFont="1" applyFill="1" applyBorder="1"/>
    <xf numFmtId="0" fontId="30" fillId="20" borderId="64" xfId="0" applyFont="1" applyFill="1" applyBorder="1"/>
    <xf numFmtId="185" fontId="22" fillId="12" borderId="55" xfId="0" applyNumberFormat="1" applyFont="1" applyFill="1" applyBorder="1"/>
    <xf numFmtId="181" fontId="22" fillId="12" borderId="55" xfId="0" applyNumberFormat="1" applyFont="1" applyFill="1" applyBorder="1"/>
    <xf numFmtId="0" fontId="30" fillId="20" borderId="55" xfId="0" applyFont="1" applyFill="1" applyBorder="1" applyAlignment="1">
      <alignment wrapText="1"/>
    </xf>
    <xf numFmtId="186" fontId="33" fillId="12" borderId="55" xfId="0" applyNumberFormat="1" applyFont="1" applyFill="1" applyBorder="1" applyAlignment="1">
      <alignment wrapText="1"/>
    </xf>
    <xf numFmtId="38" fontId="5" fillId="0" borderId="0" xfId="1" applyFont="1" applyAlignment="1" applyProtection="1"/>
    <xf numFmtId="38" fontId="4" fillId="3" borderId="2" xfId="1" applyFont="1" applyFill="1" applyBorder="1" applyAlignment="1" applyProtection="1"/>
    <xf numFmtId="176" fontId="4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/>
    <xf numFmtId="176" fontId="5" fillId="3" borderId="2" xfId="1" applyNumberFormat="1" applyFont="1" applyFill="1" applyBorder="1" applyAlignment="1" applyProtection="1">
      <alignment horizontal="right"/>
    </xf>
    <xf numFmtId="176" fontId="5" fillId="3" borderId="3" xfId="1" applyNumberFormat="1" applyFont="1" applyFill="1" applyBorder="1" applyAlignment="1" applyProtection="1">
      <alignment horizontal="right"/>
    </xf>
    <xf numFmtId="38" fontId="4" fillId="0" borderId="0" xfId="1" applyFont="1" applyFill="1" applyBorder="1" applyAlignment="1" applyProtection="1"/>
    <xf numFmtId="176" fontId="5" fillId="0" borderId="0" xfId="1" applyNumberFormat="1" applyFont="1" applyFill="1" applyBorder="1" applyAlignment="1" applyProtection="1"/>
    <xf numFmtId="176" fontId="5" fillId="0" borderId="0" xfId="1" applyNumberFormat="1" applyFont="1" applyFill="1" applyBorder="1" applyAlignment="1" applyProtection="1">
      <alignment wrapText="1"/>
    </xf>
    <xf numFmtId="176" fontId="5" fillId="0" borderId="0" xfId="1" applyNumberFormat="1" applyFont="1" applyFill="1" applyBorder="1" applyAlignment="1" applyProtection="1">
      <alignment horizontal="center" vertical="center"/>
    </xf>
    <xf numFmtId="38" fontId="5" fillId="0" borderId="0" xfId="1" applyFont="1" applyFill="1" applyBorder="1" applyAlignment="1" applyProtection="1">
      <alignment horizontal="center"/>
    </xf>
    <xf numFmtId="38" fontId="4" fillId="0" borderId="0" xfId="1" applyFont="1" applyFill="1" applyBorder="1" applyAlignment="1" applyProtection="1">
      <alignment horizontal="center"/>
    </xf>
    <xf numFmtId="176" fontId="4" fillId="0" borderId="0" xfId="1" applyNumberFormat="1" applyFont="1" applyFill="1" applyBorder="1" applyAlignment="1" applyProtection="1"/>
    <xf numFmtId="38" fontId="4" fillId="4" borderId="54" xfId="1" applyFont="1" applyFill="1" applyBorder="1" applyAlignment="1" applyProtection="1">
      <protection locked="0"/>
    </xf>
    <xf numFmtId="38" fontId="20" fillId="0" borderId="1" xfId="1" applyFont="1" applyFill="1" applyBorder="1" applyAlignment="1" applyProtection="1"/>
    <xf numFmtId="38" fontId="20" fillId="7" borderId="31" xfId="1" applyFont="1" applyFill="1" applyBorder="1" applyAlignment="1" applyProtection="1"/>
    <xf numFmtId="38" fontId="20" fillId="0" borderId="32" xfId="1" applyFont="1" applyFill="1" applyBorder="1" applyAlignment="1" applyProtection="1"/>
    <xf numFmtId="38" fontId="4" fillId="0" borderId="46" xfId="1" applyFont="1" applyFill="1" applyBorder="1" applyAlignment="1" applyProtection="1"/>
    <xf numFmtId="38" fontId="4" fillId="0" borderId="43" xfId="1" applyFont="1" applyFill="1" applyBorder="1" applyAlignment="1" applyProtection="1"/>
    <xf numFmtId="38" fontId="20" fillId="9" borderId="32" xfId="1" applyFont="1" applyFill="1" applyBorder="1" applyAlignment="1" applyProtection="1"/>
    <xf numFmtId="38" fontId="20" fillId="9" borderId="47" xfId="1" applyFont="1" applyFill="1" applyBorder="1" applyAlignment="1" applyProtection="1">
      <alignment vertical="center"/>
    </xf>
    <xf numFmtId="38" fontId="20" fillId="9" borderId="51" xfId="1" applyFont="1" applyFill="1" applyBorder="1" applyAlignment="1" applyProtection="1">
      <alignment vertical="center"/>
    </xf>
    <xf numFmtId="38" fontId="20" fillId="9" borderId="33" xfId="1" applyFont="1" applyFill="1" applyBorder="1" applyAlignment="1" applyProtection="1"/>
    <xf numFmtId="38" fontId="20" fillId="9" borderId="1" xfId="1" applyFont="1" applyFill="1" applyBorder="1" applyAlignment="1" applyProtection="1"/>
    <xf numFmtId="38" fontId="20" fillId="9" borderId="34" xfId="1" applyFont="1" applyFill="1" applyBorder="1" applyAlignment="1" applyProtection="1"/>
    <xf numFmtId="0" fontId="22" fillId="15" borderId="65" xfId="0" applyFont="1" applyFill="1" applyBorder="1" applyAlignment="1" applyProtection="1">
      <alignment horizontal="center"/>
      <protection locked="0"/>
    </xf>
    <xf numFmtId="0" fontId="41" fillId="0" borderId="0" xfId="3" applyProtection="1"/>
    <xf numFmtId="182" fontId="13" fillId="0" borderId="41" xfId="0" applyNumberFormat="1" applyFont="1" applyBorder="1"/>
    <xf numFmtId="182" fontId="16" fillId="0" borderId="41" xfId="0" applyNumberFormat="1" applyFont="1" applyBorder="1"/>
    <xf numFmtId="182" fontId="13" fillId="0" borderId="35" xfId="0" applyNumberFormat="1" applyFont="1" applyBorder="1" applyAlignment="1">
      <alignment horizontal="left"/>
    </xf>
    <xf numFmtId="182" fontId="13" fillId="0" borderId="41" xfId="0" applyNumberFormat="1" applyFont="1" applyBorder="1" applyAlignment="1">
      <alignment horizontal="left"/>
    </xf>
    <xf numFmtId="182" fontId="13" fillId="0" borderId="38" xfId="0" applyNumberFormat="1" applyFont="1" applyBorder="1" applyAlignment="1">
      <alignment horizontal="left"/>
    </xf>
    <xf numFmtId="182" fontId="0" fillId="0" borderId="0" xfId="0" applyNumberFormat="1"/>
    <xf numFmtId="182" fontId="16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82" fontId="26" fillId="12" borderId="55" xfId="0" applyNumberFormat="1" applyFont="1" applyFill="1" applyBorder="1" applyAlignment="1">
      <alignment vertical="center"/>
    </xf>
    <xf numFmtId="0" fontId="24" fillId="14" borderId="71" xfId="0" applyFont="1" applyFill="1" applyBorder="1"/>
    <xf numFmtId="0" fontId="6" fillId="3" borderId="34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4" fillId="3" borderId="2" xfId="0" applyFont="1" applyFill="1" applyBorder="1"/>
    <xf numFmtId="0" fontId="6" fillId="0" borderId="5" xfId="0" applyFont="1" applyBorder="1" applyAlignment="1">
      <alignment horizontal="distributed" vertical="center"/>
    </xf>
    <xf numFmtId="0" fontId="5" fillId="0" borderId="0" xfId="0" applyFont="1" applyAlignment="1">
      <alignment horizontal="center"/>
    </xf>
    <xf numFmtId="0" fontId="6" fillId="0" borderId="8" xfId="0" applyFont="1" applyBorder="1" applyAlignment="1">
      <alignment horizontal="distributed" vertical="center"/>
    </xf>
    <xf numFmtId="0" fontId="6" fillId="0" borderId="1" xfId="0" applyFont="1" applyBorder="1" applyAlignment="1">
      <alignment horizontal="distributed" vertical="center"/>
    </xf>
    <xf numFmtId="0" fontId="4" fillId="0" borderId="0" xfId="0" applyFont="1"/>
    <xf numFmtId="0" fontId="5" fillId="0" borderId="2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34" fillId="12" borderId="55" xfId="0" applyFont="1" applyFill="1" applyBorder="1"/>
    <xf numFmtId="0" fontId="29" fillId="19" borderId="55" xfId="0" applyFont="1" applyFill="1" applyBorder="1"/>
    <xf numFmtId="0" fontId="35" fillId="12" borderId="55" xfId="0" applyFont="1" applyFill="1" applyBorder="1" applyAlignment="1">
      <alignment vertical="center"/>
    </xf>
    <xf numFmtId="184" fontId="39" fillId="22" borderId="55" xfId="0" applyNumberFormat="1" applyFont="1" applyFill="1" applyBorder="1" applyAlignment="1">
      <alignment horizontal="right" vertical="center" wrapText="1"/>
    </xf>
    <xf numFmtId="181" fontId="35" fillId="12" borderId="55" xfId="0" applyNumberFormat="1" applyFont="1" applyFill="1" applyBorder="1" applyAlignment="1">
      <alignment horizontal="right" vertical="center"/>
    </xf>
    <xf numFmtId="184" fontId="35" fillId="12" borderId="55" xfId="0" applyNumberFormat="1" applyFont="1" applyFill="1" applyBorder="1" applyAlignment="1">
      <alignment horizontal="right" vertical="center"/>
    </xf>
    <xf numFmtId="181" fontId="40" fillId="22" borderId="55" xfId="0" applyNumberFormat="1" applyFont="1" applyFill="1" applyBorder="1" applyAlignment="1">
      <alignment horizontal="right" vertical="center"/>
    </xf>
    <xf numFmtId="184" fontId="40" fillId="22" borderId="55" xfId="0" applyNumberFormat="1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horizontal="right" vertical="center"/>
    </xf>
    <xf numFmtId="0" fontId="35" fillId="12" borderId="55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6" fillId="0" borderId="8" xfId="0" applyFont="1" applyBorder="1" applyAlignment="1">
      <alignment horizontal="distributed" vertical="center" wrapText="1"/>
    </xf>
    <xf numFmtId="0" fontId="0" fillId="0" borderId="46" xfId="0" applyBorder="1" applyAlignment="1">
      <alignment horizontal="right"/>
    </xf>
    <xf numFmtId="0" fontId="0" fillId="0" borderId="43" xfId="0" applyBorder="1" applyAlignment="1">
      <alignment horizontal="right"/>
    </xf>
    <xf numFmtId="40" fontId="22" fillId="12" borderId="60" xfId="0" applyNumberFormat="1" applyFont="1" applyFill="1" applyBorder="1"/>
    <xf numFmtId="38" fontId="25" fillId="17" borderId="68" xfId="0" applyNumberFormat="1" applyFont="1" applyFill="1" applyBorder="1" applyAlignment="1">
      <alignment vertical="center"/>
    </xf>
    <xf numFmtId="40" fontId="25" fillId="17" borderId="61" xfId="0" applyNumberFormat="1" applyFont="1" applyFill="1" applyBorder="1" applyAlignment="1">
      <alignment vertical="center"/>
    </xf>
    <xf numFmtId="40" fontId="22" fillId="12" borderId="59" xfId="0" applyNumberFormat="1" applyFont="1" applyFill="1" applyBorder="1"/>
    <xf numFmtId="0" fontId="6" fillId="0" borderId="0" xfId="0" applyFont="1" applyAlignment="1">
      <alignment horizontal="left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40" fontId="0" fillId="8" borderId="8" xfId="0" applyNumberFormat="1" applyFill="1" applyBorder="1"/>
    <xf numFmtId="40" fontId="0" fillId="0" borderId="8" xfId="0" applyNumberFormat="1" applyBorder="1" applyAlignment="1">
      <alignment horizontal="center"/>
    </xf>
    <xf numFmtId="40" fontId="0" fillId="0" borderId="8" xfId="0" applyNumberFormat="1" applyBorder="1" applyAlignment="1">
      <alignment horizontal="center" vertical="center"/>
    </xf>
    <xf numFmtId="0" fontId="0" fillId="0" borderId="0" xfId="0" applyAlignment="1">
      <alignment horizontal="center" wrapText="1"/>
    </xf>
    <xf numFmtId="40" fontId="22" fillId="16" borderId="59" xfId="0" applyNumberFormat="1" applyFont="1" applyFill="1" applyBorder="1"/>
    <xf numFmtId="40" fontId="0" fillId="0" borderId="0" xfId="0" applyNumberFormat="1"/>
    <xf numFmtId="40" fontId="0" fillId="0" borderId="2" xfId="0" applyNumberFormat="1" applyBorder="1"/>
    <xf numFmtId="40" fontId="0" fillId="0" borderId="44" xfId="0" applyNumberFormat="1" applyBorder="1"/>
    <xf numFmtId="38" fontId="22" fillId="16" borderId="59" xfId="0" applyNumberFormat="1" applyFont="1" applyFill="1" applyBorder="1"/>
    <xf numFmtId="0" fontId="46" fillId="0" borderId="72" xfId="0" applyFont="1" applyBorder="1" applyAlignment="1">
      <alignment vertical="center" wrapText="1"/>
    </xf>
    <xf numFmtId="0" fontId="48" fillId="0" borderId="0" xfId="0" applyFont="1" applyAlignment="1">
      <alignment vertical="center" wrapText="1"/>
    </xf>
    <xf numFmtId="0" fontId="52" fillId="23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88" fontId="48" fillId="0" borderId="0" xfId="0" applyNumberFormat="1" applyFont="1" applyAlignment="1">
      <alignment vertical="center" wrapText="1"/>
    </xf>
    <xf numFmtId="187" fontId="48" fillId="0" borderId="0" xfId="0" applyNumberFormat="1" applyFont="1" applyAlignment="1">
      <alignment vertical="center" wrapText="1"/>
    </xf>
    <xf numFmtId="0" fontId="6" fillId="0" borderId="52" xfId="0" applyFont="1" applyBorder="1" applyAlignment="1">
      <alignment horizontal="distributed" vertical="distributed" wrapText="1" indent="2"/>
    </xf>
    <xf numFmtId="0" fontId="6" fillId="0" borderId="53" xfId="0" applyFont="1" applyBorder="1" applyAlignment="1">
      <alignment horizontal="distributed" vertical="distributed" wrapText="1" indent="2"/>
    </xf>
    <xf numFmtId="0" fontId="6" fillId="0" borderId="27" xfId="0" applyFont="1" applyBorder="1" applyAlignment="1">
      <alignment horizontal="distributed" vertical="distributed" wrapText="1" indent="2"/>
    </xf>
    <xf numFmtId="0" fontId="6" fillId="0" borderId="2" xfId="0" applyFont="1" applyBorder="1" applyAlignment="1">
      <alignment horizontal="distributed" vertical="distributed" wrapText="1" indent="2"/>
    </xf>
    <xf numFmtId="0" fontId="6" fillId="0" borderId="28" xfId="0" applyFont="1" applyBorder="1" applyAlignment="1">
      <alignment horizontal="distributed" vertical="distributed" wrapText="1" indent="2"/>
    </xf>
    <xf numFmtId="0" fontId="6" fillId="0" borderId="29" xfId="0" applyFont="1" applyBorder="1" applyAlignment="1">
      <alignment horizontal="distributed" vertical="distributed" wrapText="1" indent="2"/>
    </xf>
    <xf numFmtId="0" fontId="6" fillId="0" borderId="4" xfId="0" applyFont="1" applyBorder="1" applyAlignment="1">
      <alignment horizontal="center" vertical="distributed" textRotation="255" indent="3"/>
    </xf>
    <xf numFmtId="0" fontId="6" fillId="0" borderId="7" xfId="0" applyFont="1" applyBorder="1" applyAlignment="1">
      <alignment horizontal="center" vertical="distributed" textRotation="255" indent="3"/>
    </xf>
    <xf numFmtId="0" fontId="6" fillId="0" borderId="26" xfId="0" applyFont="1" applyBorder="1" applyAlignment="1">
      <alignment horizontal="center" vertical="distributed" textRotation="255" indent="3"/>
    </xf>
    <xf numFmtId="0" fontId="6" fillId="0" borderId="21" xfId="0" applyFont="1" applyBorder="1" applyAlignment="1">
      <alignment horizontal="center" vertical="center" textRotation="255" shrinkToFit="1"/>
    </xf>
    <xf numFmtId="0" fontId="6" fillId="0" borderId="12" xfId="0" applyFont="1" applyBorder="1" applyAlignment="1">
      <alignment horizontal="center" vertical="center" textRotation="255" shrinkToFit="1"/>
    </xf>
    <xf numFmtId="0" fontId="6" fillId="0" borderId="23" xfId="0" applyFont="1" applyBorder="1" applyAlignment="1">
      <alignment horizontal="center" vertical="center" textRotation="255"/>
    </xf>
    <xf numFmtId="0" fontId="6" fillId="0" borderId="24" xfId="0" applyFont="1" applyBorder="1" applyAlignment="1">
      <alignment horizontal="center" vertical="center" textRotation="255"/>
    </xf>
    <xf numFmtId="0" fontId="6" fillId="0" borderId="25" xfId="0" applyFont="1" applyBorder="1" applyAlignment="1">
      <alignment horizontal="center" vertical="center" textRotation="255"/>
    </xf>
    <xf numFmtId="0" fontId="6" fillId="0" borderId="1" xfId="0" applyFont="1" applyBorder="1" applyAlignment="1">
      <alignment horizontal="distributed" vertical="center"/>
    </xf>
    <xf numFmtId="0" fontId="6" fillId="0" borderId="2" xfId="0" applyFont="1" applyBorder="1" applyAlignment="1">
      <alignment horizontal="distributed" vertical="center"/>
    </xf>
    <xf numFmtId="0" fontId="6" fillId="0" borderId="16" xfId="0" applyFont="1" applyBorder="1" applyAlignment="1">
      <alignment horizontal="center" vertical="center" textRotation="255"/>
    </xf>
    <xf numFmtId="0" fontId="6" fillId="0" borderId="17" xfId="0" applyFont="1" applyBorder="1" applyAlignment="1">
      <alignment horizontal="center" vertical="center" textRotation="255"/>
    </xf>
    <xf numFmtId="0" fontId="6" fillId="0" borderId="18" xfId="0" applyFont="1" applyBorder="1" applyAlignment="1">
      <alignment horizontal="center" vertical="center" textRotation="255"/>
    </xf>
    <xf numFmtId="0" fontId="6" fillId="0" borderId="5" xfId="0" applyFont="1" applyBorder="1" applyAlignment="1">
      <alignment horizontal="distributed" vertical="center" wrapText="1"/>
    </xf>
    <xf numFmtId="0" fontId="7" fillId="0" borderId="5" xfId="0" applyFont="1" applyBorder="1" applyAlignment="1">
      <alignment horizontal="distributed" vertical="center"/>
    </xf>
    <xf numFmtId="0" fontId="6" fillId="0" borderId="3" xfId="0" applyFont="1" applyBorder="1" applyAlignment="1">
      <alignment horizontal="distributed" vertical="center"/>
    </xf>
    <xf numFmtId="0" fontId="6" fillId="0" borderId="8" xfId="0" applyFont="1" applyBorder="1" applyAlignment="1">
      <alignment horizontal="distributed" vertical="center"/>
    </xf>
    <xf numFmtId="0" fontId="7" fillId="0" borderId="8" xfId="0" applyFont="1" applyBorder="1" applyAlignment="1">
      <alignment horizontal="distributed" vertical="center"/>
    </xf>
    <xf numFmtId="0" fontId="6" fillId="0" borderId="19" xfId="0" applyFont="1" applyBorder="1" applyAlignment="1">
      <alignment horizontal="distributed" vertical="center"/>
    </xf>
    <xf numFmtId="0" fontId="6" fillId="0" borderId="20" xfId="0" applyFont="1" applyBorder="1" applyAlignment="1">
      <alignment horizontal="distributed" vertical="center"/>
    </xf>
    <xf numFmtId="0" fontId="6" fillId="0" borderId="13" xfId="0" applyFont="1" applyBorder="1" applyAlignment="1">
      <alignment horizontal="center" vertical="distributed" textRotation="255" indent="3"/>
    </xf>
    <xf numFmtId="0" fontId="6" fillId="0" borderId="5" xfId="0" applyFont="1" applyBorder="1" applyAlignment="1">
      <alignment horizontal="center" vertical="center" textRotation="255" shrinkToFit="1"/>
    </xf>
    <xf numFmtId="0" fontId="6" fillId="0" borderId="8" xfId="0" applyFont="1" applyBorder="1" applyAlignment="1">
      <alignment horizontal="center" vertical="center" textRotation="255" shrinkToFit="1"/>
    </xf>
    <xf numFmtId="0" fontId="8" fillId="0" borderId="10" xfId="0" applyFont="1" applyBorder="1" applyAlignment="1">
      <alignment horizontal="center" vertical="center" textRotation="255" shrinkToFit="1"/>
    </xf>
    <xf numFmtId="0" fontId="8" fillId="0" borderId="11" xfId="0" applyFont="1" applyBorder="1" applyAlignment="1">
      <alignment horizontal="center" vertical="center" textRotation="255" shrinkToFit="1"/>
    </xf>
    <xf numFmtId="0" fontId="8" fillId="0" borderId="12" xfId="0" applyFont="1" applyBorder="1" applyAlignment="1">
      <alignment horizontal="center" vertical="center" textRotation="255" shrinkToFit="1"/>
    </xf>
    <xf numFmtId="0" fontId="8" fillId="0" borderId="8" xfId="0" applyFont="1" applyBorder="1" applyAlignment="1">
      <alignment horizontal="center" vertical="center" textRotation="255" shrinkToFit="1"/>
    </xf>
    <xf numFmtId="0" fontId="6" fillId="0" borderId="14" xfId="0" applyFont="1" applyBorder="1" applyAlignment="1">
      <alignment horizontal="distributed" vertical="center" indent="1"/>
    </xf>
    <xf numFmtId="0" fontId="36" fillId="12" borderId="55" xfId="0" applyFont="1" applyFill="1" applyBorder="1" applyAlignment="1">
      <alignment vertical="center"/>
    </xf>
    <xf numFmtId="0" fontId="35" fillId="12" borderId="55" xfId="0" applyFont="1" applyFill="1" applyBorder="1" applyAlignment="1">
      <alignment vertical="center"/>
    </xf>
    <xf numFmtId="0" fontId="37" fillId="20" borderId="55" xfId="0" applyFont="1" applyFill="1" applyBorder="1" applyAlignment="1">
      <alignment vertical="center"/>
    </xf>
    <xf numFmtId="0" fontId="39" fillId="22" borderId="55" xfId="0" applyFont="1" applyFill="1" applyBorder="1" applyAlignment="1">
      <alignment vertical="center" wrapText="1"/>
    </xf>
    <xf numFmtId="0" fontId="40" fillId="22" borderId="55" xfId="0" applyFont="1" applyFill="1" applyBorder="1" applyAlignment="1">
      <alignment vertical="center"/>
    </xf>
    <xf numFmtId="181" fontId="37" fillId="20" borderId="55" xfId="0" applyNumberFormat="1" applyFont="1" applyFill="1" applyBorder="1" applyAlignment="1">
      <alignment horizontal="right" vertical="center"/>
    </xf>
    <xf numFmtId="184" fontId="37" fillId="20" borderId="55" xfId="0" applyNumberFormat="1" applyFont="1" applyFill="1" applyBorder="1" applyAlignment="1">
      <alignment horizontal="right" vertical="center"/>
    </xf>
    <xf numFmtId="0" fontId="51" fillId="0" borderId="0" xfId="0" applyFont="1" applyAlignment="1">
      <alignment vertical="center" wrapText="1"/>
    </xf>
    <xf numFmtId="0" fontId="48" fillId="0" borderId="0" xfId="0" applyFont="1" applyAlignment="1">
      <alignment vertical="center" wrapText="1"/>
    </xf>
    <xf numFmtId="40" fontId="0" fillId="0" borderId="10" xfId="0" applyNumberFormat="1" applyBorder="1" applyAlignment="1">
      <alignment horizontal="center" vertical="center" wrapText="1"/>
    </xf>
    <xf numFmtId="40" fontId="0" fillId="0" borderId="12" xfId="0" applyNumberFormat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0" xfId="0" applyFont="1" applyBorder="1" applyAlignment="1">
      <alignment horizontal="distributed" vertical="center"/>
    </xf>
    <xf numFmtId="0" fontId="6" fillId="0" borderId="11" xfId="0" applyFont="1" applyBorder="1" applyAlignment="1">
      <alignment horizontal="distributed" vertical="center"/>
    </xf>
    <xf numFmtId="0" fontId="6" fillId="0" borderId="12" xfId="0" applyFont="1" applyBorder="1" applyAlignment="1">
      <alignment horizontal="distributed" vertical="center"/>
    </xf>
    <xf numFmtId="38" fontId="20" fillId="7" borderId="48" xfId="1" applyFont="1" applyFill="1" applyBorder="1" applyAlignment="1" applyProtection="1">
      <alignment horizontal="right"/>
    </xf>
    <xf numFmtId="38" fontId="20" fillId="7" borderId="49" xfId="1" applyFont="1" applyFill="1" applyBorder="1" applyAlignment="1" applyProtection="1">
      <alignment horizontal="right"/>
    </xf>
    <xf numFmtId="38" fontId="20" fillId="7" borderId="45" xfId="1" applyFont="1" applyFill="1" applyBorder="1" applyAlignment="1" applyProtection="1">
      <alignment horizontal="right"/>
    </xf>
    <xf numFmtId="0" fontId="6" fillId="0" borderId="8" xfId="0" applyFont="1" applyBorder="1" applyAlignment="1">
      <alignment horizontal="center" vertical="center" textRotation="255"/>
    </xf>
    <xf numFmtId="0" fontId="0" fillId="0" borderId="8" xfId="0" applyBorder="1" applyAlignment="1">
      <alignment horizontal="center" vertical="center"/>
    </xf>
    <xf numFmtId="40" fontId="0" fillId="0" borderId="8" xfId="0" applyNumberFormat="1" applyBorder="1" applyAlignment="1">
      <alignment horizontal="center" vertical="center" wrapText="1"/>
    </xf>
    <xf numFmtId="40" fontId="0" fillId="0" borderId="8" xfId="0" applyNumberFormat="1" applyBorder="1" applyAlignment="1">
      <alignment horizontal="center" vertical="center"/>
    </xf>
    <xf numFmtId="40" fontId="0" fillId="0" borderId="1" xfId="0" applyNumberFormat="1" applyBorder="1" applyAlignment="1">
      <alignment horizontal="center" vertical="center"/>
    </xf>
    <xf numFmtId="40" fontId="0" fillId="0" borderId="3" xfId="0" applyNumberFormat="1" applyBorder="1" applyAlignment="1">
      <alignment horizontal="center" vertical="center"/>
    </xf>
    <xf numFmtId="0" fontId="22" fillId="12" borderId="66" xfId="0" applyFont="1" applyFill="1" applyBorder="1" applyAlignment="1">
      <alignment horizontal="left" vertical="center"/>
    </xf>
    <xf numFmtId="0" fontId="22" fillId="12" borderId="68" xfId="0" applyFont="1" applyFill="1" applyBorder="1" applyAlignment="1">
      <alignment horizontal="left" vertical="center"/>
    </xf>
    <xf numFmtId="0" fontId="22" fillId="12" borderId="60" xfId="0" applyFont="1" applyFill="1" applyBorder="1" applyAlignment="1">
      <alignment horizontal="left" vertical="center"/>
    </xf>
    <xf numFmtId="0" fontId="32" fillId="22" borderId="61" xfId="0" applyFont="1" applyFill="1" applyBorder="1" applyAlignment="1">
      <alignment horizontal="left" vertical="center"/>
    </xf>
    <xf numFmtId="178" fontId="13" fillId="0" borderId="35" xfId="0" applyNumberFormat="1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wrapText="1" shrinkToFit="1"/>
    </xf>
    <xf numFmtId="0" fontId="14" fillId="0" borderId="37" xfId="0" applyFont="1" applyBorder="1" applyAlignment="1">
      <alignment horizontal="center" vertical="center" shrinkToFit="1"/>
    </xf>
    <xf numFmtId="0" fontId="14" fillId="0" borderId="36" xfId="0" applyFon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8" fontId="13" fillId="0" borderId="35" xfId="0" applyNumberFormat="1" applyFont="1" applyBorder="1" applyAlignment="1">
      <alignment vertical="center" shrinkToFit="1"/>
    </xf>
    <xf numFmtId="0" fontId="0" fillId="0" borderId="37" xfId="0" applyBorder="1" applyAlignment="1">
      <alignment vertical="center" shrinkToFit="1"/>
    </xf>
    <xf numFmtId="0" fontId="0" fillId="0" borderId="36" xfId="0" applyBorder="1" applyAlignment="1">
      <alignment vertical="center" shrinkToFit="1"/>
    </xf>
    <xf numFmtId="0" fontId="42" fillId="23" borderId="0" xfId="0" applyFont="1" applyFill="1" applyAlignment="1">
      <alignment horizontal="left" vertical="center"/>
    </xf>
    <xf numFmtId="0" fontId="43" fillId="0" borderId="0" xfId="0" applyFont="1" applyAlignment="1">
      <alignment vertical="center" wrapText="1"/>
    </xf>
    <xf numFmtId="0" fontId="46" fillId="0" borderId="72" xfId="0" applyFont="1" applyBorder="1" applyAlignment="1">
      <alignment vertical="center" wrapText="1"/>
    </xf>
    <xf numFmtId="0" fontId="45" fillId="26" borderId="0" xfId="0" applyFont="1" applyFill="1" applyAlignment="1">
      <alignment vertical="top" wrapText="1"/>
    </xf>
    <xf numFmtId="0" fontId="9" fillId="27" borderId="0" xfId="0" applyFont="1" applyFill="1" applyAlignment="1">
      <alignment horizontal="center" vertical="center"/>
    </xf>
    <xf numFmtId="0" fontId="8" fillId="0" borderId="0" xfId="0" applyFont="1"/>
    <xf numFmtId="0" fontId="53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wrapText="1"/>
    </xf>
    <xf numFmtId="0" fontId="48" fillId="0" borderId="0" xfId="0" applyFont="1" applyAlignment="1">
      <alignment wrapText="1"/>
    </xf>
    <xf numFmtId="0" fontId="4" fillId="4" borderId="52" xfId="0" applyFont="1" applyFill="1" applyBorder="1" applyAlignment="1" applyProtection="1">
      <alignment horizontal="centerContinuous" vertical="center"/>
      <protection locked="0"/>
    </xf>
    <xf numFmtId="0" fontId="4" fillId="4" borderId="50" xfId="0" applyFont="1" applyFill="1" applyBorder="1" applyAlignment="1">
      <alignment horizontal="centerContinuous" vertical="center"/>
    </xf>
    <xf numFmtId="0" fontId="55" fillId="27" borderId="0" xfId="3" applyFont="1" applyFill="1" applyAlignment="1">
      <alignment horizontal="center" vertical="center"/>
    </xf>
    <xf numFmtId="0" fontId="8" fillId="0" borderId="0" xfId="0" applyFont="1" applyAlignment="1">
      <alignment wrapText="1"/>
    </xf>
    <xf numFmtId="1" fontId="22" fillId="12" borderId="55" xfId="0" applyNumberFormat="1" applyFont="1" applyFill="1" applyBorder="1"/>
    <xf numFmtId="0" fontId="0" fillId="0" borderId="0" xfId="0" applyAlignment="1">
      <alignment horizontal="left" vertical="center" wrapText="1"/>
    </xf>
    <xf numFmtId="0" fontId="0" fillId="0" borderId="73" xfId="0" applyBorder="1" applyAlignment="1">
      <alignment horizontal="left" vertical="center" wrapText="1"/>
    </xf>
    <xf numFmtId="1" fontId="0" fillId="0" borderId="0" xfId="0" applyNumberFormat="1"/>
    <xf numFmtId="0" fontId="56" fillId="12" borderId="55" xfId="0" applyFont="1" applyFill="1" applyBorder="1" applyAlignment="1">
      <alignment vertical="center" wrapText="1"/>
    </xf>
    <xf numFmtId="0" fontId="57" fillId="23" borderId="55" xfId="0" applyFont="1" applyFill="1" applyBorder="1" applyAlignment="1">
      <alignment horizontal="center" vertical="center"/>
    </xf>
    <xf numFmtId="0" fontId="58" fillId="26" borderId="72" xfId="0" applyFont="1" applyFill="1" applyBorder="1" applyAlignment="1">
      <alignment horizontal="left" vertical="center"/>
    </xf>
    <xf numFmtId="181" fontId="59" fillId="26" borderId="72" xfId="0" applyNumberFormat="1" applyFont="1" applyFill="1" applyBorder="1" applyAlignment="1">
      <alignment horizontal="right" vertical="center"/>
    </xf>
    <xf numFmtId="184" fontId="59" fillId="26" borderId="72" xfId="0" applyNumberFormat="1" applyFont="1" applyFill="1" applyBorder="1" applyAlignment="1">
      <alignment horizontal="right" vertical="center"/>
    </xf>
    <xf numFmtId="0" fontId="58" fillId="27" borderId="72" xfId="0" applyFont="1" applyFill="1" applyBorder="1" applyAlignment="1">
      <alignment horizontal="left" vertical="center"/>
    </xf>
    <xf numFmtId="181" fontId="59" fillId="27" borderId="72" xfId="0" applyNumberFormat="1" applyFont="1" applyFill="1" applyBorder="1" applyAlignment="1">
      <alignment horizontal="right" vertical="center"/>
    </xf>
    <xf numFmtId="184" fontId="59" fillId="27" borderId="72" xfId="0" applyNumberFormat="1" applyFont="1" applyFill="1" applyBorder="1" applyAlignment="1">
      <alignment horizontal="right" vertical="center"/>
    </xf>
    <xf numFmtId="0" fontId="58" fillId="28" borderId="72" xfId="0" applyFont="1" applyFill="1" applyBorder="1" applyAlignment="1">
      <alignment horizontal="left" vertical="center"/>
    </xf>
    <xf numFmtId="181" fontId="58" fillId="28" borderId="72" xfId="0" applyNumberFormat="1" applyFont="1" applyFill="1" applyBorder="1" applyAlignment="1">
      <alignment horizontal="right" vertical="center"/>
    </xf>
    <xf numFmtId="184" fontId="58" fillId="28" borderId="72" xfId="0" applyNumberFormat="1" applyFont="1" applyFill="1" applyBorder="1" applyAlignment="1">
      <alignment horizontal="right" vertical="center"/>
    </xf>
    <xf numFmtId="0" fontId="54" fillId="27" borderId="71" xfId="0" applyFont="1" applyFill="1" applyBorder="1" applyAlignment="1">
      <alignment horizontal="center" wrapText="1"/>
    </xf>
    <xf numFmtId="0" fontId="8" fillId="12" borderId="72" xfId="0" applyFont="1" applyFill="1" applyBorder="1" applyAlignment="1">
      <alignment vertical="center" wrapText="1"/>
    </xf>
    <xf numFmtId="188" fontId="8" fillId="12" borderId="72" xfId="0" applyNumberFormat="1" applyFont="1" applyFill="1" applyBorder="1" applyAlignment="1">
      <alignment vertical="center" wrapText="1"/>
    </xf>
    <xf numFmtId="0" fontId="8" fillId="12" borderId="72" xfId="0" applyFont="1" applyFill="1" applyBorder="1" applyAlignment="1">
      <alignment horizontal="center" vertical="center" wrapText="1"/>
    </xf>
    <xf numFmtId="0" fontId="11" fillId="0" borderId="0" xfId="0" applyFont="1" applyAlignment="1">
      <alignment wrapText="1"/>
    </xf>
    <xf numFmtId="0" fontId="44" fillId="24" borderId="72" xfId="0" applyFont="1" applyFill="1" applyBorder="1" applyAlignment="1">
      <alignment horizontal="center" vertical="center" wrapText="1"/>
    </xf>
    <xf numFmtId="0" fontId="44" fillId="24" borderId="72" xfId="0" applyFont="1" applyFill="1" applyBorder="1" applyAlignment="1">
      <alignment horizontal="center" vertical="center" wrapText="1"/>
    </xf>
    <xf numFmtId="0" fontId="9" fillId="0" borderId="72" xfId="0" applyFont="1" applyBorder="1" applyAlignment="1">
      <alignment vertical="center" wrapText="1"/>
    </xf>
    <xf numFmtId="0" fontId="11" fillId="0" borderId="72" xfId="0" applyFont="1" applyBorder="1" applyAlignment="1">
      <alignment wrapText="1"/>
    </xf>
    <xf numFmtId="0" fontId="55" fillId="27" borderId="0" xfId="3" applyFont="1" applyFill="1" applyAlignment="1">
      <alignment horizontal="center" vertical="center" wrapText="1"/>
    </xf>
    <xf numFmtId="0" fontId="9" fillId="27" borderId="0" xfId="0" applyFont="1" applyFill="1" applyAlignment="1">
      <alignment horizontal="center" vertical="center" wrapText="1"/>
    </xf>
    <xf numFmtId="0" fontId="38" fillId="12" borderId="55" xfId="0" applyFont="1" applyFill="1" applyBorder="1" applyAlignment="1">
      <alignment vertical="center" wrapText="1"/>
    </xf>
    <xf numFmtId="0" fontId="38" fillId="12" borderId="55" xfId="0" applyFont="1" applyFill="1" applyBorder="1" applyAlignment="1">
      <alignment horizontal="right" vertical="center" wrapText="1"/>
    </xf>
    <xf numFmtId="0" fontId="35" fillId="12" borderId="55" xfId="0" applyFont="1" applyFill="1" applyBorder="1" applyAlignment="1">
      <alignment horizontal="right" vertical="center" wrapText="1"/>
    </xf>
    <xf numFmtId="0" fontId="49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vertical="center" wrapText="1"/>
    </xf>
    <xf numFmtId="0" fontId="50" fillId="0" borderId="0" xfId="0" applyFont="1" applyAlignment="1">
      <alignment vertical="center" wrapText="1"/>
    </xf>
    <xf numFmtId="188" fontId="60" fillId="25" borderId="45" xfId="1" applyNumberFormat="1" applyFont="1" applyFill="1" applyBorder="1" applyAlignment="1" applyProtection="1">
      <protection locked="0"/>
    </xf>
    <xf numFmtId="183" fontId="29" fillId="19" borderId="70" xfId="0" applyNumberFormat="1" applyFont="1" applyFill="1" applyBorder="1" applyAlignment="1" applyProtection="1">
      <alignment horizontal="right"/>
    </xf>
    <xf numFmtId="0" fontId="0" fillId="0" borderId="7" xfId="0" applyBorder="1" applyAlignment="1" applyProtection="1">
      <alignment horizontal="right"/>
    </xf>
    <xf numFmtId="0" fontId="0" fillId="0" borderId="26" xfId="0" applyBorder="1" applyAlignment="1" applyProtection="1">
      <alignment horizontal="right"/>
    </xf>
    <xf numFmtId="0" fontId="29" fillId="19" borderId="65" xfId="0" applyFont="1" applyFill="1" applyBorder="1" applyAlignment="1" applyProtection="1">
      <alignment wrapText="1"/>
      <protection locked="0"/>
    </xf>
    <xf numFmtId="181" fontId="29" fillId="19" borderId="65" xfId="0" applyNumberFormat="1" applyFont="1" applyFill="1" applyBorder="1" applyProtection="1">
      <protection locked="0"/>
    </xf>
    <xf numFmtId="182" fontId="29" fillId="19" borderId="65" xfId="0" applyNumberFormat="1" applyFont="1" applyFill="1" applyBorder="1" applyProtection="1">
      <protection locked="0"/>
    </xf>
    <xf numFmtId="0" fontId="29" fillId="19" borderId="65" xfId="0" applyFont="1" applyFill="1" applyBorder="1" applyAlignment="1" applyProtection="1">
      <alignment horizontal="center"/>
      <protection locked="0"/>
    </xf>
    <xf numFmtId="183" fontId="29" fillId="19" borderId="65" xfId="0" applyNumberFormat="1" applyFont="1" applyFill="1" applyBorder="1" applyAlignment="1" applyProtection="1">
      <alignment horizontal="center"/>
    </xf>
    <xf numFmtId="0" fontId="47" fillId="25" borderId="72" xfId="0" applyFont="1" applyFill="1" applyBorder="1" applyAlignment="1" applyProtection="1">
      <alignment horizontal="left" vertical="center" wrapText="1"/>
      <protection locked="0"/>
    </xf>
    <xf numFmtId="187" fontId="47" fillId="25" borderId="72" xfId="0" applyNumberFormat="1" applyFont="1" applyFill="1" applyBorder="1" applyAlignment="1" applyProtection="1">
      <alignment horizontal="left" vertical="center" wrapText="1"/>
      <protection locked="0"/>
    </xf>
  </cellXfs>
  <cellStyles count="4">
    <cellStyle name="ハイパーリンク" xfId="3" builtinId="8"/>
    <cellStyle name="桁区切り" xfId="1" builtinId="6"/>
    <cellStyle name="標準" xfId="0" builtinId="0"/>
    <cellStyle name="標準_data" xfId="2" xr:uid="{16407A27-4467-4D38-84CA-363A47E735F8}"/>
  </cellStyles>
  <dxfs count="4">
    <dxf>
      <font>
        <b/>
        <color rgb="FF9A3412"/>
      </font>
      <fill>
        <patternFill patternType="solid">
          <bgColor rgb="FFFFF1D6"/>
        </patternFill>
      </fill>
    </dxf>
    <dxf>
      <font>
        <color rgb="FFFF0000"/>
      </font>
    </dxf>
    <dxf>
      <font>
        <color rgb="FFFF0000"/>
      </font>
    </dxf>
    <dxf>
      <numFmt numFmtId="18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ThisWorkbook.図形クリックでシート切替_最安定版" textlink="">
      <xdr:nvSpPr>
        <xdr:cNvPr id="2" name="事業所得">
          <a:extLst>
            <a:ext uri="{FF2B5EF4-FFF2-40B4-BE49-F238E27FC236}">
              <a16:creationId xmlns:a16="http://schemas.microsoft.com/office/drawing/2014/main" id="{99F6EAEF-10CB-4DC1-8E8D-5EC9F25FAC7D}"/>
            </a:ext>
          </a:extLst>
        </xdr:cNvPr>
        <xdr:cNvSpPr/>
      </xdr:nvSpPr>
      <xdr:spPr>
        <a:xfrm>
          <a:off x="4527176" y="1129553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事業所得の内訳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[0]!ThisWorkbook.図形クリックでシート切替_最安定版" textlink="">
      <xdr:nvSpPr>
        <xdr:cNvPr id="4" name="不動産所得">
          <a:extLst>
            <a:ext uri="{FF2B5EF4-FFF2-40B4-BE49-F238E27FC236}">
              <a16:creationId xmlns:a16="http://schemas.microsoft.com/office/drawing/2014/main" id="{180AE598-EC11-4CAC-9B26-828046A16F11}"/>
            </a:ext>
          </a:extLst>
        </xdr:cNvPr>
        <xdr:cNvSpPr/>
      </xdr:nvSpPr>
      <xdr:spPr>
        <a:xfrm>
          <a:off x="4527176" y="1721224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不動産の内訳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[0]!ThisWorkbook.図形クリックでシート切替_最安定版" textlink="">
      <xdr:nvSpPr>
        <xdr:cNvPr id="5" name="総合配当">
          <a:extLst>
            <a:ext uri="{FF2B5EF4-FFF2-40B4-BE49-F238E27FC236}">
              <a16:creationId xmlns:a16="http://schemas.microsoft.com/office/drawing/2014/main" id="{B0DFCE52-F91D-4448-9794-77B6126B0F6D}"/>
            </a:ext>
          </a:extLst>
        </xdr:cNvPr>
        <xdr:cNvSpPr/>
      </xdr:nvSpPr>
      <xdr:spPr>
        <a:xfrm>
          <a:off x="4527176" y="2017059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配当の内訳</a:t>
          </a:r>
        </a:p>
      </xdr:txBody>
    </xdr:sp>
    <xdr:clientData/>
  </xdr:twoCellAnchor>
  <xdr:twoCellAnchor>
    <xdr:from>
      <xdr:col>7</xdr:col>
      <xdr:colOff>1</xdr:colOff>
      <xdr:row>9</xdr:row>
      <xdr:rowOff>0</xdr:rowOff>
    </xdr:from>
    <xdr:to>
      <xdr:col>8</xdr:col>
      <xdr:colOff>0</xdr:colOff>
      <xdr:row>10</xdr:row>
      <xdr:rowOff>0</xdr:rowOff>
    </xdr:to>
    <xdr:sp macro="[0]!ThisWorkbook.図形クリックでシート切替_最安定版" textlink="">
      <xdr:nvSpPr>
        <xdr:cNvPr id="6" name="給与所得">
          <a:extLst>
            <a:ext uri="{FF2B5EF4-FFF2-40B4-BE49-F238E27FC236}">
              <a16:creationId xmlns:a16="http://schemas.microsoft.com/office/drawing/2014/main" id="{DBE9CF42-3000-426C-9390-8CA25F75F126}"/>
            </a:ext>
          </a:extLst>
        </xdr:cNvPr>
        <xdr:cNvSpPr/>
      </xdr:nvSpPr>
      <xdr:spPr>
        <a:xfrm>
          <a:off x="4526281" y="2301240"/>
          <a:ext cx="1363979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給与の内訳</a:t>
          </a:r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15</xdr:row>
      <xdr:rowOff>0</xdr:rowOff>
    </xdr:to>
    <xdr:sp macro="[0]!ThisWorkbook.図形クリックでシート切替_最安定版" textlink="">
      <xdr:nvSpPr>
        <xdr:cNvPr id="10" name="総合譲渡">
          <a:extLst>
            <a:ext uri="{FF2B5EF4-FFF2-40B4-BE49-F238E27FC236}">
              <a16:creationId xmlns:a16="http://schemas.microsoft.com/office/drawing/2014/main" id="{425187AB-DCC3-4BF8-8999-9E020BA7079B}"/>
            </a:ext>
          </a:extLst>
        </xdr:cNvPr>
        <xdr:cNvSpPr/>
      </xdr:nvSpPr>
      <xdr:spPr>
        <a:xfrm>
          <a:off x="4526280" y="3489960"/>
          <a:ext cx="1363980" cy="5943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総合譲渡の内訳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[0]!ThisWorkbook.図形クリックでシート切替_最安定版" textlink="">
      <xdr:nvSpPr>
        <xdr:cNvPr id="11" name="一時所得">
          <a:extLst>
            <a:ext uri="{FF2B5EF4-FFF2-40B4-BE49-F238E27FC236}">
              <a16:creationId xmlns:a16="http://schemas.microsoft.com/office/drawing/2014/main" id="{C9ADE01A-5833-4DE4-A02C-B81C3C709EB7}"/>
            </a:ext>
          </a:extLst>
        </xdr:cNvPr>
        <xdr:cNvSpPr/>
      </xdr:nvSpPr>
      <xdr:spPr>
        <a:xfrm>
          <a:off x="4527176" y="40879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一時所得の内訳</a:t>
          </a:r>
        </a:p>
      </xdr:txBody>
    </xdr:sp>
    <xdr:clientData/>
  </xdr:twoCellAnchor>
  <xdr:twoCellAnchor>
    <xdr:from>
      <xdr:col>7</xdr:col>
      <xdr:colOff>1</xdr:colOff>
      <xdr:row>24</xdr:row>
      <xdr:rowOff>295834</xdr:rowOff>
    </xdr:from>
    <xdr:to>
      <xdr:col>8</xdr:col>
      <xdr:colOff>0</xdr:colOff>
      <xdr:row>30</xdr:row>
      <xdr:rowOff>0</xdr:rowOff>
    </xdr:to>
    <xdr:sp macro="[0]!ThisWorkbook.図形クリックでシート切替_最安定版" textlink="">
      <xdr:nvSpPr>
        <xdr:cNvPr id="12" name="分離譲渡">
          <a:extLst>
            <a:ext uri="{FF2B5EF4-FFF2-40B4-BE49-F238E27FC236}">
              <a16:creationId xmlns:a16="http://schemas.microsoft.com/office/drawing/2014/main" id="{558C071C-02E3-47C8-A983-9701766E5771}"/>
            </a:ext>
          </a:extLst>
        </xdr:cNvPr>
        <xdr:cNvSpPr/>
      </xdr:nvSpPr>
      <xdr:spPr>
        <a:xfrm>
          <a:off x="4527177" y="7046258"/>
          <a:ext cx="1362635" cy="147917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900"/>
            <a:t>譲渡の内訳</a:t>
          </a:r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32</xdr:row>
      <xdr:rowOff>0</xdr:rowOff>
    </xdr:to>
    <xdr:sp macro="[0]!ThisWorkbook.図形クリックでシート切替_最安定版" textlink="">
      <xdr:nvSpPr>
        <xdr:cNvPr id="13" name="分離株式譲渡">
          <a:extLst>
            <a:ext uri="{FF2B5EF4-FFF2-40B4-BE49-F238E27FC236}">
              <a16:creationId xmlns:a16="http://schemas.microsoft.com/office/drawing/2014/main" id="{4D9136DC-1B72-4E8E-B686-011C21A746A8}"/>
            </a:ext>
          </a:extLst>
        </xdr:cNvPr>
        <xdr:cNvSpPr/>
      </xdr:nvSpPr>
      <xdr:spPr>
        <a:xfrm>
          <a:off x="4527176" y="8525435"/>
          <a:ext cx="1362636" cy="59167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株式等の譲渡</a:t>
          </a:r>
          <a:endParaRPr kumimoji="1" lang="en-US" altLang="ja-JP" sz="1100"/>
        </a:p>
        <a:p>
          <a:pPr algn="ctr"/>
          <a:r>
            <a:rPr kumimoji="1" lang="ja-JP" altLang="en-US" sz="1100"/>
            <a:t>の内訳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[0]!ThisWorkbook.図形クリックでシート切替_最安定版" textlink="">
      <xdr:nvSpPr>
        <xdr:cNvPr id="14" name="山林所得">
          <a:extLst>
            <a:ext uri="{FF2B5EF4-FFF2-40B4-BE49-F238E27FC236}">
              <a16:creationId xmlns:a16="http://schemas.microsoft.com/office/drawing/2014/main" id="{DC2AC578-3F88-4459-8BF2-920ED5CD386B}"/>
            </a:ext>
          </a:extLst>
        </xdr:cNvPr>
        <xdr:cNvSpPr/>
      </xdr:nvSpPr>
      <xdr:spPr>
        <a:xfrm>
          <a:off x="4526280" y="973074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山林の内訳</a:t>
          </a:r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[0]!ThisWorkbook.図形クリックでシート切替_最安定版" textlink="">
      <xdr:nvSpPr>
        <xdr:cNvPr id="15" name="退職所得">
          <a:extLst>
            <a:ext uri="{FF2B5EF4-FFF2-40B4-BE49-F238E27FC236}">
              <a16:creationId xmlns:a16="http://schemas.microsoft.com/office/drawing/2014/main" id="{53CD2980-5676-4DBA-8076-BCC4CE205A5B}"/>
            </a:ext>
          </a:extLst>
        </xdr:cNvPr>
        <xdr:cNvSpPr/>
      </xdr:nvSpPr>
      <xdr:spPr>
        <a:xfrm>
          <a:off x="4526280" y="10027920"/>
          <a:ext cx="1363980" cy="2971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退職の内訳</a:t>
          </a:r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[0]!ThisWorkbook.図形クリックでシート切替_最安定版" textlink="">
      <xdr:nvSpPr>
        <xdr:cNvPr id="16" name="分離配当">
          <a:extLst>
            <a:ext uri="{FF2B5EF4-FFF2-40B4-BE49-F238E27FC236}">
              <a16:creationId xmlns:a16="http://schemas.microsoft.com/office/drawing/2014/main" id="{C4F31B35-42C6-45FD-826A-18E0BBCE0CA1}"/>
            </a:ext>
          </a:extLst>
        </xdr:cNvPr>
        <xdr:cNvSpPr/>
      </xdr:nvSpPr>
      <xdr:spPr>
        <a:xfrm>
          <a:off x="4527176" y="9117106"/>
          <a:ext cx="1362636" cy="29583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配当等の内訳</a:t>
          </a:r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33</xdr:row>
      <xdr:rowOff>295834</xdr:rowOff>
    </xdr:to>
    <xdr:sp macro="[0]!ThisWorkbook.図形クリックでシート切替_最安定版" textlink="">
      <xdr:nvSpPr>
        <xdr:cNvPr id="17" name="先物取引">
          <a:extLst>
            <a:ext uri="{FF2B5EF4-FFF2-40B4-BE49-F238E27FC236}">
              <a16:creationId xmlns:a16="http://schemas.microsoft.com/office/drawing/2014/main" id="{946DCD1B-6A9C-4DD7-87F9-5C5EBFB53E32}"/>
            </a:ext>
          </a:extLst>
        </xdr:cNvPr>
        <xdr:cNvSpPr/>
      </xdr:nvSpPr>
      <xdr:spPr>
        <a:xfrm>
          <a:off x="4526280" y="9433560"/>
          <a:ext cx="1363980" cy="29583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先物取引の内訳</a:t>
          </a:r>
        </a:p>
      </xdr:txBody>
    </xdr:sp>
    <xdr:clientData/>
  </xdr:twoCellAnchor>
  <xdr:twoCellAnchor>
    <xdr:from>
      <xdr:col>7</xdr:col>
      <xdr:colOff>1</xdr:colOff>
      <xdr:row>10</xdr:row>
      <xdr:rowOff>1</xdr:rowOff>
    </xdr:from>
    <xdr:to>
      <xdr:col>8</xdr:col>
      <xdr:colOff>1</xdr:colOff>
      <xdr:row>13</xdr:row>
      <xdr:rowOff>0</xdr:rowOff>
    </xdr:to>
    <xdr:sp macro="[0]!ThisWorkbook.図形クリックでシート切替_最安定版" textlink="">
      <xdr:nvSpPr>
        <xdr:cNvPr id="18" name="雑所得">
          <a:extLst>
            <a:ext uri="{FF2B5EF4-FFF2-40B4-BE49-F238E27FC236}">
              <a16:creationId xmlns:a16="http://schemas.microsoft.com/office/drawing/2014/main" id="{47570364-CD26-4C0A-AEF1-E61336C8E095}"/>
            </a:ext>
          </a:extLst>
        </xdr:cNvPr>
        <xdr:cNvSpPr/>
      </xdr:nvSpPr>
      <xdr:spPr>
        <a:xfrm>
          <a:off x="4527177" y="2608730"/>
          <a:ext cx="1362636" cy="887505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雑所得の内訳</a:t>
          </a:r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[0]!ThisWorkbook.図形クリックでシート切替_最安定版" textlink="">
      <xdr:nvSpPr>
        <xdr:cNvPr id="20" name="申告不要分">
          <a:extLst>
            <a:ext uri="{FF2B5EF4-FFF2-40B4-BE49-F238E27FC236}">
              <a16:creationId xmlns:a16="http://schemas.microsoft.com/office/drawing/2014/main" id="{0D0534D9-3280-4ED0-9699-3CD8A95DF040}"/>
            </a:ext>
          </a:extLst>
        </xdr:cNvPr>
        <xdr:cNvSpPr/>
      </xdr:nvSpPr>
      <xdr:spPr>
        <a:xfrm>
          <a:off x="4527176" y="10596282"/>
          <a:ext cx="1362636" cy="385483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ja-JP" altLang="en-US" sz="1100"/>
            <a:t>申告不要分の所得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7</xdr:col>
      <xdr:colOff>1</xdr:colOff>
      <xdr:row>17</xdr:row>
      <xdr:rowOff>0</xdr:rowOff>
    </xdr:from>
    <xdr:to>
      <xdr:col>8</xdr:col>
      <xdr:colOff>1</xdr:colOff>
      <xdr:row>23</xdr:row>
      <xdr:rowOff>0</xdr:rowOff>
    </xdr:to>
    <xdr:sp macro="[0]!ThisWorkbook.図形クリックでシート切替_最安定版" textlink="">
      <xdr:nvSpPr>
        <xdr:cNvPr id="21" name="支払税額計算">
          <a:extLst>
            <a:ext uri="{FF2B5EF4-FFF2-40B4-BE49-F238E27FC236}">
              <a16:creationId xmlns:a16="http://schemas.microsoft.com/office/drawing/2014/main" id="{128BBB83-0957-474B-9E53-0371AF1BAD92}"/>
            </a:ext>
          </a:extLst>
        </xdr:cNvPr>
        <xdr:cNvSpPr/>
      </xdr:nvSpPr>
      <xdr:spPr>
        <a:xfrm>
          <a:off x="4526281" y="4678680"/>
          <a:ext cx="1363980" cy="178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none" rtlCol="0" anchor="ctr" anchorCtr="0"/>
        <a:lstStyle/>
        <a:p>
          <a:pPr algn="ctr"/>
          <a:r>
            <a:rPr kumimoji="1" lang="en-US" altLang="ja-JP" sz="1100"/>
            <a:t>1</a:t>
          </a:r>
          <a:r>
            <a:rPr kumimoji="1" lang="ja-JP" altLang="en-US" sz="1100"/>
            <a:t>年間に支払った</a:t>
          </a:r>
          <a:br>
            <a:rPr kumimoji="1" lang="en-US" altLang="ja-JP" sz="1100"/>
          </a:br>
          <a:r>
            <a:rPr kumimoji="1" lang="ja-JP" altLang="en-US" sz="1100"/>
            <a:t>税額入力</a:t>
          </a:r>
        </a:p>
      </xdr:txBody>
    </xdr:sp>
    <xdr:clientData/>
  </xdr:twoCellAnchor>
  <xdr:twoCellAnchor editAs="absolute">
    <xdr:from>
      <xdr:col>8</xdr:col>
      <xdr:colOff>25400</xdr:colOff>
      <xdr:row>8</xdr:row>
      <xdr:rowOff>25400</xdr:rowOff>
    </xdr:from>
    <xdr:to>
      <xdr:col>10</xdr:col>
      <xdr:colOff>645160</xdr:colOff>
      <xdr:row>8</xdr:row>
      <xdr:rowOff>292100</xdr:rowOff>
    </xdr:to>
    <xdr:sp macro="[0]!OpenBackups" textlink="">
      <xdr:nvSpPr>
        <xdr:cNvPr id="3" name="正方形/長方形 2">
          <a:extLst>
            <a:ext uri="{FF2B5EF4-FFF2-40B4-BE49-F238E27FC236}">
              <a16:creationId xmlns:a16="http://schemas.microsoft.com/office/drawing/2014/main" id="{4794CA90-F845-3752-12F5-C4C9D7623BB9}"/>
            </a:ext>
          </a:extLst>
        </xdr:cNvPr>
        <xdr:cNvSpPr/>
      </xdr:nvSpPr>
      <xdr:spPr>
        <a:xfrm flipH="1">
          <a:off x="5915660" y="2120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バックアップを開く</a:t>
          </a:r>
        </a:p>
      </xdr:txBody>
    </xdr:sp>
    <xdr:clientData/>
  </xdr:twoCellAnchor>
  <xdr:twoCellAnchor editAs="absolute">
    <xdr:from>
      <xdr:col>8</xdr:col>
      <xdr:colOff>25400</xdr:colOff>
      <xdr:row>9</xdr:row>
      <xdr:rowOff>83820</xdr:rowOff>
    </xdr:from>
    <xdr:to>
      <xdr:col>10</xdr:col>
      <xdr:colOff>645160</xdr:colOff>
      <xdr:row>10</xdr:row>
      <xdr:rowOff>53340</xdr:rowOff>
    </xdr:to>
    <xdr:sp macro="[0]!RefreshLi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6648E1AB-7AF9-4F3B-B580-422FE86062E6}"/>
            </a:ext>
          </a:extLst>
        </xdr:cNvPr>
        <xdr:cNvSpPr/>
      </xdr:nvSpPr>
      <xdr:spPr>
        <a:xfrm flipH="1">
          <a:off x="5915660" y="24765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/>
            <a:t>入力一覧を更新</a:t>
          </a:r>
        </a:p>
      </xdr:txBody>
    </xdr:sp>
    <xdr:clientData/>
  </xdr:twoCellAnchor>
  <xdr:twoCellAnchor editAs="absolute">
    <xdr:from>
      <xdr:col>8</xdr:col>
      <xdr:colOff>25399</xdr:colOff>
      <xdr:row>10</xdr:row>
      <xdr:rowOff>142239</xdr:rowOff>
    </xdr:from>
    <xdr:to>
      <xdr:col>10</xdr:col>
      <xdr:colOff>645159</xdr:colOff>
      <xdr:row>11</xdr:row>
      <xdr:rowOff>111759</xdr:rowOff>
    </xdr:to>
    <xdr:sp macro="[0]!ShowChecks" textlink="">
      <xdr:nvSpPr>
        <xdr:cNvPr id="7" name="正方形/長方形 6">
          <a:extLst>
            <a:ext uri="{FF2B5EF4-FFF2-40B4-BE49-F238E27FC236}">
              <a16:creationId xmlns:a16="http://schemas.microsoft.com/office/drawing/2014/main" id="{996026FF-6094-48E5-BCA8-7D08D4E467C8}"/>
            </a:ext>
          </a:extLst>
        </xdr:cNvPr>
        <xdr:cNvSpPr/>
      </xdr:nvSpPr>
      <xdr:spPr>
        <a:xfrm>
          <a:off x="5915659" y="28320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確認・使い方</a:t>
          </a:r>
        </a:p>
      </xdr:txBody>
    </xdr:sp>
    <xdr:clientData/>
  </xdr:twoCellAnchor>
  <xdr:twoCellAnchor editAs="absolute">
    <xdr:from>
      <xdr:col>8</xdr:col>
      <xdr:colOff>25399</xdr:colOff>
      <xdr:row>11</xdr:row>
      <xdr:rowOff>200659</xdr:rowOff>
    </xdr:from>
    <xdr:to>
      <xdr:col>10</xdr:col>
      <xdr:colOff>645159</xdr:colOff>
      <xdr:row>12</xdr:row>
      <xdr:rowOff>170179</xdr:rowOff>
    </xdr:to>
    <xdr:sp macro="[0]!ShowChecks" textlink="">
      <xdr:nvSpPr>
        <xdr:cNvPr id="9" name="正方形/長方形 8">
          <a:extLst>
            <a:ext uri="{FF2B5EF4-FFF2-40B4-BE49-F238E27FC236}">
              <a16:creationId xmlns:a16="http://schemas.microsoft.com/office/drawing/2014/main" id="{18DC20B9-FDBA-42AB-94F7-0EEA2ED0CBAE}"/>
            </a:ext>
          </a:extLst>
        </xdr:cNvPr>
        <xdr:cNvSpPr/>
      </xdr:nvSpPr>
      <xdr:spPr>
        <a:xfrm>
          <a:off x="5915659" y="31876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全シート検算</a:t>
          </a:r>
        </a:p>
      </xdr:txBody>
    </xdr:sp>
    <xdr:clientData/>
  </xdr:twoCellAnchor>
  <xdr:twoCellAnchor editAs="absolute">
    <xdr:from>
      <xdr:col>8</xdr:col>
      <xdr:colOff>25400</xdr:colOff>
      <xdr:row>12</xdr:row>
      <xdr:rowOff>259079</xdr:rowOff>
    </xdr:from>
    <xdr:to>
      <xdr:col>10</xdr:col>
      <xdr:colOff>645160</xdr:colOff>
      <xdr:row>13</xdr:row>
      <xdr:rowOff>228599</xdr:rowOff>
    </xdr:to>
    <xdr:sp macro="[0]!為替データ取得" textlink="">
      <xdr:nvSpPr>
        <xdr:cNvPr id="19" name="為替データ">
          <a:extLst>
            <a:ext uri="{FF2B5EF4-FFF2-40B4-BE49-F238E27FC236}">
              <a16:creationId xmlns:a16="http://schemas.microsoft.com/office/drawing/2014/main" id="{760B9DAC-70F5-4951-86BE-29A3F6EE965E}"/>
            </a:ext>
          </a:extLst>
        </xdr:cNvPr>
        <xdr:cNvSpPr/>
      </xdr:nvSpPr>
      <xdr:spPr>
        <a:xfrm>
          <a:off x="5915660" y="3543299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 editAs="absolute">
    <xdr:from>
      <xdr:col>8</xdr:col>
      <xdr:colOff>25400</xdr:colOff>
      <xdr:row>14</xdr:row>
      <xdr:rowOff>20320</xdr:rowOff>
    </xdr:from>
    <xdr:to>
      <xdr:col>10</xdr:col>
      <xdr:colOff>645160</xdr:colOff>
      <xdr:row>14</xdr:row>
      <xdr:rowOff>287020</xdr:rowOff>
    </xdr:to>
    <xdr:sp macro="[0]!PreviewReport" textlink="">
      <xdr:nvSpPr>
        <xdr:cNvPr id="22" name="為替データ">
          <a:extLst>
            <a:ext uri="{FF2B5EF4-FFF2-40B4-BE49-F238E27FC236}">
              <a16:creationId xmlns:a16="http://schemas.microsoft.com/office/drawing/2014/main" id="{2F41C744-792B-45A1-8606-D344A45F514C}"/>
            </a:ext>
          </a:extLst>
        </xdr:cNvPr>
        <xdr:cNvSpPr/>
      </xdr:nvSpPr>
      <xdr:spPr>
        <a:xfrm>
          <a:off x="5915660" y="3898900"/>
          <a:ext cx="1648460" cy="2667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レポート出力</a:t>
          </a:r>
        </a:p>
      </xdr:txBody>
    </xdr:sp>
    <xdr:clientData/>
  </xdr:twoCellAnchor>
  <xdr:twoCellAnchor editAs="absolute">
    <xdr:from>
      <xdr:col>8</xdr:col>
      <xdr:colOff>25400</xdr:colOff>
      <xdr:row>15</xdr:row>
      <xdr:rowOff>78740</xdr:rowOff>
    </xdr:from>
    <xdr:to>
      <xdr:col>10</xdr:col>
      <xdr:colOff>645160</xdr:colOff>
      <xdr:row>16</xdr:row>
      <xdr:rowOff>48260</xdr:rowOff>
    </xdr:to>
    <xdr:sp macro="CheckForUSAProgramUpdates" textlink="">
      <xdr:nvSpPr>
        <xdr:cNvPr id="23" name="btnProgramUpdate">
          <a:extLst>
            <a:ext uri="{FF2B5EF4-FFF2-40B4-BE49-F238E27FC236}">
              <a16:creationId xmlns:a16="http://schemas.microsoft.com/office/drawing/2014/main" id="{6CCBAB79-E1B0-6225-D879-32A603273A9F}"/>
            </a:ext>
          </a:extLst>
        </xdr:cNvPr>
        <xdr:cNvSpPr/>
      </xdr:nvSpPr>
      <xdr:spPr>
        <a:xfrm>
          <a:off x="5915660" y="4254500"/>
          <a:ext cx="1648460" cy="266700"/>
        </a:xfrm>
        <a:prstGeom prst="roundRect">
          <a:avLst/>
        </a:prstGeom>
        <a:solidFill>
          <a:srgbClr val="334155"/>
        </a:solidFill>
        <a:ln w="12700" cap="flat" cmpd="sng" algn="ctr">
          <a:solidFill>
            <a:srgbClr val="FFFFFF">
              <a:alpha val="65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Yu Gothic" panose="020B0400000000000000" pitchFamily="50" charset="-128"/>
            </a:rPr>
            <a:t>更新プログラム  </a:t>
          </a:r>
          <a:r>
            <a:rPr kumimoji="1" lang="en-US" altLang="ja-JP" sz="900" b="1">
              <a:solidFill>
                <a:srgbClr val="FFFFFF"/>
              </a:solidFill>
              <a:latin typeface="Yu Gothic" panose="020B0400000000000000" pitchFamily="50" charset="-128"/>
            </a:rPr>
            <a:t>v1.0.4</a:t>
          </a:r>
          <a:endParaRPr kumimoji="1" lang="ja-JP" altLang="en-US" sz="900" b="1">
            <a:solidFill>
              <a:srgbClr val="FFFFFF"/>
            </a:solidFill>
            <a:latin typeface="Yu Gothic" panose="020B0400000000000000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20469</xdr:colOff>
      <xdr:row>1</xdr:row>
      <xdr:rowOff>20918</xdr:rowOff>
    </xdr:from>
    <xdr:to>
      <xdr:col>8</xdr:col>
      <xdr:colOff>930686</xdr:colOff>
      <xdr:row>2</xdr:row>
      <xdr:rowOff>201855</xdr:rowOff>
    </xdr:to>
    <xdr:sp macro="[0]!GoMenu" textlink="">
      <xdr:nvSpPr>
        <xdr:cNvPr id="2" name="テンプレ">
          <a:extLst>
            <a:ext uri="{FF2B5EF4-FFF2-40B4-BE49-F238E27FC236}">
              <a16:creationId xmlns:a16="http://schemas.microsoft.com/office/drawing/2014/main" id="{1B566714-A5DC-4317-9C7A-23D21C32CEE6}"/>
            </a:ext>
          </a:extLst>
        </xdr:cNvPr>
        <xdr:cNvSpPr/>
      </xdr:nvSpPr>
      <xdr:spPr>
        <a:xfrm>
          <a:off x="7774940" y="254000"/>
          <a:ext cx="186944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23</xdr:row>
      <xdr:rowOff>139700</xdr:rowOff>
    </xdr:from>
    <xdr:to>
      <xdr:col>4</xdr:col>
      <xdr:colOff>812800</xdr:colOff>
      <xdr:row>25</xdr:row>
      <xdr:rowOff>139700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2</xdr:col>
      <xdr:colOff>1054100</xdr:colOff>
      <xdr:row>23</xdr:row>
      <xdr:rowOff>139700</xdr:rowOff>
    </xdr:from>
    <xdr:to>
      <xdr:col>3</xdr:col>
      <xdr:colOff>838200</xdr:colOff>
      <xdr:row>25</xdr:row>
      <xdr:rowOff>139700</xdr:rowOff>
    </xdr:to>
    <xdr:sp macro="[0]!SaveRecord" textlink="">
      <xdr:nvSpPr>
        <xdr:cNvPr id="4" name="テンプレ">
          <a:extLst>
            <a:ext uri="{FF2B5EF4-FFF2-40B4-BE49-F238E27FC236}">
              <a16:creationId xmlns:a16="http://schemas.microsoft.com/office/drawing/2014/main" id="{E320A54F-9E8C-46B8-9CDF-9234E39EA6D4}"/>
            </a:ext>
          </a:extLst>
        </xdr:cNvPr>
        <xdr:cNvSpPr/>
      </xdr:nvSpPr>
      <xdr:spPr>
        <a:xfrm>
          <a:off x="43561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4</xdr:col>
      <xdr:colOff>876300</xdr:colOff>
      <xdr:row>23</xdr:row>
      <xdr:rowOff>152400</xdr:rowOff>
    </xdr:from>
    <xdr:to>
      <xdr:col>5</xdr:col>
      <xdr:colOff>1054100</xdr:colOff>
      <xdr:row>25</xdr:row>
      <xdr:rowOff>152400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75436284-7336-42A2-8C0B-CD11D22A8028}"/>
            </a:ext>
          </a:extLst>
        </xdr:cNvPr>
        <xdr:cNvSpPr/>
      </xdr:nvSpPr>
      <xdr:spPr>
        <a:xfrm>
          <a:off x="7810500" y="55626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1</xdr:col>
      <xdr:colOff>1003300</xdr:colOff>
      <xdr:row>0</xdr:row>
      <xdr:rowOff>0</xdr:rowOff>
    </xdr:from>
    <xdr:to>
      <xdr:col>2</xdr:col>
      <xdr:colOff>0</xdr:colOff>
      <xdr:row>2</xdr:row>
      <xdr:rowOff>0</xdr:rowOff>
    </xdr:to>
    <xdr:sp macro="[0]!ClearInput" textlink="">
      <xdr:nvSpPr>
        <xdr:cNvPr id="6" name="テンプレ">
          <a:extLst>
            <a:ext uri="{FF2B5EF4-FFF2-40B4-BE49-F238E27FC236}">
              <a16:creationId xmlns:a16="http://schemas.microsoft.com/office/drawing/2014/main" id="{BDF44C17-E546-4A9B-8472-8CD67EC2C8C4}"/>
            </a:ext>
          </a:extLst>
        </xdr:cNvPr>
        <xdr:cNvSpPr/>
      </xdr:nvSpPr>
      <xdr:spPr>
        <a:xfrm>
          <a:off x="1358900" y="0"/>
          <a:ext cx="19431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2</xdr:col>
      <xdr:colOff>368300</xdr:colOff>
      <xdr:row>0</xdr:row>
      <xdr:rowOff>0</xdr:rowOff>
    </xdr:from>
    <xdr:to>
      <xdr:col>3</xdr:col>
      <xdr:colOff>558800</xdr:colOff>
      <xdr:row>2</xdr:row>
      <xdr:rowOff>0</xdr:rowOff>
    </xdr:to>
    <xdr:sp macro="[0]!DeleteRecord" textlink="">
      <xdr:nvSpPr>
        <xdr:cNvPr id="8" name="テンプレ">
          <a:extLst>
            <a:ext uri="{FF2B5EF4-FFF2-40B4-BE49-F238E27FC236}">
              <a16:creationId xmlns:a16="http://schemas.microsoft.com/office/drawing/2014/main" id="{DA7DF086-D445-400D-93AF-D9D2285ACD37}"/>
            </a:ext>
          </a:extLst>
        </xdr:cNvPr>
        <xdr:cNvSpPr/>
      </xdr:nvSpPr>
      <xdr:spPr>
        <a:xfrm>
          <a:off x="3670300" y="0"/>
          <a:ext cx="20574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5</xdr:col>
      <xdr:colOff>1193800</xdr:colOff>
      <xdr:row>23</xdr:row>
      <xdr:rowOff>165100</xdr:rowOff>
    </xdr:from>
    <xdr:to>
      <xdr:col>6</xdr:col>
      <xdr:colOff>952500</xdr:colOff>
      <xdr:row>25</xdr:row>
      <xdr:rowOff>165100</xdr:rowOff>
    </xdr:to>
    <xdr:sp macro="[0]!RefreshLists" textlink="">
      <xdr:nvSpPr>
        <xdr:cNvPr id="10" name="テンプレ">
          <a:extLst>
            <a:ext uri="{FF2B5EF4-FFF2-40B4-BE49-F238E27FC236}">
              <a16:creationId xmlns:a16="http://schemas.microsoft.com/office/drawing/2014/main" id="{38B77BB2-E017-4402-89D0-A7EC554CA5F3}"/>
            </a:ext>
          </a:extLst>
        </xdr:cNvPr>
        <xdr:cNvSpPr/>
      </xdr:nvSpPr>
      <xdr:spPr>
        <a:xfrm>
          <a:off x="9601200" y="55753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BC43BFC-B4AF-D6F2-CC68-6EDD1A331843}"/>
            </a:ext>
          </a:extLst>
        </xdr:cNvPr>
        <xdr:cNvSpPr/>
      </xdr:nvSpPr>
      <xdr:spPr>
        <a:xfrm>
          <a:off x="6096000" y="5549900"/>
          <a:ext cx="165100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[0]!Sheet1.為替取得" textlink="">
      <xdr:nvSpPr>
        <xdr:cNvPr id="2" name="正方形/長方形 1">
          <a:extLst>
            <a:ext uri="{FF2B5EF4-FFF2-40B4-BE49-F238E27FC236}">
              <a16:creationId xmlns:a16="http://schemas.microsoft.com/office/drawing/2014/main" id="{F0B17228-2CB7-4E61-9A8C-27FA2ACC65C7}"/>
            </a:ext>
          </a:extLst>
        </xdr:cNvPr>
        <xdr:cNvSpPr/>
      </xdr:nvSpPr>
      <xdr:spPr>
        <a:xfrm>
          <a:off x="1211580" y="0"/>
          <a:ext cx="1577340" cy="2286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為替データ取得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GoMenu" textlink="">
      <xdr:nvSpPr>
        <xdr:cNvPr id="3" name="テンプレ">
          <a:extLst>
            <a:ext uri="{FF2B5EF4-FFF2-40B4-BE49-F238E27FC236}">
              <a16:creationId xmlns:a16="http://schemas.microsoft.com/office/drawing/2014/main" id="{B0135957-91A3-4E26-8BFA-984F7D3F3155}"/>
            </a:ext>
          </a:extLst>
        </xdr:cNvPr>
        <xdr:cNvSpPr/>
      </xdr:nvSpPr>
      <xdr:spPr>
        <a:xfrm>
          <a:off x="3314700" y="0"/>
          <a:ext cx="1577340" cy="2286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/>
            <a:t>MENU</a:t>
          </a:r>
          <a:r>
            <a:rPr kumimoji="1" lang="ja-JP" altLang="en-US" sz="1000"/>
            <a:t>へ戻る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08BD562-7B14-4261-8927-036B412B91C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C140A00-3E40-412E-BB32-71B064CB44B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95B661B0-AC42-4E73-A96E-0516A2429EA3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0D17172-EDE6-4EBA-B779-FD0F88E0E99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B4E7C0F4-C216-45DA-9E94-5162D6815E0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7C3647C5-CF12-46FE-A4A7-6553E4B260A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AC040521-540C-4CDC-AD9D-9372F35073E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6977282-00C1-4F50-B2C8-2D3CB465736A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4757338-AC0D-4280-A437-40F77F939DB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0FE4CDA9-C70E-4BA9-A338-993A7B0F5E36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864598EC-0740-4F3F-919A-700B25C0557A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45508CF-4D21-43FA-80A3-4A100315934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579C9EA7-12EC-4CFA-84FF-744A9B9E0745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6F523D-1F52-4510-B21D-0EBEDCF949B6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CDA08368-72DB-4A80-A407-B0C2DCAE97E7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F0037E2A-146E-46CC-BEB8-1333F0D9FB3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E1014F59-759F-44C5-A490-921AEDE0A460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F1FB973-EC25-4764-9A1B-FB448CDF74C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614246F-5753-4301-BED1-449D444E257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3D6A8CA-0D83-4673-BE9C-16F569A186A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71FA3514-C444-4180-A77E-9C569762D8A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D8D5410-196D-4B08-A717-AB9B7D987D20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0D6C0D4B-54AF-4FAD-8E58-FD2832470DC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015DFD32-3156-41A3-8FC1-BA959964D32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177980D-8A86-4017-B164-8BE3E9570F4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E4AE163D-80F0-46CF-B62A-D6706DDFD554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4B7447E2-D911-483E-939F-94B5F97D9139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EC72340-40C4-4E64-870D-613A16F5635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96915E-31A9-41D7-A791-D280FE7837A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EB4DF35-B620-4960-AD34-DA4E7DD8F5E2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C85137D4-ACC9-4808-8F18-9D70F22451E0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147574D9-73E4-4CAA-819D-C9ECE99F4C2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3517E0A4-F7C5-4E81-8C4C-60BD82CF7E32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37929D2-E8F4-4E26-B95C-6C9185A0D538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655AFE4F-C2CD-4217-86B9-A3575D181F0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6BD62B3B-5E29-4ADC-9204-1E4168F90515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4692D577-3262-4A04-8C35-6DCFF1A54D59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30583F81-EBF8-4B7F-B570-9E4319587E33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C9F77C6-7C43-4E8F-BD65-DF206890629C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C9FE2136-4638-4272-92E5-C3CD0E00236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24193EFC-9A05-4E79-A729-727D235C93D1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162352E6-6F85-4F49-AAC7-EA980B6B50A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6FAA32-066D-40A8-9725-B742199AD44B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3ECD47E-8128-4EC6-8B26-9A69CCFE0F8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11A89F9-26FB-4C87-8154-F7D082FB129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5315E2F1-D1C5-4A93-AEC3-54B7C53F92C1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DE2ADE6D-3F7D-42AD-B54A-3FC32D56DC5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9642011A-D6DA-43FF-9D16-7B841BE8D0D1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3688BFFA-4B8E-401E-811B-0F1CDF2B15B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97E54B29-3879-4EED-B032-C285CEE3AE17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3BFF1D0-C0AB-4F54-B9EC-1EF2384A718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05291CA-5943-4AB6-8C54-CBA16D05B7A9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FBD2336-4302-4898-8875-AC5261300C97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818654DD-743E-414D-A7C6-A12A24C4E7A6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8FB82477-6060-40C9-94A8-D3DB58B8EE1A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C0F8F50-1654-4815-97DE-C200786977AF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297F3A05-34CB-4A44-9621-E2D19A58C4D5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892C79DA-59A5-4800-8319-6BBFE938DD32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6168FCF-27E8-4CFE-B994-9192EA6B9E2B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E7475B03-D5C1-4D71-96A6-4E338BFB406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EE364032-C53C-4628-ACA7-938FE630AFE7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CFA35C-BCB7-44F3-88DE-5C666473209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00DC493E-93A0-4D46-AC45-11BA1B473CEF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6D828799-DDAB-4EA3-B9B7-B7D6AFD2CFC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35C447EA-1131-43DD-89EB-3E2B94548E4C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31147656-CD0C-4DEF-A123-6515A486763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D1B3E2FE-3840-42EB-BA94-9663B696E7E8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6D800588-49F9-41A6-866F-62BCC1D60E19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BD941EB8-3824-41B2-A46D-04DBBA706958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AF58692-DC57-4EFA-858E-56AB694797A3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98F26B7E-8891-47C2-9410-C9A8919111FF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A8CBF7CD-4F08-499A-9C86-C3032AC75917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9CCEF568-85EF-4CA7-8006-C130F631E8E1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FFFF5213-A2E6-4AE9-A7DF-F094EEEDE8C5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874EF2B7-0E61-4F9E-A632-6E57F1C1317E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DA40EA61-AEC6-4135-9275-E8850F9E99AD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4E9CC9F9-8AA3-43B2-B9BC-1D65A034EAA6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B874671D-CCFA-4B41-BF9E-7A9B6005C879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14</xdr:row>
      <xdr:rowOff>25400</xdr:rowOff>
    </xdr:from>
    <xdr:to>
      <xdr:col>9</xdr:col>
      <xdr:colOff>1780540</xdr:colOff>
      <xdr:row>15</xdr:row>
      <xdr:rowOff>203200</xdr:rowOff>
    </xdr:to>
    <xdr:sp macro="[0]!ShowChecks" textlink="">
      <xdr:nvSpPr>
        <xdr:cNvPr id="2" name="テンプレ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4300220"/>
          <a:ext cx="5214620" cy="4064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検　算</a:t>
          </a:r>
        </a:p>
      </xdr:txBody>
    </xdr:sp>
    <xdr:clientData/>
  </xdr:twoCellAnchor>
  <xdr:twoCellAnchor>
    <xdr:from>
      <xdr:col>7</xdr:col>
      <xdr:colOff>25400</xdr:colOff>
      <xdr:row>12</xdr:row>
      <xdr:rowOff>25400</xdr:rowOff>
    </xdr:from>
    <xdr:to>
      <xdr:col>9</xdr:col>
      <xdr:colOff>1780540</xdr:colOff>
      <xdr:row>13</xdr:row>
      <xdr:rowOff>302260</xdr:rowOff>
    </xdr:to>
    <xdr:sp macro="[0]!SaveRecord" textlink="">
      <xdr:nvSpPr>
        <xdr:cNvPr id="3" name="テンプレ">
          <a:extLst>
            <a:ext uri="{FF2B5EF4-FFF2-40B4-BE49-F238E27FC236}">
              <a16:creationId xmlns:a16="http://schemas.microsoft.com/office/drawing/2014/main" id="{BE79CA22-3C25-405E-8C8F-AAA29582E782}"/>
            </a:ext>
          </a:extLst>
        </xdr:cNvPr>
        <xdr:cNvSpPr/>
      </xdr:nvSpPr>
      <xdr:spPr>
        <a:xfrm>
          <a:off x="12971780" y="3736340"/>
          <a:ext cx="5214620" cy="51308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DB</a:t>
          </a:r>
          <a:r>
            <a:rPr kumimoji="1" lang="ja-JP" altLang="en-US" sz="1600"/>
            <a:t>登録</a:t>
          </a:r>
        </a:p>
      </xdr:txBody>
    </xdr:sp>
    <xdr:clientData/>
  </xdr:twoCellAnchor>
  <xdr:twoCellAnchor>
    <xdr:from>
      <xdr:col>7</xdr:col>
      <xdr:colOff>25400</xdr:colOff>
      <xdr:row>16</xdr:row>
      <xdr:rowOff>25400</xdr:rowOff>
    </xdr:from>
    <xdr:to>
      <xdr:col>9</xdr:col>
      <xdr:colOff>1780540</xdr:colOff>
      <xdr:row>17</xdr:row>
      <xdr:rowOff>325120</xdr:rowOff>
    </xdr:to>
    <xdr:sp macro="[0]!GoMenu" textlink="">
      <xdr:nvSpPr>
        <xdr:cNvPr id="4" name="テンプレ">
          <a:extLst>
            <a:ext uri="{FF2B5EF4-FFF2-40B4-BE49-F238E27FC236}">
              <a16:creationId xmlns:a16="http://schemas.microsoft.com/office/drawing/2014/main" id="{410FE288-968F-43A4-9E9D-C79A001F169C}"/>
            </a:ext>
          </a:extLst>
        </xdr:cNvPr>
        <xdr:cNvSpPr/>
      </xdr:nvSpPr>
      <xdr:spPr>
        <a:xfrm>
          <a:off x="12971780" y="4757420"/>
          <a:ext cx="5214620" cy="5283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en-US" altLang="ja-JP" sz="1600"/>
            <a:t>MENU</a:t>
          </a:r>
          <a:r>
            <a:rPr kumimoji="1" lang="ja-JP" altLang="en-US" sz="1600"/>
            <a:t>へ戻る</a:t>
          </a:r>
        </a:p>
      </xdr:txBody>
    </xdr:sp>
    <xdr:clientData/>
  </xdr:twoCellAnchor>
  <xdr:twoCellAnchor>
    <xdr:from>
      <xdr:col>2</xdr:col>
      <xdr:colOff>25400</xdr:colOff>
      <xdr:row>0</xdr:row>
      <xdr:rowOff>25400</xdr:rowOff>
    </xdr:from>
    <xdr:to>
      <xdr:col>2</xdr:col>
      <xdr:colOff>1475740</xdr:colOff>
      <xdr:row>1</xdr:row>
      <xdr:rowOff>302260</xdr:rowOff>
    </xdr:to>
    <xdr:sp macro="[0]!ClearInput" textlink="">
      <xdr:nvSpPr>
        <xdr:cNvPr id="5" name="テンプレ">
          <a:extLst>
            <a:ext uri="{FF2B5EF4-FFF2-40B4-BE49-F238E27FC236}">
              <a16:creationId xmlns:a16="http://schemas.microsoft.com/office/drawing/2014/main" id="{6A46E25C-1EED-4CE3-8AE7-80593785FC21}"/>
            </a:ext>
          </a:extLst>
        </xdr:cNvPr>
        <xdr:cNvSpPr/>
      </xdr:nvSpPr>
      <xdr:spPr>
        <a:xfrm>
          <a:off x="3332480" y="25400"/>
          <a:ext cx="14503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入力クリア</a:t>
          </a:r>
        </a:p>
      </xdr:txBody>
    </xdr:sp>
    <xdr:clientData/>
  </xdr:twoCellAnchor>
  <xdr:twoCellAnchor>
    <xdr:from>
      <xdr:col>3</xdr:col>
      <xdr:colOff>25400</xdr:colOff>
      <xdr:row>0</xdr:row>
      <xdr:rowOff>25400</xdr:rowOff>
    </xdr:from>
    <xdr:to>
      <xdr:col>3</xdr:col>
      <xdr:colOff>2161540</xdr:colOff>
      <xdr:row>1</xdr:row>
      <xdr:rowOff>302260</xdr:rowOff>
    </xdr:to>
    <xdr:sp macro="[0]!DeleteRecord" textlink="">
      <xdr:nvSpPr>
        <xdr:cNvPr id="6" name="テンプレ">
          <a:extLst>
            <a:ext uri="{FF2B5EF4-FFF2-40B4-BE49-F238E27FC236}">
              <a16:creationId xmlns:a16="http://schemas.microsoft.com/office/drawing/2014/main" id="{26F0CE22-2185-4727-B985-38EE33FB552A}"/>
            </a:ext>
          </a:extLst>
        </xdr:cNvPr>
        <xdr:cNvSpPr/>
      </xdr:nvSpPr>
      <xdr:spPr>
        <a:xfrm>
          <a:off x="4833620" y="25400"/>
          <a:ext cx="2136140" cy="6045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削除</a:t>
          </a:r>
        </a:p>
      </xdr:txBody>
    </xdr:sp>
    <xdr:clientData/>
  </xdr:twoCellAnchor>
  <xdr:twoCellAnchor>
    <xdr:from>
      <xdr:col>7</xdr:col>
      <xdr:colOff>25400</xdr:colOff>
      <xdr:row>18</xdr:row>
      <xdr:rowOff>25400</xdr:rowOff>
    </xdr:from>
    <xdr:to>
      <xdr:col>9</xdr:col>
      <xdr:colOff>1780540</xdr:colOff>
      <xdr:row>19</xdr:row>
      <xdr:rowOff>210820</xdr:rowOff>
    </xdr:to>
    <xdr:sp macro="[0]!RefreshLists" textlink="">
      <xdr:nvSpPr>
        <xdr:cNvPr id="7" name="テンプレ">
          <a:extLst>
            <a:ext uri="{FF2B5EF4-FFF2-40B4-BE49-F238E27FC236}">
              <a16:creationId xmlns:a16="http://schemas.microsoft.com/office/drawing/2014/main" id="{17A9BA1E-E1FE-4169-BAB3-3496600F9B49}"/>
            </a:ext>
          </a:extLst>
        </xdr:cNvPr>
        <xdr:cNvSpPr/>
      </xdr:nvSpPr>
      <xdr:spPr>
        <a:xfrm>
          <a:off x="12971780" y="5336540"/>
          <a:ext cx="5214620" cy="41402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登録済一覧更新</a:t>
          </a:r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9</xdr:col>
      <xdr:colOff>1780540</xdr:colOff>
      <xdr:row>7</xdr:row>
      <xdr:rowOff>203200</xdr:rowOff>
    </xdr:to>
    <xdr:sp macro="[0]!EditRecord" textlink="">
      <xdr:nvSpPr>
        <xdr:cNvPr id="900" name="CPA_EditRecord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12971780" y="2159000"/>
          <a:ext cx="5214620" cy="50546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kumimoji="1" lang="ja-JP" altLang="en-US" sz="1600"/>
            <a:t>訂正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[0]!FillRates" textlink="">
      <xdr:nvSpPr>
        <xdr:cNvPr id="901" name="CPA_FillRates">
          <a:extLst>
            <a:ext uri="{FF2B5EF4-FFF2-40B4-BE49-F238E27FC236}">
              <a16:creationId xmlns:a16="http://schemas.microsoft.com/office/drawing/2014/main" id="{4D4099F0-8CCA-409A-A918-75B35C771BFE}"/>
            </a:ext>
          </a:extLst>
        </xdr:cNvPr>
        <xdr:cNvSpPr/>
      </xdr:nvSpPr>
      <xdr:spPr>
        <a:xfrm>
          <a:off x="6093460" y="5488940"/>
          <a:ext cx="1653540" cy="4572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/>
            <a:t>レート設定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AAA49-D5A3-4988-88C8-0D46030C9688}">
  <sheetPr codeName="Sheet2">
    <pageSetUpPr fitToPage="1"/>
  </sheetPr>
  <dimension ref="A1:L52"/>
  <sheetViews>
    <sheetView showGridLines="0" tabSelected="1" zoomScale="90" zoomScaleNormal="90" zoomScaleSheetLayoutView="100" workbookViewId="0">
      <selection activeCell="O7" sqref="O7"/>
    </sheetView>
  </sheetViews>
  <sheetFormatPr defaultRowHeight="30" customHeight="1"/>
  <cols>
    <col min="1" max="1" width="4.19921875" style="151" customWidth="1"/>
    <col min="2" max="2" width="5.8984375" style="151" customWidth="1"/>
    <col min="3" max="3" width="5.3984375" style="151" customWidth="1"/>
    <col min="4" max="4" width="3.796875" style="151" customWidth="1"/>
    <col min="5" max="5" width="13.296875" style="151" customWidth="1"/>
    <col min="6" max="6" width="15.5" style="152" customWidth="1"/>
    <col min="7" max="7" width="11.296875" style="153" customWidth="1"/>
    <col min="8" max="8" width="17.8984375" style="152" customWidth="1"/>
    <col min="9" max="9" width="11.8984375" style="151" customWidth="1"/>
    <col min="10" max="10" width="1.59765625" style="151" customWidth="1"/>
    <col min="11" max="11" width="8.796875" style="151"/>
    <col min="12" max="12" width="4.09765625" style="151" customWidth="1"/>
    <col min="13" max="16384" width="8.796875" style="151"/>
  </cols>
  <sheetData>
    <row r="1" spans="1:12" ht="13.8" thickBot="1">
      <c r="B1" s="230"/>
      <c r="C1" s="231"/>
      <c r="D1" s="231"/>
    </row>
    <row r="2" spans="1:12" ht="19.95" customHeight="1" thickBot="1">
      <c r="A2" s="372"/>
      <c r="B2" s="373"/>
      <c r="C2" s="232" t="s">
        <v>143</v>
      </c>
      <c r="D2" s="233"/>
      <c r="E2" s="234" t="str">
        <f>IF(ISNUMBER(A2),DATE(A2,1,1),"")</f>
        <v/>
      </c>
      <c r="H2" s="196" t="s">
        <v>91</v>
      </c>
      <c r="I2" s="235" t="s">
        <v>101</v>
      </c>
    </row>
    <row r="3" spans="1:12" ht="13.2">
      <c r="A3" s="236" t="s">
        <v>10</v>
      </c>
      <c r="B3" s="236"/>
      <c r="C3" s="237"/>
      <c r="D3" s="238"/>
      <c r="E3" s="239"/>
      <c r="F3" s="197"/>
      <c r="G3" s="198"/>
      <c r="H3" s="198"/>
      <c r="I3" s="199"/>
      <c r="J3" s="200"/>
      <c r="K3" s="199"/>
      <c r="L3" s="201" t="s">
        <v>11</v>
      </c>
    </row>
    <row r="4" spans="1:12" ht="13.2">
      <c r="B4" s="232" t="s">
        <v>12</v>
      </c>
      <c r="C4" s="232"/>
      <c r="D4" s="233"/>
      <c r="F4" s="202"/>
      <c r="G4" s="203"/>
      <c r="H4" s="203"/>
    </row>
    <row r="5" spans="1:12" ht="34.799999999999997" customHeight="1" thickBot="1">
      <c r="B5" s="232"/>
      <c r="C5" s="232" t="s">
        <v>13</v>
      </c>
      <c r="D5" s="233"/>
      <c r="F5" s="202"/>
      <c r="G5" s="203"/>
      <c r="H5" s="204" t="s">
        <v>158</v>
      </c>
      <c r="I5" s="204"/>
    </row>
    <row r="6" spans="1:12" ht="23.4" customHeight="1">
      <c r="C6" s="293" t="s">
        <v>14</v>
      </c>
      <c r="D6" s="314" t="s">
        <v>15</v>
      </c>
      <c r="E6" s="240" t="s">
        <v>16</v>
      </c>
      <c r="F6" s="147"/>
      <c r="G6" s="205" t="s">
        <v>17</v>
      </c>
      <c r="H6" s="206"/>
      <c r="I6" s="241"/>
    </row>
    <row r="7" spans="1:12" ht="23.4" customHeight="1">
      <c r="C7" s="294"/>
      <c r="D7" s="315"/>
      <c r="E7" s="242" t="s">
        <v>18</v>
      </c>
      <c r="F7" s="148"/>
      <c r="G7" s="205" t="s">
        <v>17</v>
      </c>
      <c r="H7" s="206"/>
    </row>
    <row r="8" spans="1:12" ht="23.4" customHeight="1">
      <c r="C8" s="294"/>
      <c r="D8" s="301" t="s">
        <v>19</v>
      </c>
      <c r="E8" s="302"/>
      <c r="F8" s="148"/>
      <c r="G8" s="205" t="s">
        <v>17</v>
      </c>
      <c r="H8" s="207"/>
    </row>
    <row r="9" spans="1:12" ht="23.4" customHeight="1">
      <c r="C9" s="294"/>
      <c r="D9" s="301" t="s">
        <v>20</v>
      </c>
      <c r="E9" s="302"/>
      <c r="F9" s="148"/>
      <c r="G9" s="205" t="s">
        <v>17</v>
      </c>
      <c r="H9" s="244"/>
    </row>
    <row r="10" spans="1:12" ht="23.4" customHeight="1">
      <c r="C10" s="294"/>
      <c r="D10" s="301" t="s">
        <v>21</v>
      </c>
      <c r="E10" s="302"/>
      <c r="F10" s="148"/>
      <c r="G10" s="205" t="s">
        <v>17</v>
      </c>
      <c r="H10" s="208"/>
    </row>
    <row r="11" spans="1:12" ht="23.4" customHeight="1">
      <c r="C11" s="294"/>
      <c r="D11" s="316" t="s">
        <v>22</v>
      </c>
      <c r="E11" s="242" t="s">
        <v>23</v>
      </c>
      <c r="F11" s="148"/>
      <c r="G11" s="205" t="s">
        <v>17</v>
      </c>
      <c r="H11" s="208"/>
    </row>
    <row r="12" spans="1:12" ht="23.4" customHeight="1">
      <c r="C12" s="294"/>
      <c r="D12" s="317"/>
      <c r="E12" s="242" t="s">
        <v>24</v>
      </c>
      <c r="F12" s="148"/>
      <c r="G12" s="205" t="s">
        <v>17</v>
      </c>
      <c r="H12" s="208"/>
    </row>
    <row r="13" spans="1:12" ht="23.4" customHeight="1">
      <c r="C13" s="294"/>
      <c r="D13" s="318"/>
      <c r="E13" s="242" t="s">
        <v>25</v>
      </c>
      <c r="F13" s="148"/>
      <c r="G13" s="205" t="s">
        <v>17</v>
      </c>
      <c r="H13" s="208"/>
    </row>
    <row r="14" spans="1:12" ht="23.4" customHeight="1">
      <c r="C14" s="294"/>
      <c r="D14" s="319" t="s">
        <v>26</v>
      </c>
      <c r="E14" s="242" t="s">
        <v>27</v>
      </c>
      <c r="F14" s="148"/>
      <c r="G14" s="205" t="s">
        <v>17</v>
      </c>
      <c r="H14" s="208"/>
    </row>
    <row r="15" spans="1:12" ht="23.4" customHeight="1">
      <c r="C15" s="294"/>
      <c r="D15" s="319"/>
      <c r="E15" s="242" t="s">
        <v>28</v>
      </c>
      <c r="F15" s="148"/>
      <c r="G15" s="205" t="s">
        <v>17</v>
      </c>
      <c r="H15" s="208"/>
    </row>
    <row r="16" spans="1:12" ht="23.4" customHeight="1" thickBot="1">
      <c r="C16" s="313"/>
      <c r="D16" s="320" t="s">
        <v>29</v>
      </c>
      <c r="E16" s="320"/>
      <c r="F16" s="149"/>
      <c r="G16" s="205" t="s">
        <v>17</v>
      </c>
      <c r="H16" s="208"/>
    </row>
    <row r="17" spans="2:8" ht="23.4" customHeight="1" thickBot="1">
      <c r="C17" s="233"/>
      <c r="D17" s="233"/>
      <c r="E17" s="233"/>
      <c r="F17" s="202"/>
      <c r="G17" s="208"/>
      <c r="H17" s="208"/>
    </row>
    <row r="18" spans="2:8" ht="23.4" customHeight="1">
      <c r="C18" s="303" t="s">
        <v>30</v>
      </c>
      <c r="D18" s="306" t="s">
        <v>31</v>
      </c>
      <c r="E18" s="307"/>
      <c r="F18" s="147"/>
      <c r="G18" s="208"/>
      <c r="H18" s="208"/>
    </row>
    <row r="19" spans="2:8" ht="23.4" customHeight="1">
      <c r="C19" s="304"/>
      <c r="D19" s="301" t="s">
        <v>32</v>
      </c>
      <c r="E19" s="308"/>
      <c r="F19" s="148"/>
      <c r="G19" s="208"/>
      <c r="H19" s="208"/>
    </row>
    <row r="20" spans="2:8" ht="23.4" customHeight="1">
      <c r="C20" s="304"/>
      <c r="D20" s="309" t="s">
        <v>33</v>
      </c>
      <c r="E20" s="310"/>
      <c r="F20" s="148"/>
      <c r="G20" s="208"/>
      <c r="H20" s="208"/>
    </row>
    <row r="21" spans="2:8" ht="23.4" customHeight="1">
      <c r="C21" s="304"/>
      <c r="D21" s="301" t="s">
        <v>34</v>
      </c>
      <c r="E21" s="308"/>
      <c r="F21" s="148"/>
      <c r="G21" s="208"/>
      <c r="H21" s="208"/>
    </row>
    <row r="22" spans="2:8" ht="23.4" customHeight="1">
      <c r="C22" s="304"/>
      <c r="D22" s="301" t="s">
        <v>35</v>
      </c>
      <c r="E22" s="308"/>
      <c r="F22" s="148"/>
      <c r="G22" s="208"/>
      <c r="H22" s="208"/>
    </row>
    <row r="23" spans="2:8" ht="23.4" customHeight="1" thickBot="1">
      <c r="C23" s="305"/>
      <c r="D23" s="311" t="s">
        <v>36</v>
      </c>
      <c r="E23" s="312"/>
      <c r="F23" s="149"/>
      <c r="G23" s="208"/>
      <c r="H23" s="208"/>
    </row>
    <row r="24" spans="2:8" ht="23.4" customHeight="1">
      <c r="B24" s="203" t="s">
        <v>37</v>
      </c>
      <c r="C24" s="233"/>
      <c r="D24" s="233"/>
      <c r="E24" s="233"/>
      <c r="F24" s="202"/>
      <c r="G24" s="208"/>
      <c r="H24" s="208"/>
    </row>
    <row r="25" spans="2:8" ht="23.4" customHeight="1" thickBot="1">
      <c r="C25" s="232" t="s">
        <v>38</v>
      </c>
      <c r="D25" s="233"/>
      <c r="E25" s="233"/>
      <c r="F25" s="202"/>
      <c r="G25" s="208"/>
      <c r="H25" s="208"/>
    </row>
    <row r="26" spans="2:8" ht="23.4" customHeight="1">
      <c r="C26" s="293" t="s">
        <v>14</v>
      </c>
      <c r="D26" s="296" t="s">
        <v>39</v>
      </c>
      <c r="E26" s="245" t="s">
        <v>40</v>
      </c>
      <c r="F26" s="147"/>
      <c r="G26" s="205" t="s">
        <v>17</v>
      </c>
      <c r="H26" s="208"/>
    </row>
    <row r="27" spans="2:8" ht="23.4" customHeight="1">
      <c r="C27" s="294"/>
      <c r="D27" s="297"/>
      <c r="E27" s="246" t="s">
        <v>41</v>
      </c>
      <c r="F27" s="148"/>
      <c r="G27" s="205" t="s">
        <v>17</v>
      </c>
      <c r="H27" s="208"/>
    </row>
    <row r="28" spans="2:8" ht="23.4" customHeight="1">
      <c r="C28" s="294"/>
      <c r="D28" s="298" t="s">
        <v>42</v>
      </c>
      <c r="E28" s="246" t="s">
        <v>40</v>
      </c>
      <c r="F28" s="148"/>
      <c r="G28" s="205" t="s">
        <v>17</v>
      </c>
      <c r="H28" s="208"/>
    </row>
    <row r="29" spans="2:8" ht="23.4" customHeight="1">
      <c r="C29" s="294"/>
      <c r="D29" s="299"/>
      <c r="E29" s="246" t="s">
        <v>43</v>
      </c>
      <c r="F29" s="148"/>
      <c r="G29" s="205" t="s">
        <v>17</v>
      </c>
      <c r="H29" s="208"/>
    </row>
    <row r="30" spans="2:8" ht="23.4" customHeight="1">
      <c r="C30" s="294"/>
      <c r="D30" s="300"/>
      <c r="E30" s="246" t="s">
        <v>44</v>
      </c>
      <c r="F30" s="148"/>
      <c r="G30" s="205" t="s">
        <v>17</v>
      </c>
      <c r="H30" s="208"/>
    </row>
    <row r="31" spans="2:8" ht="23.4" customHeight="1">
      <c r="C31" s="294"/>
      <c r="D31" s="301" t="s">
        <v>45</v>
      </c>
      <c r="E31" s="302"/>
      <c r="F31" s="148"/>
      <c r="G31" s="205" t="s">
        <v>17</v>
      </c>
      <c r="H31" s="208"/>
    </row>
    <row r="32" spans="2:8" ht="23.4" customHeight="1">
      <c r="C32" s="294"/>
      <c r="D32" s="301" t="s">
        <v>46</v>
      </c>
      <c r="E32" s="302"/>
      <c r="F32" s="148"/>
      <c r="G32" s="205" t="s">
        <v>17</v>
      </c>
      <c r="H32" s="208"/>
    </row>
    <row r="33" spans="2:12" ht="23.4" customHeight="1">
      <c r="C33" s="294"/>
      <c r="D33" s="301" t="s">
        <v>47</v>
      </c>
      <c r="E33" s="302"/>
      <c r="F33" s="148"/>
      <c r="G33" s="205" t="s">
        <v>17</v>
      </c>
      <c r="H33" s="208"/>
    </row>
    <row r="34" spans="2:12" ht="23.4" customHeight="1">
      <c r="C34" s="295"/>
      <c r="D34" s="301" t="s">
        <v>48</v>
      </c>
      <c r="E34" s="302"/>
      <c r="F34" s="148"/>
      <c r="G34" s="205" t="s">
        <v>17</v>
      </c>
      <c r="H34" s="208"/>
    </row>
    <row r="35" spans="2:12" ht="23.4" customHeight="1">
      <c r="C35" s="289" t="s">
        <v>49</v>
      </c>
      <c r="D35" s="290"/>
      <c r="E35" s="290"/>
      <c r="F35" s="148"/>
      <c r="G35" s="205" t="s">
        <v>17</v>
      </c>
      <c r="H35" s="208"/>
    </row>
    <row r="36" spans="2:12" ht="23.4" customHeight="1" thickBot="1">
      <c r="C36" s="291" t="s">
        <v>50</v>
      </c>
      <c r="D36" s="292"/>
      <c r="E36" s="292"/>
      <c r="F36" s="149"/>
      <c r="G36" s="205" t="s">
        <v>17</v>
      </c>
      <c r="H36" s="208"/>
    </row>
    <row r="37" spans="2:12" ht="23.4" customHeight="1">
      <c r="C37" s="233"/>
      <c r="D37" s="233"/>
      <c r="E37" s="233"/>
      <c r="F37" s="202"/>
      <c r="G37" s="208"/>
      <c r="H37" s="208"/>
    </row>
    <row r="38" spans="2:12" ht="23.4" customHeight="1" thickBot="1">
      <c r="C38" s="233"/>
      <c r="D38" s="233"/>
      <c r="E38" s="233"/>
      <c r="F38" s="202"/>
      <c r="G38" s="208"/>
      <c r="H38" s="208"/>
    </row>
    <row r="39" spans="2:12" ht="30" customHeight="1" thickBot="1">
      <c r="C39" s="287" t="s">
        <v>169</v>
      </c>
      <c r="D39" s="288"/>
      <c r="E39" s="288"/>
      <c r="F39" s="209"/>
    </row>
    <row r="41" spans="2:12" ht="24" customHeight="1">
      <c r="B41" s="374" t="s">
        <v>338</v>
      </c>
      <c r="C41" s="366"/>
      <c r="D41" s="366"/>
      <c r="E41" s="366"/>
      <c r="F41" s="366"/>
      <c r="G41" s="366"/>
      <c r="H41" s="366"/>
      <c r="I41" s="366"/>
      <c r="J41" s="366"/>
      <c r="K41" s="366"/>
      <c r="L41" s="366"/>
    </row>
    <row r="42" spans="2:12" ht="24" hidden="1" customHeight="1"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</row>
    <row r="43" spans="2:12" ht="24" hidden="1" customHeight="1"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</row>
    <row r="44" spans="2:12" ht="24" hidden="1" customHeight="1"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</row>
    <row r="45" spans="2:12" ht="24" hidden="1" customHeight="1"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</row>
    <row r="46" spans="2:12" ht="24" hidden="1" customHeight="1"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</row>
    <row r="47" spans="2:12" ht="30" hidden="1" customHeight="1"/>
    <row r="48" spans="2:12" ht="18" hidden="1">
      <c r="B48" s="222" t="str">
        <f>HYPERLINK("#'詳細設定'!B2","詳細設定（任意）　氏名・税額調整")</f>
        <v>詳細設定（任意）　氏名・税額調整</v>
      </c>
      <c r="F48" s="248"/>
      <c r="G48" s="248"/>
      <c r="H48" s="248"/>
      <c r="I48" s="248"/>
    </row>
    <row r="49" spans="6:6" ht="30" hidden="1" customHeight="1"/>
    <row r="50" spans="6:6" ht="30" hidden="1" customHeight="1"/>
    <row r="51" spans="6:6" ht="30" hidden="1" customHeight="1"/>
    <row r="52" spans="6:6" ht="30" hidden="1" customHeight="1">
      <c r="F52" s="152" t="str">
        <f>IF(NOT(ISNUMBER(A2)),"対象年を入力",IF(COUNTIFS(DB!$B$2:$B$1001,A2,DB!$A$2:$A$1001,"&lt;&gt;")=0,"明細を登録","確認・使い方で照合"))</f>
        <v>対象年を入力</v>
      </c>
    </row>
  </sheetData>
  <sheetProtection algorithmName="SHA-512" hashValue="Gdzv9tBrpCd3kI+GJ0N+/NndLAV5XPaVa+9W/weqpgPR9KYi6sP3HPaTehQhaj4SAgoTBmvREvxb5r4y0012ww==" saltValue="q93YUuYDWgDvhWnQZgjIuw==" spinCount="100000" sheet="1" objects="1" scenarios="1" autoFilter="0"/>
  <customSheetViews>
    <customSheetView guid="{AED1A6D3-A4E7-45F8-93C4-DE2B3261C45F}" showPageBreaks="1" showGridLines="0" fitToPage="1" printArea="1" view="pageLayout">
      <selection activeCell="E2" sqref="E2"/>
      <pageMargins left="0.31496062992125984" right="0.19685039370078741" top="1.1417322834645669" bottom="0.35433070866141736" header="0.31496062992125984" footer="0.31496062992125984"/>
      <printOptions horizontalCentered="1"/>
      <pageSetup paperSize="9" scale="77" orientation="portrait" r:id="rId1"/>
      <headerFooter>
        <oddHeader xml:space="preserve">&amp;C&amp;18&amp;A&amp;R  No.&amp;P  
</oddHeader>
      </headerFooter>
    </customSheetView>
  </customSheetViews>
  <mergeCells count="26">
    <mergeCell ref="B41:L41"/>
    <mergeCell ref="C6:C16"/>
    <mergeCell ref="D6:D7"/>
    <mergeCell ref="D8:E8"/>
    <mergeCell ref="D9:E9"/>
    <mergeCell ref="D10:E10"/>
    <mergeCell ref="D11:D13"/>
    <mergeCell ref="D14:D15"/>
    <mergeCell ref="D16:E16"/>
    <mergeCell ref="C18:C23"/>
    <mergeCell ref="D18:E18"/>
    <mergeCell ref="D19:E19"/>
    <mergeCell ref="D20:E20"/>
    <mergeCell ref="D21:E21"/>
    <mergeCell ref="D22:E22"/>
    <mergeCell ref="D23:E23"/>
    <mergeCell ref="C39:E39"/>
    <mergeCell ref="C35:E35"/>
    <mergeCell ref="C36:E36"/>
    <mergeCell ref="C26:C34"/>
    <mergeCell ref="D26:D27"/>
    <mergeCell ref="D28:D30"/>
    <mergeCell ref="D31:E31"/>
    <mergeCell ref="D32:E32"/>
    <mergeCell ref="D33:E33"/>
    <mergeCell ref="D34:E34"/>
  </mergeCells>
  <phoneticPr fontId="2"/>
  <dataValidations count="1">
    <dataValidation type="list" sqref="I2" xr:uid="{00000000-0002-0000-0000-000000000000}">
      <formula1>"米ドル（USD）"</formula1>
    </dataValidation>
  </dataValidations>
  <hyperlinks>
    <hyperlink ref="B41" location="'詳細設定'!B2" display="詳細設定（任意）　氏名・税額調整" xr:uid="{64D82A8B-1172-4E1C-8494-86D84D03C84E}"/>
  </hyperlinks>
  <printOptions horizontalCentered="1"/>
  <pageMargins left="0.25" right="0.25" top="0.35" bottom="0.35" header="0.31496062992125984" footer="0.31496062992125984"/>
  <pageSetup paperSize="9" orientation="portrait" r:id="rId2"/>
  <headerFooter>
    <oddHeader xml:space="preserve">&amp;C&amp;18&amp;A&amp;R  No.&amp;P  
</oddHead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J34"/>
  <sheetViews>
    <sheetView showGridLines="0" zoomScale="90" zoomScaleNormal="90" workbookViewId="0">
      <pane ySplit="8" topLeftCell="A9" activePane="bottomLeft" state="frozen"/>
      <selection pane="bottomLeft"/>
    </sheetView>
  </sheetViews>
  <sheetFormatPr defaultRowHeight="13.8"/>
  <cols>
    <col min="1" max="1" width="5" style="171" customWidth="1"/>
    <col min="2" max="2" width="18" style="171" customWidth="1"/>
    <col min="3" max="3" width="12" style="171" customWidth="1"/>
    <col min="4" max="4" width="26" style="171" customWidth="1"/>
    <col min="5" max="5" width="24" style="171" customWidth="1"/>
    <col min="6" max="7" width="15" style="171" customWidth="1"/>
    <col min="8" max="10" width="13" style="171" customWidth="1"/>
    <col min="11" max="16384" width="8.796875" style="171"/>
  </cols>
  <sheetData>
    <row r="1" spans="1:10" ht="18" customHeight="1">
      <c r="A1" s="249"/>
      <c r="B1" s="249"/>
      <c r="C1" s="249"/>
      <c r="D1" s="249"/>
      <c r="E1" s="249"/>
      <c r="F1" s="249"/>
      <c r="G1" s="249"/>
      <c r="H1" s="249"/>
      <c r="I1" s="249"/>
      <c r="J1" s="249"/>
    </row>
    <row r="2" spans="1:10" ht="24" customHeight="1">
      <c r="A2" s="321" t="s">
        <v>171</v>
      </c>
      <c r="B2" s="321"/>
      <c r="C2" s="321"/>
      <c r="D2" s="321"/>
      <c r="E2" s="321"/>
      <c r="F2" s="321"/>
      <c r="G2" s="321"/>
      <c r="H2" s="321"/>
      <c r="I2" s="321"/>
      <c r="J2" s="321"/>
    </row>
    <row r="3" spans="1:10" ht="18" customHeight="1">
      <c r="A3" s="249"/>
      <c r="B3" s="249"/>
      <c r="C3" s="249"/>
      <c r="D3" s="249"/>
      <c r="E3" s="249"/>
      <c r="F3" s="249"/>
      <c r="G3" s="249"/>
      <c r="H3" s="249"/>
      <c r="I3" s="249"/>
      <c r="J3" s="249"/>
    </row>
    <row r="4" spans="1:10" ht="18" customHeight="1">
      <c r="A4" s="322" t="str">
        <f>IF(ISNUMBER(MENU!A2),"Tax year: "&amp;MENU!A2,"Tax year: not set")</f>
        <v>Tax year: not set</v>
      </c>
      <c r="B4" s="322"/>
      <c r="C4" s="322"/>
      <c r="D4" s="322" t="s">
        <v>172</v>
      </c>
      <c r="E4" s="322"/>
      <c r="F4" s="322"/>
      <c r="G4" s="322"/>
      <c r="H4" s="322"/>
      <c r="I4" s="322"/>
      <c r="J4" s="322"/>
    </row>
    <row r="5" spans="1:10" ht="18" customHeight="1">
      <c r="A5" s="322" t="str">
        <f>IF(詳細設定!C6="","","Taxpayer: "&amp;詳細設定!C6)</f>
        <v/>
      </c>
      <c r="B5" s="322"/>
      <c r="C5" s="322"/>
      <c r="D5" s="322"/>
      <c r="E5" s="322"/>
      <c r="F5" s="322"/>
      <c r="G5" s="322"/>
      <c r="H5" s="322"/>
      <c r="I5" s="322"/>
      <c r="J5" s="322"/>
    </row>
    <row r="6" spans="1:10" ht="24" customHeight="1">
      <c r="A6" s="323" t="s">
        <v>173</v>
      </c>
      <c r="B6" s="323"/>
      <c r="C6" s="323"/>
      <c r="D6" s="323"/>
      <c r="E6" s="323"/>
      <c r="F6" s="323"/>
      <c r="G6" s="323"/>
      <c r="H6" s="323"/>
      <c r="I6" s="323"/>
      <c r="J6" s="323"/>
    </row>
    <row r="7" spans="1:10" ht="18" customHeight="1">
      <c r="A7" s="249"/>
      <c r="B7" s="249"/>
      <c r="C7" s="249"/>
      <c r="D7" s="249"/>
      <c r="E7" s="249"/>
      <c r="F7" s="249"/>
      <c r="G7" s="249"/>
      <c r="H7" s="249"/>
      <c r="I7" s="249"/>
      <c r="J7" s="249"/>
    </row>
    <row r="8" spans="1:10" ht="24" customHeight="1">
      <c r="A8" s="324" t="s">
        <v>174</v>
      </c>
      <c r="B8" s="324"/>
      <c r="C8" s="324"/>
      <c r="D8" s="324"/>
      <c r="E8" s="324"/>
      <c r="F8" s="250" t="s">
        <v>175</v>
      </c>
      <c r="G8" s="250" t="s">
        <v>176</v>
      </c>
      <c r="H8" s="250" t="s">
        <v>177</v>
      </c>
      <c r="I8" s="250" t="s">
        <v>178</v>
      </c>
      <c r="J8" s="250" t="s">
        <v>179</v>
      </c>
    </row>
    <row r="9" spans="1:10" ht="18" customHeight="1">
      <c r="A9" s="322" t="s">
        <v>66</v>
      </c>
      <c r="B9" s="322"/>
      <c r="C9" s="322"/>
      <c r="D9" s="322"/>
      <c r="E9" s="322"/>
      <c r="F9" s="251" t="str">
        <f>IF(NOT(ISNUMBER(MENU!A2)),"",SUMIFS(DB!$V$2:$V$1001,DB!$B$2:$B$1001,MENU!$A$2,DB!$AJ$2:$AJ$1001,"Schedule B"))</f>
        <v/>
      </c>
      <c r="G9" s="252" t="str">
        <f>IF(NOT(ISNUMBER(MENU!A2)),"",SUMIFS(DB!$W$2:$W$1001,DB!$B$2:$B$1001,MENU!$A$2,DB!$AJ$2:$AJ$1001,"Schedule B"))</f>
        <v/>
      </c>
      <c r="H9" s="252" t="str">
        <f>IF(NOT(ISNUMBER(MENU!A2)),"",SUMIFS(DB!$AE$2:$AE$1001,DB!$B$2:$B$1001,MENU!$A$2,DB!$AJ$2:$AJ$1001,"Schedule B"))</f>
        <v/>
      </c>
      <c r="I9" s="252" t="str">
        <f>IF(NOT(ISNUMBER(MENU!A2)),"",SUMIFS(DB!$AI$2:$AI$1001,DB!$B$2:$B$1001,MENU!$A$2,DB!$AJ$2:$AJ$1001,"Schedule B"))</f>
        <v/>
      </c>
      <c r="J9" s="252" t="str">
        <f>IF(NOT(ISNUMBER(MENU!A2)),"",SUMIFS(DB!$AA$2:$AA$1001,DB!$B$2:$B$1001,MENU!$A$2,DB!$AJ$2:$AJ$1001,"Schedule B"))</f>
        <v/>
      </c>
    </row>
    <row r="10" spans="1:10" ht="18" customHeight="1">
      <c r="A10" s="322" t="s">
        <v>58</v>
      </c>
      <c r="B10" s="322"/>
      <c r="C10" s="322"/>
      <c r="D10" s="322"/>
      <c r="E10" s="322"/>
      <c r="F10" s="251" t="str">
        <f>IF(NOT(ISNUMBER(MENU!A2)),"",SUMIFS(DB!$V$2:$V$1001,DB!$B$2:$B$1001,MENU!$A$2,DB!$AJ$2:$AJ$1001,"Schedule D"))</f>
        <v/>
      </c>
      <c r="G10" s="252" t="str">
        <f>IF(NOT(ISNUMBER(MENU!A2)),"",SUMIFS(DB!$W$2:$W$1001,DB!$B$2:$B$1001,MENU!$A$2,DB!$AJ$2:$AJ$1001,"Schedule D"))</f>
        <v/>
      </c>
      <c r="H10" s="252" t="str">
        <f>IF(NOT(ISNUMBER(MENU!A2)),"",SUMIFS(DB!$AE$2:$AE$1001,DB!$B$2:$B$1001,MENU!$A$2,DB!$AJ$2:$AJ$1001,"Schedule D"))</f>
        <v/>
      </c>
      <c r="I10" s="252" t="str">
        <f>IF(NOT(ISNUMBER(MENU!A2)),"",SUMIFS(DB!$AI$2:$AI$1001,DB!$B$2:$B$1001,MENU!$A$2,DB!$AJ$2:$AJ$1001,"Schedule D"))</f>
        <v/>
      </c>
      <c r="J10" s="252" t="str">
        <f>IF(NOT(ISNUMBER(MENU!A2)),"",SUMIFS(DB!$AA$2:$AA$1001,DB!$B$2:$B$1001,MENU!$A$2,DB!$AJ$2:$AJ$1001,"Schedule D"))</f>
        <v/>
      </c>
    </row>
    <row r="11" spans="1:10" ht="18" customHeight="1">
      <c r="A11" s="322" t="s">
        <v>180</v>
      </c>
      <c r="B11" s="322"/>
      <c r="C11" s="322"/>
      <c r="D11" s="322"/>
      <c r="E11" s="322"/>
      <c r="F11" s="251" t="str">
        <f>IF(NOT(ISNUMBER(MENU!A2)),"",SUMIFS(DB!$V$2:$V$1001,DB!$B$2:$B$1001,MENU!$A$2,DB!$AJ$2:$AJ$1001,"Pension"))</f>
        <v/>
      </c>
      <c r="G11" s="252" t="str">
        <f>IF(NOT(ISNUMBER(MENU!A2)),"",SUMIFS(DB!$W$2:$W$1001,DB!$B$2:$B$1001,MENU!$A$2,DB!$AJ$2:$AJ$1001,"Pension"))</f>
        <v/>
      </c>
      <c r="H11" s="252" t="str">
        <f>IF(NOT(ISNUMBER(MENU!A2)),"",SUMIFS(DB!$AE$2:$AE$1001,DB!$B$2:$B$1001,MENU!$A$2,DB!$AJ$2:$AJ$1001,"Pension"))</f>
        <v/>
      </c>
      <c r="I11" s="252" t="str">
        <f>IF(NOT(ISNUMBER(MENU!A2)),"",SUMIFS(DB!$AI$2:$AI$1001,DB!$B$2:$B$1001,MENU!$A$2,DB!$AJ$2:$AJ$1001,"Pension"))</f>
        <v/>
      </c>
      <c r="J11" s="252" t="str">
        <f>IF(NOT(ISNUMBER(MENU!A2)),"",SUMIFS(DB!$AA$2:$AA$1001,DB!$B$2:$B$1001,MENU!$A$2,DB!$AJ$2:$AJ$1001,"Pension"))</f>
        <v/>
      </c>
    </row>
    <row r="12" spans="1:10" ht="18" customHeight="1">
      <c r="A12" s="322" t="s">
        <v>60</v>
      </c>
      <c r="B12" s="322"/>
      <c r="C12" s="322"/>
      <c r="D12" s="322"/>
      <c r="E12" s="322"/>
      <c r="F12" s="251" t="str">
        <f>IF(NOT(ISNUMBER(MENU!A2)),"",SUMIFS(DB!$V$2:$V$1001,DB!$B$2:$B$1001,MENU!$A$2,DB!$AJ$2:$AJ$1001,"Schedule 1"))</f>
        <v/>
      </c>
      <c r="G12" s="252" t="str">
        <f>IF(NOT(ISNUMBER(MENU!A2)),"",SUMIFS(DB!$W$2:$W$1001,DB!$B$2:$B$1001,MENU!$A$2,DB!$AJ$2:$AJ$1001,"Schedule 1"))</f>
        <v/>
      </c>
      <c r="H12" s="252" t="str">
        <f>IF(NOT(ISNUMBER(MENU!A2)),"",SUMIFS(DB!$AE$2:$AE$1001,DB!$B$2:$B$1001,MENU!$A$2,DB!$AJ$2:$AJ$1001,"Schedule 1"))</f>
        <v/>
      </c>
      <c r="I12" s="252" t="str">
        <f>IF(NOT(ISNUMBER(MENU!A2)),"",SUMIFS(DB!$AI$2:$AI$1001,DB!$B$2:$B$1001,MENU!$A$2,DB!$AJ$2:$AJ$1001,"Schedule 1"))</f>
        <v/>
      </c>
      <c r="J12" s="252" t="str">
        <f>IF(NOT(ISNUMBER(MENU!A2)),"",SUMIFS(DB!$AA$2:$AA$1001,DB!$B$2:$B$1001,MENU!$A$2,DB!$AJ$2:$AJ$1001,"Schedule 1"))</f>
        <v/>
      </c>
    </row>
    <row r="13" spans="1:10" ht="18" customHeight="1">
      <c r="A13" s="322" t="s">
        <v>67</v>
      </c>
      <c r="B13" s="322"/>
      <c r="C13" s="322"/>
      <c r="D13" s="322"/>
      <c r="E13" s="322"/>
      <c r="F13" s="251" t="str">
        <f>IF(NOT(ISNUMBER(MENU!A2)),"",SUMIFS(DB!$V$2:$V$1001,DB!$B$2:$B$1001,MENU!$A$2,DB!$AJ$2:$AJ$1001,"Schedule C"))</f>
        <v/>
      </c>
      <c r="G13" s="252" t="str">
        <f>IF(NOT(ISNUMBER(MENU!A2)),"",SUMIFS(DB!$W$2:$W$1001,DB!$B$2:$B$1001,MENU!$A$2,DB!$AJ$2:$AJ$1001,"Schedule C"))</f>
        <v/>
      </c>
      <c r="H13" s="252" t="str">
        <f>IF(NOT(ISNUMBER(MENU!A2)),"",SUMIFS(DB!$AE$2:$AE$1001,DB!$B$2:$B$1001,MENU!$A$2,DB!$AJ$2:$AJ$1001,"Schedule C"))</f>
        <v/>
      </c>
      <c r="I13" s="252" t="str">
        <f>IF(NOT(ISNUMBER(MENU!A2)),"",SUMIFS(DB!$AI$2:$AI$1001,DB!$B$2:$B$1001,MENU!$A$2,DB!$AJ$2:$AJ$1001,"Schedule C"))</f>
        <v/>
      </c>
      <c r="J13" s="252" t="str">
        <f>IF(NOT(ISNUMBER(MENU!A2)),"",SUMIFS(DB!$AA$2:$AA$1001,DB!$B$2:$B$1001,MENU!$A$2,DB!$AJ$2:$AJ$1001,"Schedule C"))</f>
        <v/>
      </c>
    </row>
    <row r="14" spans="1:10" ht="18" customHeight="1">
      <c r="A14" s="322" t="s">
        <v>68</v>
      </c>
      <c r="B14" s="322"/>
      <c r="C14" s="322"/>
      <c r="D14" s="322"/>
      <c r="E14" s="322"/>
      <c r="F14" s="251" t="str">
        <f>IF(NOT(ISNUMBER(MENU!A2)),"",SUMIFS(DB!$V$2:$V$1001,DB!$B$2:$B$1001,MENU!$A$2,DB!$AJ$2:$AJ$1001,"Schedule E"))</f>
        <v/>
      </c>
      <c r="G14" s="252" t="str">
        <f>IF(NOT(ISNUMBER(MENU!A2)),"",SUMIFS(DB!$W$2:$W$1001,DB!$B$2:$B$1001,MENU!$A$2,DB!$AJ$2:$AJ$1001,"Schedule E"))</f>
        <v/>
      </c>
      <c r="H14" s="252" t="str">
        <f>IF(NOT(ISNUMBER(MENU!A2)),"",SUMIFS(DB!$AE$2:$AE$1001,DB!$B$2:$B$1001,MENU!$A$2,DB!$AJ$2:$AJ$1001,"Schedule E"))</f>
        <v/>
      </c>
      <c r="I14" s="252" t="str">
        <f>IF(NOT(ISNUMBER(MENU!A2)),"",SUMIFS(DB!$AI$2:$AI$1001,DB!$B$2:$B$1001,MENU!$A$2,DB!$AJ$2:$AJ$1001,"Schedule E"))</f>
        <v/>
      </c>
      <c r="J14" s="252" t="str">
        <f>IF(NOT(ISNUMBER(MENU!A2)),"",SUMIFS(DB!$AA$2:$AA$1001,DB!$B$2:$B$1001,MENU!$A$2,DB!$AJ$2:$AJ$1001,"Schedule E"))</f>
        <v/>
      </c>
    </row>
    <row r="15" spans="1:10" ht="18" customHeight="1">
      <c r="A15" s="322" t="s">
        <v>62</v>
      </c>
      <c r="B15" s="322"/>
      <c r="C15" s="322"/>
      <c r="D15" s="322"/>
      <c r="E15" s="322"/>
      <c r="F15" s="251" t="str">
        <f>IF(NOT(ISNUMBER(MENU!A2)),"",SUMIFS(DB!$V$2:$V$1001,DB!$B$2:$B$1001,MENU!$A$2,DB!$AJ$2:$AJ$1001,"Wages"))</f>
        <v/>
      </c>
      <c r="G15" s="252" t="str">
        <f>IF(NOT(ISNUMBER(MENU!A2)),"",SUMIFS(DB!$W$2:$W$1001,DB!$B$2:$B$1001,MENU!$A$2,DB!$AJ$2:$AJ$1001,"Wages"))</f>
        <v/>
      </c>
      <c r="H15" s="252" t="str">
        <f>IF(NOT(ISNUMBER(MENU!A2)),"",SUMIFS(DB!$AE$2:$AE$1001,DB!$B$2:$B$1001,MENU!$A$2,DB!$AJ$2:$AJ$1001,"Wages"))</f>
        <v/>
      </c>
      <c r="I15" s="252" t="str">
        <f>IF(NOT(ISNUMBER(MENU!A2)),"",SUMIFS(DB!$AI$2:$AI$1001,DB!$B$2:$B$1001,MENU!$A$2,DB!$AJ$2:$AJ$1001,"Wages"))</f>
        <v/>
      </c>
      <c r="J15" s="252" t="str">
        <f>IF(NOT(ISNUMBER(MENU!A2)),"",SUMIFS(DB!$AA$2:$AA$1001,DB!$B$2:$B$1001,MENU!$A$2,DB!$AJ$2:$AJ$1001,"Wages"))</f>
        <v/>
      </c>
    </row>
    <row r="16" spans="1:10" ht="18" customHeight="1">
      <c r="A16" s="322" t="s">
        <v>181</v>
      </c>
      <c r="B16" s="322"/>
      <c r="C16" s="322"/>
      <c r="D16" s="322"/>
      <c r="E16" s="322"/>
      <c r="F16" s="251" t="str">
        <f>IF(NOT(ISNUMBER(MENU!A2)),"",SUMIFS(DB!$V$2:$V$1001,DB!$B$2:$B$1001,MENU!$A$2,DB!$AJ$2:$AJ$1001,"CPA special review"))</f>
        <v/>
      </c>
      <c r="G16" s="252" t="str">
        <f>IF(NOT(ISNUMBER(MENU!A2)),"",SUMIFS(DB!$W$2:$W$1001,DB!$B$2:$B$1001,MENU!$A$2,DB!$AJ$2:$AJ$1001,"CPA special review"))</f>
        <v/>
      </c>
      <c r="H16" s="252" t="str">
        <f>IF(NOT(ISNUMBER(MENU!A2)),"",SUMIFS(DB!$AE$2:$AE$1001,DB!$B$2:$B$1001,MENU!$A$2,DB!$AJ$2:$AJ$1001,"CPA special review"))</f>
        <v/>
      </c>
      <c r="I16" s="252" t="str">
        <f>IF(NOT(ISNUMBER(MENU!A2)),"",SUMIFS(DB!$AI$2:$AI$1001,DB!$B$2:$B$1001,MENU!$A$2,DB!$AJ$2:$AJ$1001,"CPA special review"))</f>
        <v/>
      </c>
      <c r="J16" s="252" t="str">
        <f>IF(NOT(ISNUMBER(MENU!A2)),"",SUMIFS(DB!$AA$2:$AA$1001,DB!$B$2:$B$1001,MENU!$A$2,DB!$AJ$2:$AJ$1001,"CPA special review"))</f>
        <v/>
      </c>
    </row>
    <row r="17" spans="1:10" ht="18" customHeight="1">
      <c r="A17" s="322" t="s">
        <v>182</v>
      </c>
      <c r="B17" s="322"/>
      <c r="C17" s="322"/>
      <c r="D17" s="322"/>
      <c r="E17" s="322"/>
      <c r="F17" s="251" t="str">
        <f>IF(NOT(ISNUMBER(MENU!A2)),"",SUMIFS(DB!$V$2:$V$1001,DB!$B$2:$B$1001,MENU!$A$2,DB!$AJ$2:$AJ$1001,"U.S. tax only"))</f>
        <v/>
      </c>
      <c r="G17" s="252" t="str">
        <f>IF(NOT(ISNUMBER(MENU!A2)),"",SUMIFS(DB!$W$2:$W$1001,DB!$B$2:$B$1001,MENU!$A$2,DB!$AJ$2:$AJ$1001,"U.S. tax only"))</f>
        <v/>
      </c>
      <c r="H17" s="252" t="str">
        <f>IF(NOT(ISNUMBER(MENU!A2)),"",SUMIFS(DB!$AE$2:$AE$1001,DB!$B$2:$B$1001,MENU!$A$2,DB!$AJ$2:$AJ$1001,"U.S. tax only"))</f>
        <v/>
      </c>
      <c r="I17" s="252" t="str">
        <f>IF(NOT(ISNUMBER(MENU!A2)),"",SUMIFS(DB!$AI$2:$AI$1001,DB!$B$2:$B$1001,MENU!$A$2,DB!$AJ$2:$AJ$1001,"U.S. tax only"))</f>
        <v/>
      </c>
      <c r="J17" s="252" t="str">
        <f>IF(NOT(ISNUMBER(MENU!A2)),"",SUMIFS(DB!$AA$2:$AA$1001,DB!$B$2:$B$1001,MENU!$A$2,DB!$AJ$2:$AJ$1001,"U.S. tax only"))</f>
        <v/>
      </c>
    </row>
    <row r="18" spans="1:10" ht="18" customHeight="1">
      <c r="A18" s="249"/>
      <c r="B18" s="249"/>
      <c r="C18" s="249"/>
      <c r="D18" s="249"/>
      <c r="E18" s="249"/>
      <c r="F18" s="251" cm="1"/>
      <c r="G18" s="252"/>
      <c r="H18" s="252" cm="1"/>
      <c r="I18" s="252"/>
      <c r="J18" s="252"/>
    </row>
    <row r="19" spans="1:10" ht="24" customHeight="1">
      <c r="A19" s="325" t="s">
        <v>183</v>
      </c>
      <c r="B19" s="325"/>
      <c r="C19" s="325"/>
      <c r="D19" s="325"/>
      <c r="E19" s="325"/>
      <c r="F19" s="253" t="str">
        <f>IF(ISNUMBER(MENU!A2),SUM(F9:F17),"")</f>
        <v/>
      </c>
      <c r="G19" s="254" t="str">
        <f>IF(ISNUMBER(MENU!A2),SUM(G9:G17),"")</f>
        <v/>
      </c>
      <c r="H19" s="254" t="str">
        <f>IF(ISNUMBER(MENU!A2),SUM(H9:H17),"")</f>
        <v/>
      </c>
      <c r="I19" s="254" t="str">
        <f>IF(ISNUMBER(MENU!A2),SUM(I9:I17),"")</f>
        <v/>
      </c>
      <c r="J19" s="254" t="str">
        <f>IF(ISNUMBER(MENU!A2),SUM(J9:J17),"")</f>
        <v/>
      </c>
    </row>
    <row r="20" spans="1:10" ht="18" customHeight="1">
      <c r="A20" s="249"/>
      <c r="B20" s="249"/>
      <c r="C20" s="249"/>
      <c r="D20" s="249"/>
      <c r="E20" s="249"/>
      <c r="F20" s="251"/>
      <c r="G20" s="252"/>
      <c r="H20" s="252"/>
      <c r="I20" s="252"/>
      <c r="J20" s="252"/>
    </row>
    <row r="21" spans="1:10" ht="24" customHeight="1">
      <c r="A21" s="323" t="s">
        <v>184</v>
      </c>
      <c r="B21" s="323"/>
      <c r="C21" s="323"/>
      <c r="D21" s="323"/>
      <c r="E21" s="323"/>
      <c r="F21" s="326"/>
      <c r="G21" s="327"/>
      <c r="H21" s="327"/>
      <c r="I21" s="327"/>
      <c r="J21" s="327"/>
    </row>
    <row r="22" spans="1:10" ht="18" customHeight="1">
      <c r="A22" s="249"/>
      <c r="B22" s="249"/>
      <c r="C22" s="249"/>
      <c r="D22" s="249"/>
      <c r="E22" s="249"/>
      <c r="F22" s="251"/>
      <c r="G22" s="252"/>
      <c r="H22" s="252"/>
      <c r="I22" s="252"/>
      <c r="J22" s="252"/>
    </row>
    <row r="23" spans="1:10" ht="18" customHeight="1">
      <c r="A23" s="322" t="s">
        <v>185</v>
      </c>
      <c r="B23" s="322"/>
      <c r="C23" s="322"/>
      <c r="D23" s="322"/>
      <c r="E23" s="322"/>
      <c r="F23" s="251" t="str">
        <f>IF(NOT(ISNUMBER(MENU!A2)),"",IF(ISNUMBER(支払税額計算!D18),支払税額計算!D18,"Pending"))</f>
        <v/>
      </c>
      <c r="G23" s="252" t="str">
        <f>IF(NOT(ISNUMBER(MENU!A2)),"",IF(ISNUMBER(支払税額計算!D19),支払税額計算!D19,"Pending"))</f>
        <v/>
      </c>
      <c r="H23" s="252"/>
      <c r="I23" s="252"/>
      <c r="J23" s="252"/>
    </row>
    <row r="24" spans="1:10" ht="18" customHeight="1">
      <c r="A24" s="322" t="s">
        <v>186</v>
      </c>
      <c r="B24" s="322"/>
      <c r="C24" s="322"/>
      <c r="D24" s="322"/>
      <c r="E24" s="322"/>
      <c r="F24" s="251" t="str">
        <f>IF(NOT(ISNUMBER(MENU!A2)),"",IF(ISNUMBER(支払税額計算!E18),支払税額計算!E18,"Pending"))</f>
        <v/>
      </c>
      <c r="G24" s="252" t="str">
        <f>IF(NOT(ISNUMBER(MENU!A2)),"",IF(ISNUMBER(支払税額計算!E19),支払税額計算!E19,"Pending"))</f>
        <v/>
      </c>
      <c r="H24" s="252"/>
      <c r="I24" s="252"/>
      <c r="J24" s="252"/>
    </row>
    <row r="25" spans="1:10" ht="18" customHeight="1">
      <c r="A25" s="322" t="s">
        <v>187</v>
      </c>
      <c r="B25" s="322"/>
      <c r="C25" s="322"/>
      <c r="D25" s="322"/>
      <c r="E25" s="322"/>
      <c r="F25" s="251" t="str">
        <f>IF(NOT(ISNUMBER(MENU!A2)),"",IF(ISNUMBER(支払税額計算!F18),支払税額計算!F18,"Pending"))</f>
        <v/>
      </c>
      <c r="G25" s="252" t="str">
        <f>IF(NOT(ISNUMBER(MENU!A2)),"",IF(ISNUMBER(支払税額計算!F19),支払税額計算!F19,"Pending"))</f>
        <v/>
      </c>
      <c r="H25" s="252"/>
      <c r="I25" s="252"/>
      <c r="J25" s="252"/>
    </row>
    <row r="26" spans="1:10" ht="18" customHeight="1">
      <c r="A26" s="322" t="s">
        <v>188</v>
      </c>
      <c r="B26" s="322"/>
      <c r="C26" s="322"/>
      <c r="D26" s="322"/>
      <c r="E26" s="322"/>
      <c r="F26" s="251" t="str">
        <f>IF(NOT(ISNUMBER(MENU!A2)),"",IF(ISNUMBER(IF(支払税額計算!D35="別途加算",支払税額計算!D34,IF(AND(支払税額計算!D34&lt;&gt;0,支払税額計算!D35="未設定"),"Pending",0))),IF(支払税額計算!D35="別途加算",支払税額計算!D34,IF(AND(支払税額計算!D34&lt;&gt;0,支払税額計算!D35="未設定"),"Pending",0)),"Pending"))</f>
        <v/>
      </c>
      <c r="G26" s="252" t="str">
        <f>IF(NOT(ISNUMBER(MENU!A2)),"",IF(ISNUMBER(IF(支払税額計算!D35="別途加算",支払税額計算!G34,IF(AND(支払税額計算!D34&lt;&gt;0,支払税額計算!D35="未設定"),"Pending",0))),IF(支払税額計算!D35="別途加算",支払税額計算!G34,IF(AND(支払税額計算!D34&lt;&gt;0,支払税額計算!D35="未設定"),"Pending",0)),"Pending"))</f>
        <v/>
      </c>
      <c r="H26" s="252">
        <f>IF(ISNUMBER(MENU!A2),COUNTIFS(DB!$B$2:$B$1001,MENU!A2,DB!$A$2:$A$1001,"&lt;&gt;"),0)</f>
        <v>0</v>
      </c>
      <c r="I26" s="252"/>
      <c r="J26" s="252"/>
    </row>
    <row r="27" spans="1:10" ht="18" customHeight="1">
      <c r="A27" s="322" t="s">
        <v>189</v>
      </c>
      <c r="B27" s="322"/>
      <c r="C27" s="322"/>
      <c r="D27" s="322"/>
      <c r="E27" s="322"/>
      <c r="F27" s="251" t="str">
        <f>IF(NOT(ISNUMBER(MENU!A2)),"",IF(ISNUMBER(N(支払税額計算!D36)),N(支払税額計算!D36),"Pending"))</f>
        <v/>
      </c>
      <c r="G27" s="252" t="str">
        <f>IF(NOT(ISNUMBER(MENU!A2)),"",IF(ISNUMBER(N(支払税額計算!G36)),N(支払税額計算!G36),"Pending"))</f>
        <v/>
      </c>
      <c r="H27" s="252"/>
      <c r="I27" s="252"/>
      <c r="J27" s="252"/>
    </row>
    <row r="28" spans="1:10" ht="24" customHeight="1">
      <c r="A28" s="325" t="s">
        <v>190</v>
      </c>
      <c r="B28" s="325"/>
      <c r="C28" s="325"/>
      <c r="D28" s="325"/>
      <c r="E28" s="325"/>
      <c r="F28" s="253" t="str">
        <f>IF(NOT(ISNUMBER(MENU!A2)),"",IF(ISNUMBER(支払税額計算!D37),支払税額計算!D37,"Pending"))</f>
        <v/>
      </c>
      <c r="G28" s="254" t="str">
        <f>IF(NOT(ISNUMBER(MENU!A2)),"",IF(ISNUMBER(支払税額計算!G37),支払税額計算!G37,"Pending"))</f>
        <v/>
      </c>
      <c r="H28" s="254"/>
      <c r="I28" s="254"/>
      <c r="J28" s="254"/>
    </row>
    <row r="29" spans="1:10" ht="18" customHeight="1">
      <c r="A29" s="249"/>
      <c r="B29" s="249"/>
      <c r="C29" s="249"/>
      <c r="D29" s="249"/>
      <c r="E29" s="249"/>
      <c r="F29" s="255"/>
      <c r="G29" s="255"/>
      <c r="H29" s="255"/>
      <c r="I29" s="255"/>
      <c r="J29" s="255"/>
    </row>
    <row r="30" spans="1:10" ht="18" customHeight="1">
      <c r="A30" s="402" t="s">
        <v>191</v>
      </c>
      <c r="B30" s="402"/>
      <c r="C30" s="402"/>
      <c r="D30" s="402"/>
      <c r="E30" s="402"/>
      <c r="F30" s="403"/>
      <c r="G30" s="403"/>
      <c r="H30" s="403"/>
      <c r="I30" s="403"/>
      <c r="J30" s="403"/>
    </row>
    <row r="31" spans="1:10" ht="18" customHeight="1">
      <c r="A31" s="402" t="s">
        <v>192</v>
      </c>
      <c r="B31" s="402"/>
      <c r="C31" s="402"/>
      <c r="D31" s="402"/>
      <c r="E31" s="402"/>
      <c r="F31" s="403"/>
      <c r="G31" s="403"/>
      <c r="H31" s="403"/>
      <c r="I31" s="403"/>
      <c r="J31" s="403"/>
    </row>
    <row r="32" spans="1:10" ht="18" customHeight="1">
      <c r="A32" s="402" t="s">
        <v>193</v>
      </c>
      <c r="B32" s="402"/>
      <c r="C32" s="402"/>
      <c r="D32" s="402"/>
      <c r="E32" s="402"/>
      <c r="F32" s="403"/>
      <c r="G32" s="403"/>
      <c r="H32" s="403"/>
      <c r="I32" s="403"/>
      <c r="J32" s="403"/>
    </row>
    <row r="33" spans="1:10" ht="18" customHeight="1">
      <c r="A33" s="256"/>
      <c r="B33" s="256"/>
      <c r="C33" s="256"/>
      <c r="D33" s="256"/>
      <c r="E33" s="256"/>
      <c r="F33" s="404"/>
      <c r="G33" s="404"/>
      <c r="H33" s="404"/>
      <c r="I33" s="404"/>
      <c r="J33" s="404"/>
    </row>
    <row r="34" spans="1:10" ht="18" customHeight="1">
      <c r="A34" s="249"/>
      <c r="B34" s="249"/>
      <c r="C34" s="249"/>
      <c r="D34" s="249"/>
      <c r="E34" s="249"/>
      <c r="F34" s="255"/>
      <c r="G34" s="255"/>
      <c r="H34" s="255"/>
      <c r="I34" s="255"/>
      <c r="J34" s="255"/>
    </row>
  </sheetData>
  <sheetProtection algorithmName="SHA-512" hashValue="QZEIxE8XMdBnncyf4b1x7pe4XJE+KUDKQuBIthWDqP8ym/9ymOtWImIRW3zO/wCcZpS28ec4O0h3QQg1849xLA==" saltValue="LjsC8EFtwn+/eTCkdxddzw==" spinCount="100000" sheet="1" objects="1" scenarios="1" autoFilter="0"/>
  <mergeCells count="26">
    <mergeCell ref="A32:J32"/>
    <mergeCell ref="A26:E26"/>
    <mergeCell ref="A27:E27"/>
    <mergeCell ref="A28:E28"/>
    <mergeCell ref="A30:J30"/>
    <mergeCell ref="A31:J31"/>
    <mergeCell ref="A19:E19"/>
    <mergeCell ref="A21:J21"/>
    <mergeCell ref="A23:E23"/>
    <mergeCell ref="A24:E24"/>
    <mergeCell ref="A25:E25"/>
    <mergeCell ref="A13:E13"/>
    <mergeCell ref="A14:E14"/>
    <mergeCell ref="A15:E15"/>
    <mergeCell ref="A16:E16"/>
    <mergeCell ref="A17:E17"/>
    <mergeCell ref="A8:E8"/>
    <mergeCell ref="A9:E9"/>
    <mergeCell ref="A10:E10"/>
    <mergeCell ref="A11:E11"/>
    <mergeCell ref="A12:E12"/>
    <mergeCell ref="A2:J2"/>
    <mergeCell ref="A4:C4"/>
    <mergeCell ref="D4:J4"/>
    <mergeCell ref="A5:J5"/>
    <mergeCell ref="A6:J6"/>
  </mergeCells>
  <phoneticPr fontId="2"/>
  <conditionalFormatting sqref="A1:J24 A25:H34 A35:J1048576 K1:XFD1048576">
    <cfRule type="cellIs" dxfId="3" priority="1" operator="equal">
      <formula>"(空白)"</formula>
    </cfRule>
  </conditionalFormatting>
  <pageMargins left="0.25" right="0.25" top="0.35" bottom="0.35" header="0.15" footer="0.15"/>
  <pageSetup paperSize="9" orientation="landscape" r:id="rId1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2A36-1052-4F63-9D5E-2AA952032DF4}">
  <sheetPr codeName="Sheet7">
    <tabColor rgb="FF17365D"/>
    <pageSetUpPr fitToPage="1"/>
  </sheetPr>
  <dimension ref="A1:J1100"/>
  <sheetViews>
    <sheetView showGridLines="0" zoomScale="90" zoomScaleNormal="90" workbookViewId="0">
      <pane ySplit="5" topLeftCell="A6" activePane="bottomLeft" state="frozenSplit"/>
      <selection pane="bottomLeft" activeCell="A3" sqref="A3:J7"/>
    </sheetView>
  </sheetViews>
  <sheetFormatPr defaultRowHeight="18"/>
  <cols>
    <col min="1" max="1" width="7.69921875" customWidth="1"/>
    <col min="2" max="2" width="18.69921875" customWidth="1"/>
    <col min="3" max="3" width="11.69921875" customWidth="1"/>
    <col min="4" max="4" width="24.69921875" customWidth="1"/>
    <col min="5" max="5" width="25.69921875" customWidth="1"/>
    <col min="6" max="7" width="13.69921875" customWidth="1"/>
    <col min="8" max="10" width="12.69921875" customWidth="1"/>
  </cols>
  <sheetData>
    <row r="1" spans="1:10" ht="25.95" customHeight="1">
      <c r="A1" s="405" t="s">
        <v>324</v>
      </c>
      <c r="B1" s="406"/>
      <c r="C1" s="406"/>
      <c r="D1" s="406"/>
      <c r="E1" s="406"/>
      <c r="F1" s="406"/>
      <c r="G1" s="406"/>
      <c r="H1" s="406"/>
      <c r="I1" s="406"/>
      <c r="J1" s="406"/>
    </row>
    <row r="2" spans="1:10" ht="19.95" customHeight="1">
      <c r="A2" s="407" t="str">
        <f>IF(ISNUMBER(MENU!A2),"Tax year: "&amp;MENU!A2,"Tax year: not set")&amp;IF(詳細設定!C6="","","   |   Taxpayer: "&amp;詳細設定!C6)</f>
        <v>Tax year: not set</v>
      </c>
      <c r="B2" s="329"/>
      <c r="C2" s="329"/>
      <c r="D2" s="329"/>
      <c r="E2" s="329"/>
      <c r="F2" s="329"/>
      <c r="G2" s="329"/>
      <c r="H2" s="329"/>
      <c r="I2" s="329"/>
      <c r="J2" s="329"/>
    </row>
    <row r="3" spans="1:10" ht="30" customHeight="1">
      <c r="A3" s="328" t="s">
        <v>325</v>
      </c>
      <c r="B3" s="329"/>
      <c r="C3" s="329"/>
      <c r="D3" s="329"/>
      <c r="E3" s="329"/>
      <c r="F3" s="329"/>
      <c r="G3" s="329"/>
      <c r="H3" s="329"/>
      <c r="I3" s="329"/>
      <c r="J3" s="329"/>
    </row>
    <row r="4" spans="1:10" ht="7.05" customHeight="1">
      <c r="A4" s="371"/>
      <c r="B4" s="371"/>
      <c r="C4" s="371"/>
      <c r="D4" s="371"/>
      <c r="E4" s="371"/>
      <c r="F4" s="371"/>
      <c r="G4" s="371"/>
      <c r="H4" s="371"/>
      <c r="I4" s="371"/>
      <c r="J4" s="371"/>
    </row>
    <row r="5" spans="1:10" ht="30" customHeight="1">
      <c r="A5" s="283" t="s">
        <v>194</v>
      </c>
      <c r="B5" s="283" t="s">
        <v>195</v>
      </c>
      <c r="C5" s="283" t="s">
        <v>196</v>
      </c>
      <c r="D5" s="283" t="s">
        <v>326</v>
      </c>
      <c r="E5" s="283" t="s">
        <v>327</v>
      </c>
      <c r="F5" s="283" t="s">
        <v>197</v>
      </c>
      <c r="G5" s="283" t="s">
        <v>198</v>
      </c>
      <c r="H5" s="283" t="s">
        <v>177</v>
      </c>
      <c r="I5" s="283" t="s">
        <v>328</v>
      </c>
      <c r="J5" s="283" t="s">
        <v>179</v>
      </c>
    </row>
    <row r="6" spans="1:10" ht="33" customHeight="1">
      <c r="A6" s="284"/>
      <c r="B6" s="282"/>
      <c r="C6" s="282"/>
      <c r="D6" s="282"/>
      <c r="E6" s="282"/>
      <c r="F6" s="285"/>
      <c r="G6" s="286"/>
      <c r="H6" s="286"/>
      <c r="I6" s="286"/>
      <c r="J6" s="286"/>
    </row>
    <row r="7" spans="1:10" ht="33" customHeight="1">
      <c r="A7" s="284"/>
      <c r="B7" s="282"/>
      <c r="C7" s="282"/>
      <c r="D7" s="282"/>
      <c r="E7" s="282"/>
      <c r="F7" s="285"/>
      <c r="G7" s="286"/>
      <c r="H7" s="286"/>
      <c r="I7" s="286"/>
      <c r="J7" s="286"/>
    </row>
    <row r="8" spans="1:10" ht="33" customHeight="1">
      <c r="A8" s="284"/>
      <c r="B8" s="282"/>
      <c r="C8" s="282"/>
      <c r="D8" s="282"/>
      <c r="E8" s="282"/>
      <c r="F8" s="285"/>
      <c r="G8" s="286"/>
      <c r="H8" s="286"/>
      <c r="I8" s="286"/>
      <c r="J8" s="286"/>
    </row>
    <row r="9" spans="1:10" ht="33" customHeight="1">
      <c r="A9" s="284"/>
      <c r="B9" s="282"/>
      <c r="C9" s="282"/>
      <c r="D9" s="282"/>
      <c r="E9" s="282"/>
      <c r="F9" s="285"/>
      <c r="G9" s="286"/>
      <c r="H9" s="286"/>
      <c r="I9" s="286"/>
      <c r="J9" s="286"/>
    </row>
    <row r="10" spans="1:10" ht="33" customHeight="1">
      <c r="A10" s="284"/>
      <c r="B10" s="282"/>
      <c r="C10" s="282"/>
      <c r="D10" s="282"/>
      <c r="E10" s="282"/>
      <c r="F10" s="285"/>
      <c r="G10" s="286"/>
      <c r="H10" s="286"/>
      <c r="I10" s="286"/>
      <c r="J10" s="286"/>
    </row>
    <row r="11" spans="1:10" ht="33" customHeight="1">
      <c r="A11" s="284"/>
      <c r="B11" s="282"/>
      <c r="C11" s="282"/>
      <c r="D11" s="282"/>
      <c r="E11" s="282"/>
      <c r="F11" s="285"/>
      <c r="G11" s="286"/>
      <c r="H11" s="286"/>
      <c r="I11" s="286"/>
      <c r="J11" s="286"/>
    </row>
    <row r="12" spans="1:10" ht="33" customHeight="1">
      <c r="A12" s="284"/>
      <c r="B12" s="282"/>
      <c r="C12" s="282"/>
      <c r="D12" s="282"/>
      <c r="E12" s="282"/>
      <c r="F12" s="285"/>
      <c r="G12" s="286"/>
      <c r="H12" s="286"/>
      <c r="I12" s="286"/>
      <c r="J12" s="286"/>
    </row>
    <row r="13" spans="1:10" ht="33" customHeight="1">
      <c r="A13" s="284"/>
      <c r="B13" s="282"/>
      <c r="C13" s="282"/>
      <c r="D13" s="282"/>
      <c r="E13" s="282"/>
      <c r="F13" s="285"/>
      <c r="G13" s="286"/>
      <c r="H13" s="286"/>
      <c r="I13" s="286"/>
      <c r="J13" s="286"/>
    </row>
    <row r="14" spans="1:10">
      <c r="A14" s="284"/>
      <c r="B14" s="282"/>
      <c r="C14" s="282"/>
      <c r="D14" s="282"/>
      <c r="E14" s="282"/>
      <c r="F14" s="285"/>
      <c r="G14" s="286"/>
      <c r="H14" s="286"/>
      <c r="I14" s="286"/>
      <c r="J14" s="286"/>
    </row>
    <row r="15" spans="1:10">
      <c r="A15" s="284"/>
      <c r="B15" s="282"/>
      <c r="C15" s="282"/>
      <c r="D15" s="282"/>
      <c r="E15" s="282"/>
      <c r="F15" s="285"/>
      <c r="G15" s="286"/>
      <c r="H15" s="286"/>
      <c r="I15" s="286"/>
      <c r="J15" s="286"/>
    </row>
    <row r="16" spans="1:10">
      <c r="A16" s="284"/>
      <c r="B16" s="282"/>
      <c r="C16" s="282"/>
      <c r="D16" s="282"/>
      <c r="E16" s="282"/>
      <c r="F16" s="285"/>
      <c r="G16" s="286"/>
      <c r="H16" s="286"/>
      <c r="I16" s="286"/>
      <c r="J16" s="286"/>
    </row>
    <row r="17" spans="1:10">
      <c r="A17" s="284"/>
      <c r="B17" s="282"/>
      <c r="C17" s="282"/>
      <c r="D17" s="282"/>
      <c r="E17" s="282"/>
      <c r="F17" s="285"/>
      <c r="G17" s="286"/>
      <c r="H17" s="286"/>
      <c r="I17" s="286"/>
      <c r="J17" s="286"/>
    </row>
    <row r="18" spans="1:10">
      <c r="A18" s="284"/>
      <c r="B18" s="282"/>
      <c r="C18" s="282"/>
      <c r="D18" s="282"/>
      <c r="E18" s="282"/>
      <c r="F18" s="285"/>
      <c r="G18" s="286"/>
      <c r="H18" s="286"/>
      <c r="I18" s="286"/>
      <c r="J18" s="286"/>
    </row>
    <row r="19" spans="1:10">
      <c r="A19" s="284"/>
      <c r="B19" s="282"/>
      <c r="C19" s="282"/>
      <c r="D19" s="282"/>
      <c r="E19" s="282"/>
      <c r="F19" s="285"/>
      <c r="G19" s="286"/>
      <c r="H19" s="286"/>
      <c r="I19" s="286"/>
      <c r="J19" s="286"/>
    </row>
    <row r="20" spans="1:10">
      <c r="A20" s="284"/>
      <c r="B20" s="282"/>
      <c r="C20" s="282"/>
      <c r="D20" s="282"/>
      <c r="E20" s="282"/>
      <c r="F20" s="285"/>
      <c r="G20" s="286"/>
      <c r="H20" s="286"/>
      <c r="I20" s="286"/>
      <c r="J20" s="286"/>
    </row>
    <row r="21" spans="1:10">
      <c r="A21" s="284"/>
      <c r="B21" s="282"/>
      <c r="C21" s="282"/>
      <c r="D21" s="282"/>
      <c r="E21" s="282"/>
      <c r="F21" s="285"/>
      <c r="G21" s="286"/>
      <c r="H21" s="286"/>
      <c r="I21" s="286"/>
      <c r="J21" s="286"/>
    </row>
    <row r="22" spans="1:10">
      <c r="A22" s="284"/>
      <c r="B22" s="282"/>
      <c r="C22" s="282"/>
      <c r="D22" s="282"/>
      <c r="E22" s="282"/>
      <c r="F22" s="285"/>
      <c r="G22" s="286"/>
      <c r="H22" s="286"/>
      <c r="I22" s="286"/>
      <c r="J22" s="286"/>
    </row>
    <row r="23" spans="1:10">
      <c r="A23" s="284"/>
      <c r="B23" s="282"/>
      <c r="C23" s="282"/>
      <c r="D23" s="282"/>
      <c r="E23" s="282"/>
      <c r="F23" s="285"/>
      <c r="G23" s="286"/>
      <c r="H23" s="286"/>
      <c r="I23" s="286"/>
      <c r="J23" s="286"/>
    </row>
    <row r="24" spans="1:10">
      <c r="A24" s="284"/>
      <c r="B24" s="282"/>
      <c r="C24" s="282"/>
      <c r="D24" s="282"/>
      <c r="E24" s="282"/>
      <c r="F24" s="285"/>
      <c r="G24" s="286"/>
      <c r="H24" s="286"/>
      <c r="I24" s="286"/>
      <c r="J24" s="286"/>
    </row>
    <row r="25" spans="1:10">
      <c r="A25" s="284"/>
      <c r="B25" s="282"/>
      <c r="C25" s="282"/>
      <c r="D25" s="282"/>
      <c r="E25" s="282"/>
      <c r="F25" s="285"/>
      <c r="G25" s="286"/>
      <c r="H25" s="286"/>
      <c r="I25" s="286"/>
      <c r="J25" s="286"/>
    </row>
    <row r="26" spans="1:10">
      <c r="A26" s="284"/>
      <c r="B26" s="282"/>
      <c r="C26" s="282"/>
      <c r="D26" s="282"/>
      <c r="E26" s="282"/>
      <c r="F26" s="285"/>
      <c r="G26" s="286"/>
      <c r="H26" s="286"/>
      <c r="I26" s="286"/>
      <c r="J26" s="286"/>
    </row>
    <row r="27" spans="1:10">
      <c r="A27" s="284"/>
      <c r="B27" s="282"/>
      <c r="C27" s="282"/>
      <c r="D27" s="282"/>
      <c r="E27" s="282"/>
      <c r="F27" s="285"/>
      <c r="G27" s="286"/>
      <c r="H27" s="286"/>
      <c r="I27" s="286"/>
      <c r="J27" s="286"/>
    </row>
    <row r="28" spans="1:10">
      <c r="A28" s="284"/>
      <c r="B28" s="282"/>
      <c r="C28" s="282"/>
      <c r="D28" s="282"/>
      <c r="E28" s="282"/>
      <c r="F28" s="285"/>
      <c r="G28" s="286"/>
      <c r="H28" s="286"/>
      <c r="I28" s="286"/>
      <c r="J28" s="286"/>
    </row>
    <row r="29" spans="1:10">
      <c r="A29" s="284"/>
      <c r="B29" s="282"/>
      <c r="C29" s="282"/>
      <c r="D29" s="282"/>
      <c r="E29" s="282"/>
      <c r="F29" s="285"/>
      <c r="G29" s="286"/>
      <c r="H29" s="286"/>
      <c r="I29" s="286"/>
      <c r="J29" s="286"/>
    </row>
    <row r="30" spans="1:10">
      <c r="A30" s="284"/>
      <c r="B30" s="282"/>
      <c r="C30" s="282"/>
      <c r="D30" s="282"/>
      <c r="E30" s="282"/>
      <c r="F30" s="285"/>
      <c r="G30" s="286"/>
      <c r="H30" s="286"/>
      <c r="I30" s="286"/>
      <c r="J30" s="286"/>
    </row>
    <row r="31" spans="1:10">
      <c r="A31" s="284"/>
      <c r="B31" s="282"/>
      <c r="C31" s="282"/>
      <c r="D31" s="282"/>
      <c r="E31" s="282"/>
      <c r="F31" s="285"/>
      <c r="G31" s="286"/>
      <c r="H31" s="286"/>
      <c r="I31" s="286"/>
      <c r="J31" s="286"/>
    </row>
    <row r="32" spans="1:10">
      <c r="A32" s="284"/>
      <c r="B32" s="282"/>
      <c r="C32" s="282"/>
      <c r="D32" s="282"/>
      <c r="E32" s="282"/>
      <c r="F32" s="285"/>
      <c r="G32" s="286"/>
      <c r="H32" s="286"/>
      <c r="I32" s="286"/>
      <c r="J32" s="286"/>
    </row>
    <row r="33" spans="1:10">
      <c r="A33" s="284"/>
      <c r="B33" s="282"/>
      <c r="C33" s="282"/>
      <c r="D33" s="282"/>
      <c r="E33" s="282"/>
      <c r="F33" s="285"/>
      <c r="G33" s="286"/>
      <c r="H33" s="286"/>
      <c r="I33" s="286"/>
      <c r="J33" s="286"/>
    </row>
    <row r="34" spans="1:10">
      <c r="A34" s="284"/>
      <c r="B34" s="282"/>
      <c r="C34" s="282"/>
      <c r="D34" s="282"/>
      <c r="E34" s="282"/>
      <c r="F34" s="285"/>
      <c r="G34" s="286"/>
      <c r="H34" s="286"/>
      <c r="I34" s="286"/>
      <c r="J34" s="286"/>
    </row>
    <row r="35" spans="1:10">
      <c r="A35" s="284"/>
      <c r="B35" s="282"/>
      <c r="C35" s="282"/>
      <c r="D35" s="282"/>
      <c r="E35" s="282"/>
      <c r="F35" s="285"/>
      <c r="G35" s="286"/>
      <c r="H35" s="286"/>
      <c r="I35" s="286"/>
      <c r="J35" s="286"/>
    </row>
    <row r="36" spans="1:10">
      <c r="A36" s="284"/>
      <c r="B36" s="282"/>
      <c r="C36" s="282"/>
      <c r="D36" s="282"/>
      <c r="E36" s="282"/>
      <c r="F36" s="285"/>
      <c r="G36" s="286"/>
      <c r="H36" s="286"/>
      <c r="I36" s="286"/>
      <c r="J36" s="286"/>
    </row>
    <row r="37" spans="1:10">
      <c r="A37" s="284"/>
      <c r="B37" s="282"/>
      <c r="C37" s="282"/>
      <c r="D37" s="282"/>
      <c r="E37" s="282"/>
      <c r="F37" s="285"/>
      <c r="G37" s="286"/>
      <c r="H37" s="286"/>
      <c r="I37" s="286"/>
      <c r="J37" s="286"/>
    </row>
    <row r="38" spans="1:10">
      <c r="A38" s="284"/>
      <c r="B38" s="282"/>
      <c r="C38" s="282"/>
      <c r="D38" s="282"/>
      <c r="E38" s="282"/>
      <c r="F38" s="285"/>
      <c r="G38" s="286"/>
      <c r="H38" s="286"/>
      <c r="I38" s="286"/>
      <c r="J38" s="286"/>
    </row>
    <row r="39" spans="1:10">
      <c r="A39" s="284"/>
      <c r="B39" s="282"/>
      <c r="C39" s="282"/>
      <c r="D39" s="282"/>
      <c r="E39" s="282"/>
      <c r="F39" s="285"/>
      <c r="G39" s="286"/>
      <c r="H39" s="286"/>
      <c r="I39" s="286"/>
      <c r="J39" s="286"/>
    </row>
    <row r="40" spans="1:10">
      <c r="A40" s="284"/>
      <c r="B40" s="282"/>
      <c r="C40" s="282"/>
      <c r="D40" s="282"/>
      <c r="E40" s="282"/>
      <c r="F40" s="285"/>
      <c r="G40" s="286"/>
      <c r="H40" s="286"/>
      <c r="I40" s="286"/>
      <c r="J40" s="286"/>
    </row>
    <row r="41" spans="1:10">
      <c r="A41" s="284"/>
      <c r="B41" s="282"/>
      <c r="C41" s="282"/>
      <c r="D41" s="282"/>
      <c r="E41" s="282"/>
      <c r="F41" s="285"/>
      <c r="G41" s="286"/>
      <c r="H41" s="286"/>
      <c r="I41" s="286"/>
      <c r="J41" s="286"/>
    </row>
    <row r="42" spans="1:10">
      <c r="A42" s="284"/>
      <c r="B42" s="282"/>
      <c r="C42" s="282"/>
      <c r="D42" s="282"/>
      <c r="E42" s="282"/>
      <c r="F42" s="285"/>
      <c r="G42" s="286"/>
      <c r="H42" s="286"/>
      <c r="I42" s="286"/>
      <c r="J42" s="286"/>
    </row>
    <row r="43" spans="1:10">
      <c r="A43" s="284"/>
      <c r="B43" s="282"/>
      <c r="C43" s="282"/>
      <c r="D43" s="282"/>
      <c r="E43" s="282"/>
      <c r="F43" s="285"/>
      <c r="G43" s="286"/>
      <c r="H43" s="286"/>
      <c r="I43" s="286"/>
      <c r="J43" s="286"/>
    </row>
    <row r="44" spans="1:10">
      <c r="A44" s="284"/>
      <c r="B44" s="282"/>
      <c r="C44" s="282"/>
      <c r="D44" s="282"/>
      <c r="E44" s="282"/>
      <c r="F44" s="285"/>
      <c r="G44" s="286"/>
      <c r="H44" s="286"/>
      <c r="I44" s="286"/>
      <c r="J44" s="286"/>
    </row>
    <row r="45" spans="1:10">
      <c r="A45" s="284"/>
      <c r="B45" s="282"/>
      <c r="C45" s="282"/>
      <c r="D45" s="282"/>
      <c r="E45" s="282"/>
      <c r="F45" s="285"/>
      <c r="G45" s="286"/>
      <c r="H45" s="286"/>
      <c r="I45" s="286"/>
      <c r="J45" s="286"/>
    </row>
    <row r="46" spans="1:10">
      <c r="A46" s="284"/>
      <c r="B46" s="282"/>
      <c r="C46" s="282"/>
      <c r="D46" s="282"/>
      <c r="E46" s="282"/>
      <c r="F46" s="285"/>
      <c r="G46" s="286"/>
      <c r="H46" s="286"/>
      <c r="I46" s="286"/>
      <c r="J46" s="286"/>
    </row>
    <row r="47" spans="1:10">
      <c r="A47" s="284"/>
      <c r="B47" s="282"/>
      <c r="C47" s="282"/>
      <c r="D47" s="282"/>
      <c r="E47" s="282"/>
      <c r="F47" s="285"/>
      <c r="G47" s="286"/>
      <c r="H47" s="286"/>
      <c r="I47" s="286"/>
      <c r="J47" s="286"/>
    </row>
    <row r="48" spans="1:10">
      <c r="A48" s="284"/>
      <c r="B48" s="282"/>
      <c r="C48" s="282"/>
      <c r="D48" s="282"/>
      <c r="E48" s="282"/>
      <c r="F48" s="285"/>
      <c r="G48" s="286"/>
      <c r="H48" s="286"/>
      <c r="I48" s="286"/>
      <c r="J48" s="286"/>
    </row>
    <row r="49" spans="1:10">
      <c r="A49" s="284"/>
      <c r="B49" s="282"/>
      <c r="C49" s="282"/>
      <c r="D49" s="282"/>
      <c r="E49" s="282"/>
      <c r="F49" s="285"/>
      <c r="G49" s="286"/>
      <c r="H49" s="286"/>
      <c r="I49" s="286"/>
      <c r="J49" s="286"/>
    </row>
    <row r="50" spans="1:10">
      <c r="A50" s="284"/>
      <c r="B50" s="282"/>
      <c r="C50" s="282"/>
      <c r="D50" s="282"/>
      <c r="E50" s="282"/>
      <c r="F50" s="285"/>
      <c r="G50" s="286"/>
      <c r="H50" s="286"/>
      <c r="I50" s="286"/>
      <c r="J50" s="286"/>
    </row>
    <row r="51" spans="1:10">
      <c r="A51" s="284"/>
      <c r="B51" s="282"/>
      <c r="C51" s="282"/>
      <c r="D51" s="282"/>
      <c r="E51" s="282"/>
      <c r="F51" s="285"/>
      <c r="G51" s="286"/>
      <c r="H51" s="286"/>
      <c r="I51" s="286"/>
      <c r="J51" s="286"/>
    </row>
    <row r="52" spans="1:10">
      <c r="A52" s="284"/>
      <c r="B52" s="282"/>
      <c r="C52" s="282"/>
      <c r="D52" s="282"/>
      <c r="E52" s="282"/>
      <c r="F52" s="285"/>
      <c r="G52" s="286"/>
      <c r="H52" s="286"/>
      <c r="I52" s="286"/>
      <c r="J52" s="286"/>
    </row>
    <row r="53" spans="1:10">
      <c r="A53" s="284"/>
      <c r="B53" s="282"/>
      <c r="C53" s="282"/>
      <c r="D53" s="282"/>
      <c r="E53" s="282"/>
      <c r="F53" s="285"/>
      <c r="G53" s="286"/>
      <c r="H53" s="286"/>
      <c r="I53" s="286"/>
      <c r="J53" s="286"/>
    </row>
    <row r="54" spans="1:10">
      <c r="A54" s="284"/>
      <c r="B54" s="282"/>
      <c r="C54" s="282"/>
      <c r="D54" s="282"/>
      <c r="E54" s="282"/>
      <c r="F54" s="285"/>
      <c r="G54" s="286"/>
      <c r="H54" s="286"/>
      <c r="I54" s="286"/>
      <c r="J54" s="286"/>
    </row>
    <row r="55" spans="1:10">
      <c r="A55" s="284"/>
      <c r="B55" s="282"/>
      <c r="C55" s="282"/>
      <c r="D55" s="282"/>
      <c r="E55" s="282"/>
      <c r="F55" s="285"/>
      <c r="G55" s="286"/>
      <c r="H55" s="286"/>
      <c r="I55" s="286"/>
      <c r="J55" s="286"/>
    </row>
    <row r="56" spans="1:10">
      <c r="A56" s="284"/>
      <c r="B56" s="282"/>
      <c r="C56" s="282"/>
      <c r="D56" s="282"/>
      <c r="E56" s="282"/>
      <c r="F56" s="285"/>
      <c r="G56" s="286"/>
      <c r="H56" s="286"/>
      <c r="I56" s="286"/>
      <c r="J56" s="286"/>
    </row>
    <row r="57" spans="1:10">
      <c r="A57" s="284"/>
      <c r="B57" s="282"/>
      <c r="C57" s="282"/>
      <c r="D57" s="282"/>
      <c r="E57" s="282"/>
      <c r="F57" s="285"/>
      <c r="G57" s="286"/>
      <c r="H57" s="286"/>
      <c r="I57" s="286"/>
      <c r="J57" s="286"/>
    </row>
    <row r="58" spans="1:10">
      <c r="A58" s="284"/>
      <c r="B58" s="282"/>
      <c r="C58" s="282"/>
      <c r="D58" s="282"/>
      <c r="E58" s="282"/>
      <c r="F58" s="285"/>
      <c r="G58" s="286"/>
      <c r="H58" s="286"/>
      <c r="I58" s="286"/>
      <c r="J58" s="286"/>
    </row>
    <row r="59" spans="1:10">
      <c r="A59" s="284"/>
      <c r="B59" s="282"/>
      <c r="C59" s="282"/>
      <c r="D59" s="282"/>
      <c r="E59" s="282"/>
      <c r="F59" s="285"/>
      <c r="G59" s="286"/>
      <c r="H59" s="286"/>
      <c r="I59" s="286"/>
      <c r="J59" s="286"/>
    </row>
    <row r="60" spans="1:10">
      <c r="A60" s="284"/>
      <c r="B60" s="282"/>
      <c r="C60" s="282"/>
      <c r="D60" s="282"/>
      <c r="E60" s="282"/>
      <c r="F60" s="285"/>
      <c r="G60" s="286"/>
      <c r="H60" s="286"/>
      <c r="I60" s="286"/>
      <c r="J60" s="286"/>
    </row>
    <row r="61" spans="1:10">
      <c r="A61" s="284"/>
      <c r="B61" s="282"/>
      <c r="C61" s="282"/>
      <c r="D61" s="282"/>
      <c r="E61" s="282"/>
      <c r="F61" s="285"/>
      <c r="G61" s="286"/>
      <c r="H61" s="286"/>
      <c r="I61" s="286"/>
      <c r="J61" s="286"/>
    </row>
    <row r="62" spans="1:10">
      <c r="A62" s="284"/>
      <c r="B62" s="282"/>
      <c r="C62" s="282"/>
      <c r="D62" s="282"/>
      <c r="E62" s="282"/>
      <c r="F62" s="285"/>
      <c r="G62" s="286"/>
      <c r="H62" s="286"/>
      <c r="I62" s="286"/>
      <c r="J62" s="286"/>
    </row>
    <row r="63" spans="1:10">
      <c r="A63" s="284"/>
      <c r="B63" s="282"/>
      <c r="C63" s="282"/>
      <c r="D63" s="282"/>
      <c r="E63" s="282"/>
      <c r="F63" s="285"/>
      <c r="G63" s="286"/>
      <c r="H63" s="286"/>
      <c r="I63" s="286"/>
      <c r="J63" s="286"/>
    </row>
    <row r="64" spans="1:10">
      <c r="A64" s="284"/>
      <c r="B64" s="282"/>
      <c r="C64" s="282"/>
      <c r="D64" s="282"/>
      <c r="E64" s="282"/>
      <c r="F64" s="285"/>
      <c r="G64" s="286"/>
      <c r="H64" s="286"/>
      <c r="I64" s="286"/>
      <c r="J64" s="286"/>
    </row>
    <row r="65" spans="1:10">
      <c r="A65" s="284"/>
      <c r="B65" s="282"/>
      <c r="C65" s="282"/>
      <c r="D65" s="282"/>
      <c r="E65" s="282"/>
      <c r="F65" s="285"/>
      <c r="G65" s="286"/>
      <c r="H65" s="286"/>
      <c r="I65" s="286"/>
      <c r="J65" s="286"/>
    </row>
    <row r="66" spans="1:10">
      <c r="A66" s="284"/>
      <c r="B66" s="282"/>
      <c r="C66" s="282"/>
      <c r="D66" s="282"/>
      <c r="E66" s="282"/>
      <c r="F66" s="285"/>
      <c r="G66" s="286"/>
      <c r="H66" s="286"/>
      <c r="I66" s="286"/>
      <c r="J66" s="286"/>
    </row>
    <row r="67" spans="1:10">
      <c r="A67" s="284"/>
      <c r="B67" s="282"/>
      <c r="C67" s="282"/>
      <c r="D67" s="282"/>
      <c r="E67" s="282"/>
      <c r="F67" s="285"/>
      <c r="G67" s="286"/>
      <c r="H67" s="286"/>
      <c r="I67" s="286"/>
      <c r="J67" s="286"/>
    </row>
    <row r="68" spans="1:10">
      <c r="A68" s="284"/>
      <c r="B68" s="282"/>
      <c r="C68" s="282"/>
      <c r="D68" s="282"/>
      <c r="E68" s="282"/>
      <c r="F68" s="285"/>
      <c r="G68" s="286"/>
      <c r="H68" s="286"/>
      <c r="I68" s="286"/>
      <c r="J68" s="286"/>
    </row>
    <row r="69" spans="1:10">
      <c r="A69" s="284"/>
      <c r="B69" s="282"/>
      <c r="C69" s="282"/>
      <c r="D69" s="282"/>
      <c r="E69" s="282"/>
      <c r="F69" s="285"/>
      <c r="G69" s="286"/>
      <c r="H69" s="286"/>
      <c r="I69" s="286"/>
      <c r="J69" s="286"/>
    </row>
    <row r="70" spans="1:10">
      <c r="A70" s="284"/>
      <c r="B70" s="282"/>
      <c r="C70" s="282"/>
      <c r="D70" s="282"/>
      <c r="E70" s="282"/>
      <c r="F70" s="285"/>
      <c r="G70" s="286"/>
      <c r="H70" s="286"/>
      <c r="I70" s="286"/>
      <c r="J70" s="286"/>
    </row>
    <row r="71" spans="1:10">
      <c r="A71" s="284"/>
      <c r="B71" s="282"/>
      <c r="C71" s="282"/>
      <c r="D71" s="282"/>
      <c r="E71" s="282"/>
      <c r="F71" s="285"/>
      <c r="G71" s="286"/>
      <c r="H71" s="286"/>
      <c r="I71" s="286"/>
      <c r="J71" s="286"/>
    </row>
    <row r="72" spans="1:10">
      <c r="A72" s="284"/>
      <c r="B72" s="282"/>
      <c r="C72" s="282"/>
      <c r="D72" s="282"/>
      <c r="E72" s="282"/>
      <c r="F72" s="285"/>
      <c r="G72" s="286"/>
      <c r="H72" s="286"/>
      <c r="I72" s="286"/>
      <c r="J72" s="286"/>
    </row>
    <row r="73" spans="1:10">
      <c r="A73" s="284"/>
      <c r="B73" s="282"/>
      <c r="C73" s="282"/>
      <c r="D73" s="282"/>
      <c r="E73" s="282"/>
      <c r="F73" s="285"/>
      <c r="G73" s="286"/>
      <c r="H73" s="286"/>
      <c r="I73" s="286"/>
      <c r="J73" s="286"/>
    </row>
    <row r="74" spans="1:10">
      <c r="A74" s="284"/>
      <c r="B74" s="282"/>
      <c r="C74" s="282"/>
      <c r="D74" s="282"/>
      <c r="E74" s="282"/>
      <c r="F74" s="285"/>
      <c r="G74" s="286"/>
      <c r="H74" s="286"/>
      <c r="I74" s="286"/>
      <c r="J74" s="286"/>
    </row>
    <row r="75" spans="1:10">
      <c r="A75" s="284"/>
      <c r="B75" s="282"/>
      <c r="C75" s="282"/>
      <c r="D75" s="282"/>
      <c r="E75" s="282"/>
      <c r="F75" s="285"/>
      <c r="G75" s="286"/>
      <c r="H75" s="286"/>
      <c r="I75" s="286"/>
      <c r="J75" s="286"/>
    </row>
    <row r="76" spans="1:10">
      <c r="A76" s="284"/>
      <c r="B76" s="282"/>
      <c r="C76" s="282"/>
      <c r="D76" s="282"/>
      <c r="E76" s="282"/>
      <c r="F76" s="285"/>
      <c r="G76" s="286"/>
      <c r="H76" s="286"/>
      <c r="I76" s="286"/>
      <c r="J76" s="286"/>
    </row>
    <row r="77" spans="1:10">
      <c r="A77" s="284"/>
      <c r="B77" s="282"/>
      <c r="C77" s="282"/>
      <c r="D77" s="282"/>
      <c r="E77" s="282"/>
      <c r="F77" s="285"/>
      <c r="G77" s="286"/>
      <c r="H77" s="286"/>
      <c r="I77" s="286"/>
      <c r="J77" s="286"/>
    </row>
    <row r="78" spans="1:10">
      <c r="A78" s="284"/>
      <c r="B78" s="282"/>
      <c r="C78" s="282"/>
      <c r="D78" s="282"/>
      <c r="E78" s="282"/>
      <c r="F78" s="285"/>
      <c r="G78" s="286"/>
      <c r="H78" s="286"/>
      <c r="I78" s="286"/>
      <c r="J78" s="286"/>
    </row>
    <row r="79" spans="1:10">
      <c r="A79" s="284"/>
      <c r="B79" s="282"/>
      <c r="C79" s="282"/>
      <c r="D79" s="282"/>
      <c r="E79" s="282"/>
      <c r="F79" s="285"/>
      <c r="G79" s="286"/>
      <c r="H79" s="286"/>
      <c r="I79" s="286"/>
      <c r="J79" s="286"/>
    </row>
    <row r="80" spans="1:10">
      <c r="A80" s="284"/>
      <c r="B80" s="282"/>
      <c r="C80" s="282"/>
      <c r="D80" s="282"/>
      <c r="E80" s="282"/>
      <c r="F80" s="285"/>
      <c r="G80" s="286"/>
      <c r="H80" s="286"/>
      <c r="I80" s="286"/>
      <c r="J80" s="286"/>
    </row>
    <row r="81" spans="1:10">
      <c r="A81" s="284"/>
      <c r="B81" s="282"/>
      <c r="C81" s="282"/>
      <c r="D81" s="282"/>
      <c r="E81" s="282"/>
      <c r="F81" s="285"/>
      <c r="G81" s="286"/>
      <c r="H81" s="286"/>
      <c r="I81" s="286"/>
      <c r="J81" s="286"/>
    </row>
    <row r="82" spans="1:10">
      <c r="A82" s="284"/>
      <c r="B82" s="282"/>
      <c r="C82" s="282"/>
      <c r="D82" s="282"/>
      <c r="E82" s="282"/>
      <c r="F82" s="285"/>
      <c r="G82" s="286"/>
      <c r="H82" s="286"/>
      <c r="I82" s="286"/>
      <c r="J82" s="286"/>
    </row>
    <row r="83" spans="1:10">
      <c r="A83" s="284"/>
      <c r="B83" s="282"/>
      <c r="C83" s="282"/>
      <c r="D83" s="282"/>
      <c r="E83" s="282"/>
      <c r="F83" s="285"/>
      <c r="G83" s="286"/>
      <c r="H83" s="286"/>
      <c r="I83" s="286"/>
      <c r="J83" s="286"/>
    </row>
    <row r="84" spans="1:10">
      <c r="A84" s="284"/>
      <c r="B84" s="282"/>
      <c r="C84" s="282"/>
      <c r="D84" s="282"/>
      <c r="E84" s="282"/>
      <c r="F84" s="285"/>
      <c r="G84" s="286"/>
      <c r="H84" s="286"/>
      <c r="I84" s="286"/>
      <c r="J84" s="286"/>
    </row>
    <row r="85" spans="1:10">
      <c r="A85" s="284"/>
      <c r="B85" s="282"/>
      <c r="C85" s="282"/>
      <c r="D85" s="282"/>
      <c r="E85" s="282"/>
      <c r="F85" s="285"/>
      <c r="G85" s="286"/>
      <c r="H85" s="286"/>
      <c r="I85" s="286"/>
      <c r="J85" s="286"/>
    </row>
    <row r="86" spans="1:10">
      <c r="A86" s="284"/>
      <c r="B86" s="282"/>
      <c r="C86" s="282"/>
      <c r="D86" s="282"/>
      <c r="E86" s="282"/>
      <c r="F86" s="285"/>
      <c r="G86" s="286"/>
      <c r="H86" s="286"/>
      <c r="I86" s="286"/>
      <c r="J86" s="286"/>
    </row>
    <row r="87" spans="1:10">
      <c r="A87" s="284"/>
      <c r="B87" s="282"/>
      <c r="C87" s="282"/>
      <c r="D87" s="282"/>
      <c r="E87" s="282"/>
      <c r="F87" s="285"/>
      <c r="G87" s="286"/>
      <c r="H87" s="286"/>
      <c r="I87" s="286"/>
      <c r="J87" s="286"/>
    </row>
    <row r="88" spans="1:10">
      <c r="A88" s="284"/>
      <c r="B88" s="282"/>
      <c r="C88" s="282"/>
      <c r="D88" s="282"/>
      <c r="E88" s="282"/>
      <c r="F88" s="285"/>
      <c r="G88" s="286"/>
      <c r="H88" s="286"/>
      <c r="I88" s="286"/>
      <c r="J88" s="286"/>
    </row>
    <row r="89" spans="1:10">
      <c r="A89" s="284"/>
      <c r="B89" s="282"/>
      <c r="C89" s="282"/>
      <c r="D89" s="282"/>
      <c r="E89" s="282"/>
      <c r="F89" s="285"/>
      <c r="G89" s="286"/>
      <c r="H89" s="286"/>
      <c r="I89" s="286"/>
      <c r="J89" s="286"/>
    </row>
    <row r="90" spans="1:10">
      <c r="A90" s="284"/>
      <c r="B90" s="282"/>
      <c r="C90" s="282"/>
      <c r="D90" s="282"/>
      <c r="E90" s="282"/>
      <c r="F90" s="285"/>
      <c r="G90" s="286"/>
      <c r="H90" s="286"/>
      <c r="I90" s="286"/>
      <c r="J90" s="286"/>
    </row>
    <row r="91" spans="1:10">
      <c r="A91" s="284"/>
      <c r="B91" s="282"/>
      <c r="C91" s="282"/>
      <c r="D91" s="282"/>
      <c r="E91" s="282"/>
      <c r="F91" s="285"/>
      <c r="G91" s="286"/>
      <c r="H91" s="286"/>
      <c r="I91" s="286"/>
      <c r="J91" s="286"/>
    </row>
    <row r="92" spans="1:10">
      <c r="A92" s="284"/>
      <c r="B92" s="282"/>
      <c r="C92" s="282"/>
      <c r="D92" s="282"/>
      <c r="E92" s="282"/>
      <c r="F92" s="285"/>
      <c r="G92" s="286"/>
      <c r="H92" s="286"/>
      <c r="I92" s="286"/>
      <c r="J92" s="286"/>
    </row>
    <row r="93" spans="1:10">
      <c r="A93" s="284"/>
      <c r="B93" s="282"/>
      <c r="C93" s="282"/>
      <c r="D93" s="282"/>
      <c r="E93" s="282"/>
      <c r="F93" s="285"/>
      <c r="G93" s="286"/>
      <c r="H93" s="286"/>
      <c r="I93" s="286"/>
      <c r="J93" s="286"/>
    </row>
    <row r="94" spans="1:10">
      <c r="A94" s="284"/>
      <c r="B94" s="282"/>
      <c r="C94" s="282"/>
      <c r="D94" s="282"/>
      <c r="E94" s="282"/>
      <c r="F94" s="285"/>
      <c r="G94" s="286"/>
      <c r="H94" s="286"/>
      <c r="I94" s="286"/>
      <c r="J94" s="286"/>
    </row>
    <row r="95" spans="1:10">
      <c r="A95" s="284"/>
      <c r="B95" s="282"/>
      <c r="C95" s="282"/>
      <c r="D95" s="282"/>
      <c r="E95" s="282"/>
      <c r="F95" s="285"/>
      <c r="G95" s="286"/>
      <c r="H95" s="286"/>
      <c r="I95" s="286"/>
      <c r="J95" s="286"/>
    </row>
    <row r="96" spans="1:10">
      <c r="A96" s="284"/>
      <c r="B96" s="282"/>
      <c r="C96" s="282"/>
      <c r="D96" s="282"/>
      <c r="E96" s="282"/>
      <c r="F96" s="285"/>
      <c r="G96" s="286"/>
      <c r="H96" s="286"/>
      <c r="I96" s="286"/>
      <c r="J96" s="286"/>
    </row>
    <row r="97" spans="1:10">
      <c r="A97" s="284"/>
      <c r="B97" s="282"/>
      <c r="C97" s="282"/>
      <c r="D97" s="282"/>
      <c r="E97" s="282"/>
      <c r="F97" s="285"/>
      <c r="G97" s="286"/>
      <c r="H97" s="286"/>
      <c r="I97" s="286"/>
      <c r="J97" s="286"/>
    </row>
    <row r="98" spans="1:10">
      <c r="A98" s="284"/>
      <c r="B98" s="282"/>
      <c r="C98" s="282"/>
      <c r="D98" s="282"/>
      <c r="E98" s="282"/>
      <c r="F98" s="285"/>
      <c r="G98" s="286"/>
      <c r="H98" s="286"/>
      <c r="I98" s="286"/>
      <c r="J98" s="286"/>
    </row>
    <row r="99" spans="1:10">
      <c r="A99" s="284"/>
      <c r="B99" s="282"/>
      <c r="C99" s="282"/>
      <c r="D99" s="282"/>
      <c r="E99" s="282"/>
      <c r="F99" s="285"/>
      <c r="G99" s="286"/>
      <c r="H99" s="286"/>
      <c r="I99" s="286"/>
      <c r="J99" s="286"/>
    </row>
    <row r="100" spans="1:10">
      <c r="A100" s="284"/>
      <c r="B100" s="282"/>
      <c r="C100" s="282"/>
      <c r="D100" s="282"/>
      <c r="E100" s="282"/>
      <c r="F100" s="285"/>
      <c r="G100" s="286"/>
      <c r="H100" s="286"/>
      <c r="I100" s="286"/>
      <c r="J100" s="286"/>
    </row>
    <row r="101" spans="1:10">
      <c r="A101" s="284"/>
      <c r="B101" s="282"/>
      <c r="C101" s="282"/>
      <c r="D101" s="282"/>
      <c r="E101" s="282"/>
      <c r="F101" s="285"/>
      <c r="G101" s="286"/>
      <c r="H101" s="286"/>
      <c r="I101" s="286"/>
      <c r="J101" s="286"/>
    </row>
    <row r="102" spans="1:10">
      <c r="A102" s="284"/>
      <c r="B102" s="282"/>
      <c r="C102" s="282"/>
      <c r="D102" s="282"/>
      <c r="E102" s="282"/>
      <c r="F102" s="285"/>
      <c r="G102" s="286"/>
      <c r="H102" s="286"/>
      <c r="I102" s="286"/>
      <c r="J102" s="286"/>
    </row>
    <row r="103" spans="1:10">
      <c r="A103" s="284"/>
      <c r="B103" s="282"/>
      <c r="C103" s="282"/>
      <c r="D103" s="282"/>
      <c r="E103" s="282"/>
      <c r="F103" s="285"/>
      <c r="G103" s="286"/>
      <c r="H103" s="286"/>
      <c r="I103" s="286"/>
      <c r="J103" s="286"/>
    </row>
    <row r="104" spans="1:10">
      <c r="A104" s="284"/>
      <c r="B104" s="282"/>
      <c r="C104" s="282"/>
      <c r="D104" s="282"/>
      <c r="E104" s="282"/>
      <c r="F104" s="285"/>
      <c r="G104" s="286"/>
      <c r="H104" s="286"/>
      <c r="I104" s="286"/>
      <c r="J104" s="286"/>
    </row>
    <row r="105" spans="1:10">
      <c r="A105" s="284"/>
      <c r="B105" s="282"/>
      <c r="C105" s="282"/>
      <c r="D105" s="282"/>
      <c r="E105" s="282"/>
      <c r="F105" s="285"/>
      <c r="G105" s="286"/>
      <c r="H105" s="286"/>
      <c r="I105" s="286"/>
      <c r="J105" s="286"/>
    </row>
    <row r="106" spans="1:10">
      <c r="A106" s="284"/>
      <c r="B106" s="282"/>
      <c r="C106" s="282"/>
      <c r="D106" s="282"/>
      <c r="E106" s="282"/>
      <c r="F106" s="285"/>
      <c r="G106" s="286"/>
      <c r="H106" s="286"/>
      <c r="I106" s="286"/>
      <c r="J106" s="286"/>
    </row>
    <row r="107" spans="1:10">
      <c r="A107" s="284"/>
      <c r="B107" s="282"/>
      <c r="C107" s="282"/>
      <c r="D107" s="282"/>
      <c r="E107" s="282"/>
      <c r="F107" s="285"/>
      <c r="G107" s="286"/>
      <c r="H107" s="286"/>
      <c r="I107" s="286"/>
      <c r="J107" s="286"/>
    </row>
    <row r="108" spans="1:10">
      <c r="A108" s="284"/>
      <c r="B108" s="282"/>
      <c r="C108" s="282"/>
      <c r="D108" s="282"/>
      <c r="E108" s="282"/>
      <c r="F108" s="285"/>
      <c r="G108" s="286"/>
      <c r="H108" s="286"/>
      <c r="I108" s="286"/>
      <c r="J108" s="286"/>
    </row>
    <row r="109" spans="1:10">
      <c r="A109" s="284"/>
      <c r="B109" s="282"/>
      <c r="C109" s="282"/>
      <c r="D109" s="282"/>
      <c r="E109" s="282"/>
      <c r="F109" s="285"/>
      <c r="G109" s="286"/>
      <c r="H109" s="286"/>
      <c r="I109" s="286"/>
      <c r="J109" s="286"/>
    </row>
    <row r="110" spans="1:10">
      <c r="A110" s="284"/>
      <c r="B110" s="282"/>
      <c r="C110" s="282"/>
      <c r="D110" s="282"/>
      <c r="E110" s="282"/>
      <c r="F110" s="285"/>
      <c r="G110" s="286"/>
      <c r="H110" s="286"/>
      <c r="I110" s="286"/>
      <c r="J110" s="286"/>
    </row>
    <row r="111" spans="1:10">
      <c r="A111" s="284"/>
      <c r="B111" s="282"/>
      <c r="C111" s="282"/>
      <c r="D111" s="282"/>
      <c r="E111" s="282"/>
      <c r="F111" s="285"/>
      <c r="G111" s="286"/>
      <c r="H111" s="286"/>
      <c r="I111" s="286"/>
      <c r="J111" s="286"/>
    </row>
    <row r="112" spans="1:10">
      <c r="A112" s="284"/>
      <c r="B112" s="282"/>
      <c r="C112" s="282"/>
      <c r="D112" s="282"/>
      <c r="E112" s="282"/>
      <c r="F112" s="285"/>
      <c r="G112" s="286"/>
      <c r="H112" s="286"/>
      <c r="I112" s="286"/>
      <c r="J112" s="286"/>
    </row>
    <row r="113" spans="1:10">
      <c r="A113" s="284"/>
      <c r="B113" s="282"/>
      <c r="C113" s="282"/>
      <c r="D113" s="282"/>
      <c r="E113" s="282"/>
      <c r="F113" s="285"/>
      <c r="G113" s="286"/>
      <c r="H113" s="286"/>
      <c r="I113" s="286"/>
      <c r="J113" s="286"/>
    </row>
    <row r="114" spans="1:10">
      <c r="A114" s="284"/>
      <c r="B114" s="282"/>
      <c r="C114" s="282"/>
      <c r="D114" s="282"/>
      <c r="E114" s="282"/>
      <c r="F114" s="285"/>
      <c r="G114" s="286"/>
      <c r="H114" s="286"/>
      <c r="I114" s="286"/>
      <c r="J114" s="286"/>
    </row>
    <row r="115" spans="1:10">
      <c r="A115" s="284"/>
      <c r="B115" s="282"/>
      <c r="C115" s="282"/>
      <c r="D115" s="282"/>
      <c r="E115" s="282"/>
      <c r="F115" s="285"/>
      <c r="G115" s="286"/>
      <c r="H115" s="286"/>
      <c r="I115" s="286"/>
      <c r="J115" s="286"/>
    </row>
    <row r="116" spans="1:10">
      <c r="A116" s="284"/>
      <c r="B116" s="282"/>
      <c r="C116" s="282"/>
      <c r="D116" s="282"/>
      <c r="E116" s="282"/>
      <c r="F116" s="285"/>
      <c r="G116" s="286"/>
      <c r="H116" s="286"/>
      <c r="I116" s="286"/>
      <c r="J116" s="286"/>
    </row>
    <row r="117" spans="1:10">
      <c r="A117" s="284"/>
      <c r="B117" s="282"/>
      <c r="C117" s="282"/>
      <c r="D117" s="282"/>
      <c r="E117" s="282"/>
      <c r="F117" s="285"/>
      <c r="G117" s="286"/>
      <c r="H117" s="286"/>
      <c r="I117" s="286"/>
      <c r="J117" s="286"/>
    </row>
    <row r="118" spans="1:10">
      <c r="A118" s="284"/>
      <c r="B118" s="282"/>
      <c r="C118" s="282"/>
      <c r="D118" s="282"/>
      <c r="E118" s="282"/>
      <c r="F118" s="285"/>
      <c r="G118" s="286"/>
      <c r="H118" s="286"/>
      <c r="I118" s="286"/>
      <c r="J118" s="286"/>
    </row>
    <row r="119" spans="1:10">
      <c r="A119" s="284"/>
      <c r="B119" s="282"/>
      <c r="C119" s="282"/>
      <c r="D119" s="282"/>
      <c r="E119" s="282"/>
      <c r="F119" s="285"/>
      <c r="G119" s="286"/>
      <c r="H119" s="286"/>
      <c r="I119" s="286"/>
      <c r="J119" s="286"/>
    </row>
    <row r="120" spans="1:10">
      <c r="A120" s="284"/>
      <c r="B120" s="282"/>
      <c r="C120" s="282"/>
      <c r="D120" s="282"/>
      <c r="E120" s="282"/>
      <c r="F120" s="285"/>
      <c r="G120" s="286"/>
      <c r="H120" s="286"/>
      <c r="I120" s="286"/>
      <c r="J120" s="286"/>
    </row>
    <row r="121" spans="1:10">
      <c r="A121" s="284"/>
      <c r="B121" s="282"/>
      <c r="C121" s="282"/>
      <c r="D121" s="282"/>
      <c r="E121" s="282"/>
      <c r="F121" s="285"/>
      <c r="G121" s="286"/>
      <c r="H121" s="286"/>
      <c r="I121" s="286"/>
      <c r="J121" s="286"/>
    </row>
    <row r="122" spans="1:10">
      <c r="A122" s="284"/>
      <c r="B122" s="282"/>
      <c r="C122" s="282"/>
      <c r="D122" s="282"/>
      <c r="E122" s="282"/>
      <c r="F122" s="285"/>
      <c r="G122" s="286"/>
      <c r="H122" s="286"/>
      <c r="I122" s="286"/>
      <c r="J122" s="286"/>
    </row>
    <row r="123" spans="1:10">
      <c r="A123" s="284"/>
      <c r="B123" s="282"/>
      <c r="C123" s="282"/>
      <c r="D123" s="282"/>
      <c r="E123" s="282"/>
      <c r="F123" s="285"/>
      <c r="G123" s="286"/>
      <c r="H123" s="286"/>
      <c r="I123" s="286"/>
      <c r="J123" s="286"/>
    </row>
    <row r="124" spans="1:10">
      <c r="A124" s="284"/>
      <c r="B124" s="282"/>
      <c r="C124" s="282"/>
      <c r="D124" s="282"/>
      <c r="E124" s="282"/>
      <c r="F124" s="285"/>
      <c r="G124" s="286"/>
      <c r="H124" s="286"/>
      <c r="I124" s="286"/>
      <c r="J124" s="286"/>
    </row>
    <row r="125" spans="1:10">
      <c r="A125" s="284"/>
      <c r="B125" s="282"/>
      <c r="C125" s="282"/>
      <c r="D125" s="282"/>
      <c r="E125" s="282"/>
      <c r="F125" s="285"/>
      <c r="G125" s="286"/>
      <c r="H125" s="286"/>
      <c r="I125" s="286"/>
      <c r="J125" s="286"/>
    </row>
    <row r="126" spans="1:10">
      <c r="A126" s="284"/>
      <c r="B126" s="282"/>
      <c r="C126" s="282"/>
      <c r="D126" s="282"/>
      <c r="E126" s="282"/>
      <c r="F126" s="285"/>
      <c r="G126" s="286"/>
      <c r="H126" s="286"/>
      <c r="I126" s="286"/>
      <c r="J126" s="286"/>
    </row>
    <row r="127" spans="1:10">
      <c r="A127" s="284"/>
      <c r="B127" s="282"/>
      <c r="C127" s="282"/>
      <c r="D127" s="282"/>
      <c r="E127" s="282"/>
      <c r="F127" s="285"/>
      <c r="G127" s="286"/>
      <c r="H127" s="286"/>
      <c r="I127" s="286"/>
      <c r="J127" s="286"/>
    </row>
    <row r="128" spans="1:10">
      <c r="A128" s="284"/>
      <c r="B128" s="282"/>
      <c r="C128" s="282"/>
      <c r="D128" s="282"/>
      <c r="E128" s="282"/>
      <c r="F128" s="285"/>
      <c r="G128" s="286"/>
      <c r="H128" s="286"/>
      <c r="I128" s="286"/>
      <c r="J128" s="286"/>
    </row>
    <row r="129" spans="1:10">
      <c r="A129" s="284"/>
      <c r="B129" s="282"/>
      <c r="C129" s="282"/>
      <c r="D129" s="282"/>
      <c r="E129" s="282"/>
      <c r="F129" s="285"/>
      <c r="G129" s="286"/>
      <c r="H129" s="286"/>
      <c r="I129" s="286"/>
      <c r="J129" s="286"/>
    </row>
    <row r="130" spans="1:10">
      <c r="A130" s="284"/>
      <c r="B130" s="282"/>
      <c r="C130" s="282"/>
      <c r="D130" s="282"/>
      <c r="E130" s="282"/>
      <c r="F130" s="285"/>
      <c r="G130" s="286"/>
      <c r="H130" s="286"/>
      <c r="I130" s="286"/>
      <c r="J130" s="286"/>
    </row>
    <row r="131" spans="1:10">
      <c r="A131" s="284"/>
      <c r="B131" s="282"/>
      <c r="C131" s="282"/>
      <c r="D131" s="282"/>
      <c r="E131" s="282"/>
      <c r="F131" s="285"/>
      <c r="G131" s="286"/>
      <c r="H131" s="286"/>
      <c r="I131" s="286"/>
      <c r="J131" s="286"/>
    </row>
    <row r="132" spans="1:10">
      <c r="A132" s="284"/>
      <c r="B132" s="282"/>
      <c r="C132" s="282"/>
      <c r="D132" s="282"/>
      <c r="E132" s="282"/>
      <c r="F132" s="285"/>
      <c r="G132" s="286"/>
      <c r="H132" s="286"/>
      <c r="I132" s="286"/>
      <c r="J132" s="286"/>
    </row>
    <row r="133" spans="1:10">
      <c r="A133" s="284"/>
      <c r="B133" s="282"/>
      <c r="C133" s="282"/>
      <c r="D133" s="282"/>
      <c r="E133" s="282"/>
      <c r="F133" s="285"/>
      <c r="G133" s="286"/>
      <c r="H133" s="286"/>
      <c r="I133" s="286"/>
      <c r="J133" s="286"/>
    </row>
    <row r="134" spans="1:10">
      <c r="A134" s="284"/>
      <c r="B134" s="282"/>
      <c r="C134" s="282"/>
      <c r="D134" s="282"/>
      <c r="E134" s="282"/>
      <c r="F134" s="285"/>
      <c r="G134" s="286"/>
      <c r="H134" s="286"/>
      <c r="I134" s="286"/>
      <c r="J134" s="286"/>
    </row>
    <row r="135" spans="1:10">
      <c r="A135" s="284"/>
      <c r="B135" s="282"/>
      <c r="C135" s="282"/>
      <c r="D135" s="282"/>
      <c r="E135" s="282"/>
      <c r="F135" s="285"/>
      <c r="G135" s="286"/>
      <c r="H135" s="286"/>
      <c r="I135" s="286"/>
      <c r="J135" s="286"/>
    </row>
    <row r="136" spans="1:10">
      <c r="A136" s="284"/>
      <c r="B136" s="282"/>
      <c r="C136" s="282"/>
      <c r="D136" s="282"/>
      <c r="E136" s="282"/>
      <c r="F136" s="285"/>
      <c r="G136" s="286"/>
      <c r="H136" s="286"/>
      <c r="I136" s="286"/>
      <c r="J136" s="286"/>
    </row>
    <row r="137" spans="1:10">
      <c r="A137" s="284"/>
      <c r="B137" s="282"/>
      <c r="C137" s="282"/>
      <c r="D137" s="282"/>
      <c r="E137" s="282"/>
      <c r="F137" s="285"/>
      <c r="G137" s="286"/>
      <c r="H137" s="286"/>
      <c r="I137" s="286"/>
      <c r="J137" s="286"/>
    </row>
    <row r="138" spans="1:10">
      <c r="A138" s="284"/>
      <c r="B138" s="282"/>
      <c r="C138" s="282"/>
      <c r="D138" s="282"/>
      <c r="E138" s="282"/>
      <c r="F138" s="285"/>
      <c r="G138" s="286"/>
      <c r="H138" s="286"/>
      <c r="I138" s="286"/>
      <c r="J138" s="286"/>
    </row>
    <row r="139" spans="1:10">
      <c r="A139" s="284"/>
      <c r="B139" s="282"/>
      <c r="C139" s="282"/>
      <c r="D139" s="282"/>
      <c r="E139" s="282"/>
      <c r="F139" s="285"/>
      <c r="G139" s="286"/>
      <c r="H139" s="286"/>
      <c r="I139" s="286"/>
      <c r="J139" s="286"/>
    </row>
    <row r="140" spans="1:10">
      <c r="A140" s="284"/>
      <c r="B140" s="282"/>
      <c r="C140" s="282"/>
      <c r="D140" s="282"/>
      <c r="E140" s="282"/>
      <c r="F140" s="285"/>
      <c r="G140" s="286"/>
      <c r="H140" s="286"/>
      <c r="I140" s="286"/>
      <c r="J140" s="286"/>
    </row>
    <row r="141" spans="1:10">
      <c r="A141" s="284"/>
      <c r="B141" s="282"/>
      <c r="C141" s="282"/>
      <c r="D141" s="282"/>
      <c r="E141" s="282"/>
      <c r="F141" s="285"/>
      <c r="G141" s="286"/>
      <c r="H141" s="286"/>
      <c r="I141" s="286"/>
      <c r="J141" s="286"/>
    </row>
    <row r="142" spans="1:10">
      <c r="A142" s="284"/>
      <c r="B142" s="282"/>
      <c r="C142" s="282"/>
      <c r="D142" s="282"/>
      <c r="E142" s="282"/>
      <c r="F142" s="285"/>
      <c r="G142" s="286"/>
      <c r="H142" s="286"/>
      <c r="I142" s="286"/>
      <c r="J142" s="286"/>
    </row>
    <row r="143" spans="1:10">
      <c r="A143" s="284"/>
      <c r="B143" s="282"/>
      <c r="C143" s="282"/>
      <c r="D143" s="282"/>
      <c r="E143" s="282"/>
      <c r="F143" s="285"/>
      <c r="G143" s="286"/>
      <c r="H143" s="286"/>
      <c r="I143" s="286"/>
      <c r="J143" s="286"/>
    </row>
    <row r="144" spans="1:10">
      <c r="A144" s="284"/>
      <c r="B144" s="282"/>
      <c r="C144" s="282"/>
      <c r="D144" s="282"/>
      <c r="E144" s="282"/>
      <c r="F144" s="285"/>
      <c r="G144" s="286"/>
      <c r="H144" s="286"/>
      <c r="I144" s="286"/>
      <c r="J144" s="286"/>
    </row>
    <row r="145" spans="1:10">
      <c r="A145" s="284"/>
      <c r="B145" s="282"/>
      <c r="C145" s="282"/>
      <c r="D145" s="282"/>
      <c r="E145" s="282"/>
      <c r="F145" s="285"/>
      <c r="G145" s="286"/>
      <c r="H145" s="286"/>
      <c r="I145" s="286"/>
      <c r="J145" s="286"/>
    </row>
    <row r="146" spans="1:10">
      <c r="A146" s="284"/>
      <c r="B146" s="282"/>
      <c r="C146" s="282"/>
      <c r="D146" s="282"/>
      <c r="E146" s="282"/>
      <c r="F146" s="285"/>
      <c r="G146" s="286"/>
      <c r="H146" s="286"/>
      <c r="I146" s="286"/>
      <c r="J146" s="286"/>
    </row>
    <row r="147" spans="1:10">
      <c r="A147" s="284"/>
      <c r="B147" s="282"/>
      <c r="C147" s="282"/>
      <c r="D147" s="282"/>
      <c r="E147" s="282"/>
      <c r="F147" s="285"/>
      <c r="G147" s="286"/>
      <c r="H147" s="286"/>
      <c r="I147" s="286"/>
      <c r="J147" s="286"/>
    </row>
    <row r="148" spans="1:10">
      <c r="A148" s="284"/>
      <c r="B148" s="282"/>
      <c r="C148" s="282"/>
      <c r="D148" s="282"/>
      <c r="E148" s="282"/>
      <c r="F148" s="285"/>
      <c r="G148" s="286"/>
      <c r="H148" s="286"/>
      <c r="I148" s="286"/>
      <c r="J148" s="286"/>
    </row>
    <row r="149" spans="1:10">
      <c r="A149" s="284"/>
      <c r="B149" s="282"/>
      <c r="C149" s="282"/>
      <c r="D149" s="282"/>
      <c r="E149" s="282"/>
      <c r="F149" s="285"/>
      <c r="G149" s="286"/>
      <c r="H149" s="286"/>
      <c r="I149" s="286"/>
      <c r="J149" s="286"/>
    </row>
    <row r="150" spans="1:10">
      <c r="A150" s="284"/>
      <c r="B150" s="282"/>
      <c r="C150" s="282"/>
      <c r="D150" s="282"/>
      <c r="E150" s="282"/>
      <c r="F150" s="285"/>
      <c r="G150" s="286"/>
      <c r="H150" s="286"/>
      <c r="I150" s="286"/>
      <c r="J150" s="286"/>
    </row>
    <row r="151" spans="1:10">
      <c r="A151" s="284"/>
      <c r="B151" s="282"/>
      <c r="C151" s="282"/>
      <c r="D151" s="282"/>
      <c r="E151" s="282"/>
      <c r="F151" s="285"/>
      <c r="G151" s="286"/>
      <c r="H151" s="286"/>
      <c r="I151" s="286"/>
      <c r="J151" s="286"/>
    </row>
    <row r="152" spans="1:10">
      <c r="A152" s="284"/>
      <c r="B152" s="282"/>
      <c r="C152" s="282"/>
      <c r="D152" s="282"/>
      <c r="E152" s="282"/>
      <c r="F152" s="285"/>
      <c r="G152" s="286"/>
      <c r="H152" s="286"/>
      <c r="I152" s="286"/>
      <c r="J152" s="286"/>
    </row>
    <row r="153" spans="1:10">
      <c r="A153" s="284"/>
      <c r="B153" s="282"/>
      <c r="C153" s="282"/>
      <c r="D153" s="282"/>
      <c r="E153" s="282"/>
      <c r="F153" s="285"/>
      <c r="G153" s="286"/>
      <c r="H153" s="286"/>
      <c r="I153" s="286"/>
      <c r="J153" s="286"/>
    </row>
    <row r="154" spans="1:10">
      <c r="A154" s="284"/>
      <c r="B154" s="282"/>
      <c r="C154" s="282"/>
      <c r="D154" s="282"/>
      <c r="E154" s="282"/>
      <c r="F154" s="285"/>
      <c r="G154" s="286"/>
      <c r="H154" s="286"/>
      <c r="I154" s="286"/>
      <c r="J154" s="286"/>
    </row>
    <row r="155" spans="1:10">
      <c r="A155" s="284"/>
      <c r="B155" s="282"/>
      <c r="C155" s="282"/>
      <c r="D155" s="282"/>
      <c r="E155" s="282"/>
      <c r="F155" s="285"/>
      <c r="G155" s="286"/>
      <c r="H155" s="286"/>
      <c r="I155" s="286"/>
      <c r="J155" s="286"/>
    </row>
    <row r="156" spans="1:10">
      <c r="A156" s="284"/>
      <c r="B156" s="282"/>
      <c r="C156" s="282"/>
      <c r="D156" s="282"/>
      <c r="E156" s="282"/>
      <c r="F156" s="285"/>
      <c r="G156" s="286"/>
      <c r="H156" s="286"/>
      <c r="I156" s="286"/>
      <c r="J156" s="286"/>
    </row>
    <row r="157" spans="1:10">
      <c r="A157" s="284"/>
      <c r="B157" s="282"/>
      <c r="C157" s="282"/>
      <c r="D157" s="282"/>
      <c r="E157" s="282"/>
      <c r="F157" s="285"/>
      <c r="G157" s="286"/>
      <c r="H157" s="286"/>
      <c r="I157" s="286"/>
      <c r="J157" s="286"/>
    </row>
    <row r="158" spans="1:10">
      <c r="A158" s="284"/>
      <c r="B158" s="282"/>
      <c r="C158" s="282"/>
      <c r="D158" s="282"/>
      <c r="E158" s="282"/>
      <c r="F158" s="285"/>
      <c r="G158" s="286"/>
      <c r="H158" s="286"/>
      <c r="I158" s="286"/>
      <c r="J158" s="286"/>
    </row>
    <row r="159" spans="1:10">
      <c r="A159" s="284"/>
      <c r="B159" s="282"/>
      <c r="C159" s="282"/>
      <c r="D159" s="282"/>
      <c r="E159" s="282"/>
      <c r="F159" s="285"/>
      <c r="G159" s="286"/>
      <c r="H159" s="286"/>
      <c r="I159" s="286"/>
      <c r="J159" s="286"/>
    </row>
    <row r="160" spans="1:10">
      <c r="A160" s="284"/>
      <c r="B160" s="282"/>
      <c r="C160" s="282"/>
      <c r="D160" s="282"/>
      <c r="E160" s="282"/>
      <c r="F160" s="285"/>
      <c r="G160" s="286"/>
      <c r="H160" s="286"/>
      <c r="I160" s="286"/>
      <c r="J160" s="286"/>
    </row>
    <row r="161" spans="1:10">
      <c r="A161" s="284"/>
      <c r="B161" s="282"/>
      <c r="C161" s="282"/>
      <c r="D161" s="282"/>
      <c r="E161" s="282"/>
      <c r="F161" s="285"/>
      <c r="G161" s="286"/>
      <c r="H161" s="286"/>
      <c r="I161" s="286"/>
      <c r="J161" s="286"/>
    </row>
    <row r="162" spans="1:10">
      <c r="A162" s="284"/>
      <c r="B162" s="282"/>
      <c r="C162" s="282"/>
      <c r="D162" s="282"/>
      <c r="E162" s="282"/>
      <c r="F162" s="285"/>
      <c r="G162" s="286"/>
      <c r="H162" s="286"/>
      <c r="I162" s="286"/>
      <c r="J162" s="286"/>
    </row>
    <row r="163" spans="1:10">
      <c r="A163" s="284"/>
      <c r="B163" s="282"/>
      <c r="C163" s="282"/>
      <c r="D163" s="282"/>
      <c r="E163" s="282"/>
      <c r="F163" s="285"/>
      <c r="G163" s="286"/>
      <c r="H163" s="286"/>
      <c r="I163" s="286"/>
      <c r="J163" s="286"/>
    </row>
    <row r="164" spans="1:10">
      <c r="A164" s="284"/>
      <c r="B164" s="282"/>
      <c r="C164" s="282"/>
      <c r="D164" s="282"/>
      <c r="E164" s="282"/>
      <c r="F164" s="285"/>
      <c r="G164" s="286"/>
      <c r="H164" s="286"/>
      <c r="I164" s="286"/>
      <c r="J164" s="286"/>
    </row>
    <row r="165" spans="1:10">
      <c r="A165" s="284"/>
      <c r="B165" s="282"/>
      <c r="C165" s="282"/>
      <c r="D165" s="282"/>
      <c r="E165" s="282"/>
      <c r="F165" s="285"/>
      <c r="G165" s="286"/>
      <c r="H165" s="286"/>
      <c r="I165" s="286"/>
      <c r="J165" s="286"/>
    </row>
    <row r="166" spans="1:10">
      <c r="A166" s="284"/>
      <c r="B166" s="282"/>
      <c r="C166" s="282"/>
      <c r="D166" s="282"/>
      <c r="E166" s="282"/>
      <c r="F166" s="285"/>
      <c r="G166" s="286"/>
      <c r="H166" s="286"/>
      <c r="I166" s="286"/>
      <c r="J166" s="286"/>
    </row>
    <row r="167" spans="1:10">
      <c r="A167" s="284"/>
      <c r="B167" s="282"/>
      <c r="C167" s="282"/>
      <c r="D167" s="282"/>
      <c r="E167" s="282"/>
      <c r="F167" s="285"/>
      <c r="G167" s="286"/>
      <c r="H167" s="286"/>
      <c r="I167" s="286"/>
      <c r="J167" s="286"/>
    </row>
    <row r="168" spans="1:10">
      <c r="A168" s="284"/>
      <c r="B168" s="282"/>
      <c r="C168" s="282"/>
      <c r="D168" s="282"/>
      <c r="E168" s="282"/>
      <c r="F168" s="285"/>
      <c r="G168" s="286"/>
      <c r="H168" s="286"/>
      <c r="I168" s="286"/>
      <c r="J168" s="286"/>
    </row>
    <row r="169" spans="1:10">
      <c r="A169" s="284"/>
      <c r="B169" s="282"/>
      <c r="C169" s="282"/>
      <c r="D169" s="282"/>
      <c r="E169" s="282"/>
      <c r="F169" s="285"/>
      <c r="G169" s="286"/>
      <c r="H169" s="286"/>
      <c r="I169" s="286"/>
      <c r="J169" s="286"/>
    </row>
    <row r="170" spans="1:10">
      <c r="A170" s="284"/>
      <c r="B170" s="282"/>
      <c r="C170" s="282"/>
      <c r="D170" s="282"/>
      <c r="E170" s="282"/>
      <c r="F170" s="285"/>
      <c r="G170" s="286"/>
      <c r="H170" s="286"/>
      <c r="I170" s="286"/>
      <c r="J170" s="286"/>
    </row>
    <row r="171" spans="1:10">
      <c r="A171" s="284"/>
      <c r="B171" s="282"/>
      <c r="C171" s="282"/>
      <c r="D171" s="282"/>
      <c r="E171" s="282"/>
      <c r="F171" s="285"/>
      <c r="G171" s="286"/>
      <c r="H171" s="286"/>
      <c r="I171" s="286"/>
      <c r="J171" s="286"/>
    </row>
    <row r="172" spans="1:10">
      <c r="A172" s="284"/>
      <c r="B172" s="282"/>
      <c r="C172" s="282"/>
      <c r="D172" s="282"/>
      <c r="E172" s="282"/>
      <c r="F172" s="285"/>
      <c r="G172" s="286"/>
      <c r="H172" s="286"/>
      <c r="I172" s="286"/>
      <c r="J172" s="286"/>
    </row>
    <row r="173" spans="1:10">
      <c r="A173" s="284"/>
      <c r="B173" s="282"/>
      <c r="C173" s="282"/>
      <c r="D173" s="282"/>
      <c r="E173" s="282"/>
      <c r="F173" s="285"/>
      <c r="G173" s="286"/>
      <c r="H173" s="286"/>
      <c r="I173" s="286"/>
      <c r="J173" s="286"/>
    </row>
    <row r="174" spans="1:10">
      <c r="A174" s="284"/>
      <c r="B174" s="282"/>
      <c r="C174" s="282"/>
      <c r="D174" s="282"/>
      <c r="E174" s="282"/>
      <c r="F174" s="285"/>
      <c r="G174" s="286"/>
      <c r="H174" s="286"/>
      <c r="I174" s="286"/>
      <c r="J174" s="286"/>
    </row>
    <row r="175" spans="1:10">
      <c r="A175" s="284"/>
      <c r="B175" s="282"/>
      <c r="C175" s="282"/>
      <c r="D175" s="282"/>
      <c r="E175" s="282"/>
      <c r="F175" s="285"/>
      <c r="G175" s="286"/>
      <c r="H175" s="286"/>
      <c r="I175" s="286"/>
      <c r="J175" s="286"/>
    </row>
    <row r="176" spans="1:10">
      <c r="A176" s="284"/>
      <c r="B176" s="282"/>
      <c r="C176" s="282"/>
      <c r="D176" s="282"/>
      <c r="E176" s="282"/>
      <c r="F176" s="285"/>
      <c r="G176" s="286"/>
      <c r="H176" s="286"/>
      <c r="I176" s="286"/>
      <c r="J176" s="286"/>
    </row>
    <row r="177" spans="1:10">
      <c r="A177" s="284"/>
      <c r="B177" s="282"/>
      <c r="C177" s="282"/>
      <c r="D177" s="282"/>
      <c r="E177" s="282"/>
      <c r="F177" s="285"/>
      <c r="G177" s="286"/>
      <c r="H177" s="286"/>
      <c r="I177" s="286"/>
      <c r="J177" s="286"/>
    </row>
    <row r="178" spans="1:10">
      <c r="A178" s="284"/>
      <c r="B178" s="282"/>
      <c r="C178" s="282"/>
      <c r="D178" s="282"/>
      <c r="E178" s="282"/>
      <c r="F178" s="285"/>
      <c r="G178" s="286"/>
      <c r="H178" s="286"/>
      <c r="I178" s="286"/>
      <c r="J178" s="286"/>
    </row>
    <row r="179" spans="1:10">
      <c r="A179" s="284"/>
      <c r="B179" s="282"/>
      <c r="C179" s="282"/>
      <c r="D179" s="282"/>
      <c r="E179" s="282"/>
      <c r="F179" s="285"/>
      <c r="G179" s="286"/>
      <c r="H179" s="286"/>
      <c r="I179" s="286"/>
      <c r="J179" s="286"/>
    </row>
    <row r="180" spans="1:10">
      <c r="A180" s="284"/>
      <c r="B180" s="282"/>
      <c r="C180" s="282"/>
      <c r="D180" s="282"/>
      <c r="E180" s="282"/>
      <c r="F180" s="285"/>
      <c r="G180" s="286"/>
      <c r="H180" s="286"/>
      <c r="I180" s="286"/>
      <c r="J180" s="286"/>
    </row>
    <row r="181" spans="1:10">
      <c r="A181" s="284"/>
      <c r="B181" s="282"/>
      <c r="C181" s="282"/>
      <c r="D181" s="282"/>
      <c r="E181" s="282"/>
      <c r="F181" s="285"/>
      <c r="G181" s="286"/>
      <c r="H181" s="286"/>
      <c r="I181" s="286"/>
      <c r="J181" s="286"/>
    </row>
    <row r="182" spans="1:10">
      <c r="A182" s="284"/>
      <c r="B182" s="282"/>
      <c r="C182" s="282"/>
      <c r="D182" s="282"/>
      <c r="E182" s="282"/>
      <c r="F182" s="285"/>
      <c r="G182" s="286"/>
      <c r="H182" s="286"/>
      <c r="I182" s="286"/>
      <c r="J182" s="286"/>
    </row>
    <row r="183" spans="1:10">
      <c r="A183" s="284"/>
      <c r="B183" s="282"/>
      <c r="C183" s="282"/>
      <c r="D183" s="282"/>
      <c r="E183" s="282"/>
      <c r="F183" s="285"/>
      <c r="G183" s="286"/>
      <c r="H183" s="286"/>
      <c r="I183" s="286"/>
      <c r="J183" s="286"/>
    </row>
    <row r="184" spans="1:10">
      <c r="A184" s="284"/>
      <c r="B184" s="282"/>
      <c r="C184" s="282"/>
      <c r="D184" s="282"/>
      <c r="E184" s="282"/>
      <c r="F184" s="285"/>
      <c r="G184" s="286"/>
      <c r="H184" s="286"/>
      <c r="I184" s="286"/>
      <c r="J184" s="286"/>
    </row>
    <row r="185" spans="1:10">
      <c r="A185" s="284"/>
      <c r="B185" s="282"/>
      <c r="C185" s="282"/>
      <c r="D185" s="282"/>
      <c r="E185" s="282"/>
      <c r="F185" s="285"/>
      <c r="G185" s="286"/>
      <c r="H185" s="286"/>
      <c r="I185" s="286"/>
      <c r="J185" s="286"/>
    </row>
    <row r="186" spans="1:10">
      <c r="A186" s="284"/>
      <c r="B186" s="282"/>
      <c r="C186" s="282"/>
      <c r="D186" s="282"/>
      <c r="E186" s="282"/>
      <c r="F186" s="285"/>
      <c r="G186" s="286"/>
      <c r="H186" s="286"/>
      <c r="I186" s="286"/>
      <c r="J186" s="286"/>
    </row>
    <row r="187" spans="1:10">
      <c r="A187" s="284"/>
      <c r="B187" s="282"/>
      <c r="C187" s="282"/>
      <c r="D187" s="282"/>
      <c r="E187" s="282"/>
      <c r="F187" s="285"/>
      <c r="G187" s="286"/>
      <c r="H187" s="286"/>
      <c r="I187" s="286"/>
      <c r="J187" s="286"/>
    </row>
    <row r="188" spans="1:10">
      <c r="A188" s="284"/>
      <c r="B188" s="282"/>
      <c r="C188" s="282"/>
      <c r="D188" s="282"/>
      <c r="E188" s="282"/>
      <c r="F188" s="285"/>
      <c r="G188" s="286"/>
      <c r="H188" s="286"/>
      <c r="I188" s="286"/>
      <c r="J188" s="286"/>
    </row>
    <row r="189" spans="1:10">
      <c r="A189" s="284"/>
      <c r="B189" s="282"/>
      <c r="C189" s="282"/>
      <c r="D189" s="282"/>
      <c r="E189" s="282"/>
      <c r="F189" s="285"/>
      <c r="G189" s="286"/>
      <c r="H189" s="286"/>
      <c r="I189" s="286"/>
      <c r="J189" s="286"/>
    </row>
    <row r="190" spans="1:10">
      <c r="A190" s="284"/>
      <c r="B190" s="282"/>
      <c r="C190" s="282"/>
      <c r="D190" s="282"/>
      <c r="E190" s="282"/>
      <c r="F190" s="285"/>
      <c r="G190" s="286"/>
      <c r="H190" s="286"/>
      <c r="I190" s="286"/>
      <c r="J190" s="286"/>
    </row>
    <row r="191" spans="1:10">
      <c r="A191" s="284"/>
      <c r="B191" s="282"/>
      <c r="C191" s="282"/>
      <c r="D191" s="282"/>
      <c r="E191" s="282"/>
      <c r="F191" s="285"/>
      <c r="G191" s="286"/>
      <c r="H191" s="286"/>
      <c r="I191" s="286"/>
      <c r="J191" s="286"/>
    </row>
    <row r="192" spans="1:10">
      <c r="A192" s="284"/>
      <c r="B192" s="282"/>
      <c r="C192" s="282"/>
      <c r="D192" s="282"/>
      <c r="E192" s="282"/>
      <c r="F192" s="285"/>
      <c r="G192" s="286"/>
      <c r="H192" s="286"/>
      <c r="I192" s="286"/>
      <c r="J192" s="286"/>
    </row>
    <row r="193" spans="1:10">
      <c r="A193" s="284"/>
      <c r="B193" s="282"/>
      <c r="C193" s="282"/>
      <c r="D193" s="282"/>
      <c r="E193" s="282"/>
      <c r="F193" s="285"/>
      <c r="G193" s="286"/>
      <c r="H193" s="286"/>
      <c r="I193" s="286"/>
      <c r="J193" s="286"/>
    </row>
    <row r="194" spans="1:10">
      <c r="A194" s="284"/>
      <c r="B194" s="282"/>
      <c r="C194" s="282"/>
      <c r="D194" s="282"/>
      <c r="E194" s="282"/>
      <c r="F194" s="285"/>
      <c r="G194" s="286"/>
      <c r="H194" s="286"/>
      <c r="I194" s="286"/>
      <c r="J194" s="286"/>
    </row>
    <row r="195" spans="1:10">
      <c r="A195" s="284"/>
      <c r="B195" s="282"/>
      <c r="C195" s="282"/>
      <c r="D195" s="282"/>
      <c r="E195" s="282"/>
      <c r="F195" s="285"/>
      <c r="G195" s="286"/>
      <c r="H195" s="286"/>
      <c r="I195" s="286"/>
      <c r="J195" s="286"/>
    </row>
    <row r="196" spans="1:10">
      <c r="A196" s="284"/>
      <c r="B196" s="282"/>
      <c r="C196" s="282"/>
      <c r="D196" s="282"/>
      <c r="E196" s="282"/>
      <c r="F196" s="285"/>
      <c r="G196" s="286"/>
      <c r="H196" s="286"/>
      <c r="I196" s="286"/>
      <c r="J196" s="286"/>
    </row>
    <row r="197" spans="1:10">
      <c r="A197" s="284"/>
      <c r="B197" s="282"/>
      <c r="C197" s="282"/>
      <c r="D197" s="282"/>
      <c r="E197" s="282"/>
      <c r="F197" s="285"/>
      <c r="G197" s="286"/>
      <c r="H197" s="286"/>
      <c r="I197" s="286"/>
      <c r="J197" s="286"/>
    </row>
    <row r="198" spans="1:10">
      <c r="A198" s="284"/>
      <c r="B198" s="282"/>
      <c r="C198" s="282"/>
      <c r="D198" s="282"/>
      <c r="E198" s="282"/>
      <c r="F198" s="285"/>
      <c r="G198" s="286"/>
      <c r="H198" s="286"/>
      <c r="I198" s="286"/>
      <c r="J198" s="286"/>
    </row>
    <row r="199" spans="1:10">
      <c r="A199" s="284"/>
      <c r="B199" s="282"/>
      <c r="C199" s="282"/>
      <c r="D199" s="282"/>
      <c r="E199" s="282"/>
      <c r="F199" s="285"/>
      <c r="G199" s="286"/>
      <c r="H199" s="286"/>
      <c r="I199" s="286"/>
      <c r="J199" s="286"/>
    </row>
    <row r="200" spans="1:10">
      <c r="A200" s="284"/>
      <c r="B200" s="282"/>
      <c r="C200" s="282"/>
      <c r="D200" s="282"/>
      <c r="E200" s="282"/>
      <c r="F200" s="285"/>
      <c r="G200" s="286"/>
      <c r="H200" s="286"/>
      <c r="I200" s="286"/>
      <c r="J200" s="286"/>
    </row>
    <row r="201" spans="1:10">
      <c r="A201" s="284"/>
      <c r="B201" s="282"/>
      <c r="C201" s="282"/>
      <c r="D201" s="282"/>
      <c r="E201" s="282"/>
      <c r="F201" s="285"/>
      <c r="G201" s="286"/>
      <c r="H201" s="286"/>
      <c r="I201" s="286"/>
      <c r="J201" s="286"/>
    </row>
    <row r="202" spans="1:10">
      <c r="A202" s="284"/>
      <c r="B202" s="282"/>
      <c r="C202" s="282"/>
      <c r="D202" s="282"/>
      <c r="E202" s="282"/>
      <c r="F202" s="285"/>
      <c r="G202" s="286"/>
      <c r="H202" s="286"/>
      <c r="I202" s="286"/>
      <c r="J202" s="286"/>
    </row>
    <row r="203" spans="1:10">
      <c r="A203" s="284"/>
      <c r="B203" s="282"/>
      <c r="C203" s="282"/>
      <c r="D203" s="282"/>
      <c r="E203" s="282"/>
      <c r="F203" s="285"/>
      <c r="G203" s="286"/>
      <c r="H203" s="286"/>
      <c r="I203" s="286"/>
      <c r="J203" s="286"/>
    </row>
    <row r="204" spans="1:10">
      <c r="A204" s="284"/>
      <c r="B204" s="282"/>
      <c r="C204" s="282"/>
      <c r="D204" s="282"/>
      <c r="E204" s="282"/>
      <c r="F204" s="285"/>
      <c r="G204" s="286"/>
      <c r="H204" s="286"/>
      <c r="I204" s="286"/>
      <c r="J204" s="286"/>
    </row>
    <row r="205" spans="1:10">
      <c r="A205" s="284"/>
      <c r="B205" s="282"/>
      <c r="C205" s="282"/>
      <c r="D205" s="282"/>
      <c r="E205" s="282"/>
      <c r="F205" s="285"/>
      <c r="G205" s="286"/>
      <c r="H205" s="286"/>
      <c r="I205" s="286"/>
      <c r="J205" s="286"/>
    </row>
    <row r="206" spans="1:10">
      <c r="A206" s="284"/>
      <c r="B206" s="282"/>
      <c r="C206" s="282"/>
      <c r="D206" s="282"/>
      <c r="E206" s="282"/>
      <c r="F206" s="285"/>
      <c r="G206" s="286"/>
      <c r="H206" s="286"/>
      <c r="I206" s="286"/>
      <c r="J206" s="286"/>
    </row>
    <row r="207" spans="1:10">
      <c r="A207" s="284"/>
      <c r="B207" s="282"/>
      <c r="C207" s="282"/>
      <c r="D207" s="282"/>
      <c r="E207" s="282"/>
      <c r="F207" s="285"/>
      <c r="G207" s="286"/>
      <c r="H207" s="286"/>
      <c r="I207" s="286"/>
      <c r="J207" s="286"/>
    </row>
    <row r="208" spans="1:10">
      <c r="A208" s="284"/>
      <c r="B208" s="282"/>
      <c r="C208" s="282"/>
      <c r="D208" s="282"/>
      <c r="E208" s="282"/>
      <c r="F208" s="285"/>
      <c r="G208" s="286"/>
      <c r="H208" s="286"/>
      <c r="I208" s="286"/>
      <c r="J208" s="286"/>
    </row>
    <row r="209" spans="1:10">
      <c r="A209" s="284"/>
      <c r="B209" s="282"/>
      <c r="C209" s="282"/>
      <c r="D209" s="282"/>
      <c r="E209" s="282"/>
      <c r="F209" s="285"/>
      <c r="G209" s="286"/>
      <c r="H209" s="286"/>
      <c r="I209" s="286"/>
      <c r="J209" s="286"/>
    </row>
    <row r="210" spans="1:10">
      <c r="A210" s="284"/>
      <c r="B210" s="282"/>
      <c r="C210" s="282"/>
      <c r="D210" s="282"/>
      <c r="E210" s="282"/>
      <c r="F210" s="285"/>
      <c r="G210" s="286"/>
      <c r="H210" s="286"/>
      <c r="I210" s="286"/>
      <c r="J210" s="286"/>
    </row>
    <row r="211" spans="1:10">
      <c r="A211" s="284"/>
      <c r="B211" s="282"/>
      <c r="C211" s="282"/>
      <c r="D211" s="282"/>
      <c r="E211" s="282"/>
      <c r="F211" s="285"/>
      <c r="G211" s="286"/>
      <c r="H211" s="286"/>
      <c r="I211" s="286"/>
      <c r="J211" s="286"/>
    </row>
    <row r="212" spans="1:10">
      <c r="A212" s="284"/>
      <c r="B212" s="282"/>
      <c r="C212" s="282"/>
      <c r="D212" s="282"/>
      <c r="E212" s="282"/>
      <c r="F212" s="285"/>
      <c r="G212" s="286"/>
      <c r="H212" s="286"/>
      <c r="I212" s="286"/>
      <c r="J212" s="286"/>
    </row>
    <row r="213" spans="1:10">
      <c r="A213" s="284"/>
      <c r="B213" s="282"/>
      <c r="C213" s="282"/>
      <c r="D213" s="282"/>
      <c r="E213" s="282"/>
      <c r="F213" s="285"/>
      <c r="G213" s="286"/>
      <c r="H213" s="286"/>
      <c r="I213" s="286"/>
      <c r="J213" s="286"/>
    </row>
    <row r="214" spans="1:10">
      <c r="A214" s="284"/>
      <c r="B214" s="282"/>
      <c r="C214" s="282"/>
      <c r="D214" s="282"/>
      <c r="E214" s="282"/>
      <c r="F214" s="285"/>
      <c r="G214" s="286"/>
      <c r="H214" s="286"/>
      <c r="I214" s="286"/>
      <c r="J214" s="286"/>
    </row>
    <row r="215" spans="1:10">
      <c r="A215" s="284"/>
      <c r="B215" s="282"/>
      <c r="C215" s="282"/>
      <c r="D215" s="282"/>
      <c r="E215" s="282"/>
      <c r="F215" s="285"/>
      <c r="G215" s="286"/>
      <c r="H215" s="286"/>
      <c r="I215" s="286"/>
      <c r="J215" s="286"/>
    </row>
    <row r="216" spans="1:10">
      <c r="A216" s="284"/>
      <c r="B216" s="282"/>
      <c r="C216" s="282"/>
      <c r="D216" s="282"/>
      <c r="E216" s="282"/>
      <c r="F216" s="285"/>
      <c r="G216" s="286"/>
      <c r="H216" s="286"/>
      <c r="I216" s="286"/>
      <c r="J216" s="286"/>
    </row>
    <row r="217" spans="1:10">
      <c r="A217" s="284"/>
      <c r="B217" s="282"/>
      <c r="C217" s="282"/>
      <c r="D217" s="282"/>
      <c r="E217" s="282"/>
      <c r="F217" s="285"/>
      <c r="G217" s="286"/>
      <c r="H217" s="286"/>
      <c r="I217" s="286"/>
      <c r="J217" s="286"/>
    </row>
    <row r="218" spans="1:10">
      <c r="A218" s="284"/>
      <c r="B218" s="282"/>
      <c r="C218" s="282"/>
      <c r="D218" s="282"/>
      <c r="E218" s="282"/>
      <c r="F218" s="285"/>
      <c r="G218" s="286"/>
      <c r="H218" s="286"/>
      <c r="I218" s="286"/>
      <c r="J218" s="286"/>
    </row>
    <row r="219" spans="1:10">
      <c r="A219" s="284"/>
      <c r="B219" s="282"/>
      <c r="C219" s="282"/>
      <c r="D219" s="282"/>
      <c r="E219" s="282"/>
      <c r="F219" s="285"/>
      <c r="G219" s="286"/>
      <c r="H219" s="286"/>
      <c r="I219" s="286"/>
      <c r="J219" s="286"/>
    </row>
    <row r="220" spans="1:10">
      <c r="A220" s="284"/>
      <c r="B220" s="282"/>
      <c r="C220" s="282"/>
      <c r="D220" s="282"/>
      <c r="E220" s="282"/>
      <c r="F220" s="285"/>
      <c r="G220" s="286"/>
      <c r="H220" s="286"/>
      <c r="I220" s="286"/>
      <c r="J220" s="286"/>
    </row>
    <row r="221" spans="1:10">
      <c r="A221" s="284"/>
      <c r="B221" s="282"/>
      <c r="C221" s="282"/>
      <c r="D221" s="282"/>
      <c r="E221" s="282"/>
      <c r="F221" s="285"/>
      <c r="G221" s="286"/>
      <c r="H221" s="286"/>
      <c r="I221" s="286"/>
      <c r="J221" s="286"/>
    </row>
    <row r="222" spans="1:10">
      <c r="A222" s="284"/>
      <c r="B222" s="282"/>
      <c r="C222" s="282"/>
      <c r="D222" s="282"/>
      <c r="E222" s="282"/>
      <c r="F222" s="285"/>
      <c r="G222" s="286"/>
      <c r="H222" s="286"/>
      <c r="I222" s="286"/>
      <c r="J222" s="286"/>
    </row>
    <row r="223" spans="1:10">
      <c r="A223" s="284"/>
      <c r="B223" s="282"/>
      <c r="C223" s="282"/>
      <c r="D223" s="282"/>
      <c r="E223" s="282"/>
      <c r="F223" s="285"/>
      <c r="G223" s="286"/>
      <c r="H223" s="286"/>
      <c r="I223" s="286"/>
      <c r="J223" s="286"/>
    </row>
    <row r="224" spans="1:10">
      <c r="A224" s="284"/>
      <c r="B224" s="282"/>
      <c r="C224" s="282"/>
      <c r="D224" s="282"/>
      <c r="E224" s="282"/>
      <c r="F224" s="285"/>
      <c r="G224" s="286"/>
      <c r="H224" s="286"/>
      <c r="I224" s="286"/>
      <c r="J224" s="286"/>
    </row>
    <row r="225" spans="1:10">
      <c r="A225" s="284"/>
      <c r="B225" s="282"/>
      <c r="C225" s="282"/>
      <c r="D225" s="282"/>
      <c r="E225" s="282"/>
      <c r="F225" s="285"/>
      <c r="G225" s="286"/>
      <c r="H225" s="286"/>
      <c r="I225" s="286"/>
      <c r="J225" s="286"/>
    </row>
    <row r="226" spans="1:10">
      <c r="A226" s="284"/>
      <c r="B226" s="282"/>
      <c r="C226" s="282"/>
      <c r="D226" s="282"/>
      <c r="E226" s="282"/>
      <c r="F226" s="285"/>
      <c r="G226" s="286"/>
      <c r="H226" s="286"/>
      <c r="I226" s="286"/>
      <c r="J226" s="286"/>
    </row>
    <row r="227" spans="1:10">
      <c r="A227" s="284"/>
      <c r="B227" s="282"/>
      <c r="C227" s="282"/>
      <c r="D227" s="282"/>
      <c r="E227" s="282"/>
      <c r="F227" s="285"/>
      <c r="G227" s="286"/>
      <c r="H227" s="286"/>
      <c r="I227" s="286"/>
      <c r="J227" s="286"/>
    </row>
    <row r="228" spans="1:10">
      <c r="A228" s="284"/>
      <c r="B228" s="282"/>
      <c r="C228" s="282"/>
      <c r="D228" s="282"/>
      <c r="E228" s="282"/>
      <c r="F228" s="285"/>
      <c r="G228" s="286"/>
      <c r="H228" s="286"/>
      <c r="I228" s="286"/>
      <c r="J228" s="286"/>
    </row>
    <row r="229" spans="1:10">
      <c r="A229" s="284"/>
      <c r="B229" s="282"/>
      <c r="C229" s="282"/>
      <c r="D229" s="282"/>
      <c r="E229" s="282"/>
      <c r="F229" s="285"/>
      <c r="G229" s="286"/>
      <c r="H229" s="286"/>
      <c r="I229" s="286"/>
      <c r="J229" s="286"/>
    </row>
    <row r="230" spans="1:10">
      <c r="A230" s="284"/>
      <c r="B230" s="282"/>
      <c r="C230" s="282"/>
      <c r="D230" s="282"/>
      <c r="E230" s="282"/>
      <c r="F230" s="285"/>
      <c r="G230" s="286"/>
      <c r="H230" s="286"/>
      <c r="I230" s="286"/>
      <c r="J230" s="286"/>
    </row>
    <row r="231" spans="1:10">
      <c r="A231" s="284"/>
      <c r="B231" s="282"/>
      <c r="C231" s="282"/>
      <c r="D231" s="282"/>
      <c r="E231" s="282"/>
      <c r="F231" s="285"/>
      <c r="G231" s="286"/>
      <c r="H231" s="286"/>
      <c r="I231" s="286"/>
      <c r="J231" s="286"/>
    </row>
    <row r="232" spans="1:10">
      <c r="A232" s="284"/>
      <c r="B232" s="282"/>
      <c r="C232" s="282"/>
      <c r="D232" s="282"/>
      <c r="E232" s="282"/>
      <c r="F232" s="285"/>
      <c r="G232" s="286"/>
      <c r="H232" s="286"/>
      <c r="I232" s="286"/>
      <c r="J232" s="286"/>
    </row>
    <row r="233" spans="1:10">
      <c r="A233" s="284"/>
      <c r="B233" s="282"/>
      <c r="C233" s="282"/>
      <c r="D233" s="282"/>
      <c r="E233" s="282"/>
      <c r="F233" s="285"/>
      <c r="G233" s="286"/>
      <c r="H233" s="286"/>
      <c r="I233" s="286"/>
      <c r="J233" s="286"/>
    </row>
    <row r="234" spans="1:10">
      <c r="A234" s="284"/>
      <c r="B234" s="282"/>
      <c r="C234" s="282"/>
      <c r="D234" s="282"/>
      <c r="E234" s="282"/>
      <c r="F234" s="285"/>
      <c r="G234" s="286"/>
      <c r="H234" s="286"/>
      <c r="I234" s="286"/>
      <c r="J234" s="286"/>
    </row>
    <row r="235" spans="1:10">
      <c r="A235" s="284"/>
      <c r="B235" s="282"/>
      <c r="C235" s="282"/>
      <c r="D235" s="282"/>
      <c r="E235" s="282"/>
      <c r="F235" s="285"/>
      <c r="G235" s="286"/>
      <c r="H235" s="286"/>
      <c r="I235" s="286"/>
      <c r="J235" s="286"/>
    </row>
    <row r="236" spans="1:10">
      <c r="A236" s="284"/>
      <c r="B236" s="282"/>
      <c r="C236" s="282"/>
      <c r="D236" s="282"/>
      <c r="E236" s="282"/>
      <c r="F236" s="285"/>
      <c r="G236" s="286"/>
      <c r="H236" s="286"/>
      <c r="I236" s="286"/>
      <c r="J236" s="286"/>
    </row>
    <row r="237" spans="1:10">
      <c r="A237" s="284"/>
      <c r="B237" s="282"/>
      <c r="C237" s="282"/>
      <c r="D237" s="282"/>
      <c r="E237" s="282"/>
      <c r="F237" s="285"/>
      <c r="G237" s="286"/>
      <c r="H237" s="286"/>
      <c r="I237" s="286"/>
      <c r="J237" s="286"/>
    </row>
    <row r="238" spans="1:10">
      <c r="A238" s="284"/>
      <c r="B238" s="282"/>
      <c r="C238" s="282"/>
      <c r="D238" s="282"/>
      <c r="E238" s="282"/>
      <c r="F238" s="285"/>
      <c r="G238" s="286"/>
      <c r="H238" s="286"/>
      <c r="I238" s="286"/>
      <c r="J238" s="286"/>
    </row>
    <row r="239" spans="1:10">
      <c r="A239" s="284"/>
      <c r="B239" s="282"/>
      <c r="C239" s="282"/>
      <c r="D239" s="282"/>
      <c r="E239" s="282"/>
      <c r="F239" s="285"/>
      <c r="G239" s="286"/>
      <c r="H239" s="286"/>
      <c r="I239" s="286"/>
      <c r="J239" s="286"/>
    </row>
    <row r="240" spans="1:10">
      <c r="A240" s="284"/>
      <c r="B240" s="282"/>
      <c r="C240" s="282"/>
      <c r="D240" s="282"/>
      <c r="E240" s="282"/>
      <c r="F240" s="285"/>
      <c r="G240" s="286"/>
      <c r="H240" s="286"/>
      <c r="I240" s="286"/>
      <c r="J240" s="286"/>
    </row>
    <row r="241" spans="1:10">
      <c r="A241" s="284"/>
      <c r="B241" s="282"/>
      <c r="C241" s="282"/>
      <c r="D241" s="282"/>
      <c r="E241" s="282"/>
      <c r="F241" s="285"/>
      <c r="G241" s="286"/>
      <c r="H241" s="286"/>
      <c r="I241" s="286"/>
      <c r="J241" s="286"/>
    </row>
    <row r="242" spans="1:10">
      <c r="A242" s="284"/>
      <c r="B242" s="282"/>
      <c r="C242" s="282"/>
      <c r="D242" s="282"/>
      <c r="E242" s="282"/>
      <c r="F242" s="285"/>
      <c r="G242" s="286"/>
      <c r="H242" s="286"/>
      <c r="I242" s="286"/>
      <c r="J242" s="286"/>
    </row>
    <row r="243" spans="1:10">
      <c r="A243" s="284"/>
      <c r="B243" s="282"/>
      <c r="C243" s="282"/>
      <c r="D243" s="282"/>
      <c r="E243" s="282"/>
      <c r="F243" s="285"/>
      <c r="G243" s="286"/>
      <c r="H243" s="286"/>
      <c r="I243" s="286"/>
      <c r="J243" s="286"/>
    </row>
    <row r="244" spans="1:10">
      <c r="A244" s="284"/>
      <c r="B244" s="282"/>
      <c r="C244" s="282"/>
      <c r="D244" s="282"/>
      <c r="E244" s="282"/>
      <c r="F244" s="285"/>
      <c r="G244" s="286"/>
      <c r="H244" s="286"/>
      <c r="I244" s="286"/>
      <c r="J244" s="286"/>
    </row>
    <row r="245" spans="1:10">
      <c r="A245" s="284"/>
      <c r="B245" s="282"/>
      <c r="C245" s="282"/>
      <c r="D245" s="282"/>
      <c r="E245" s="282"/>
      <c r="F245" s="285"/>
      <c r="G245" s="286"/>
      <c r="H245" s="286"/>
      <c r="I245" s="286"/>
      <c r="J245" s="286"/>
    </row>
    <row r="246" spans="1:10">
      <c r="A246" s="284"/>
      <c r="B246" s="282"/>
      <c r="C246" s="282"/>
      <c r="D246" s="282"/>
      <c r="E246" s="282"/>
      <c r="F246" s="285"/>
      <c r="G246" s="286"/>
      <c r="H246" s="286"/>
      <c r="I246" s="286"/>
      <c r="J246" s="286"/>
    </row>
    <row r="247" spans="1:10">
      <c r="A247" s="284"/>
      <c r="B247" s="282"/>
      <c r="C247" s="282"/>
      <c r="D247" s="282"/>
      <c r="E247" s="282"/>
      <c r="F247" s="285"/>
      <c r="G247" s="286"/>
      <c r="H247" s="286"/>
      <c r="I247" s="286"/>
      <c r="J247" s="286"/>
    </row>
    <row r="248" spans="1:10">
      <c r="A248" s="284"/>
      <c r="B248" s="282"/>
      <c r="C248" s="282"/>
      <c r="D248" s="282"/>
      <c r="E248" s="282"/>
      <c r="F248" s="285"/>
      <c r="G248" s="286"/>
      <c r="H248" s="286"/>
      <c r="I248" s="286"/>
      <c r="J248" s="286"/>
    </row>
    <row r="249" spans="1:10">
      <c r="A249" s="284"/>
      <c r="B249" s="282"/>
      <c r="C249" s="282"/>
      <c r="D249" s="282"/>
      <c r="E249" s="282"/>
      <c r="F249" s="285"/>
      <c r="G249" s="286"/>
      <c r="H249" s="286"/>
      <c r="I249" s="286"/>
      <c r="J249" s="286"/>
    </row>
    <row r="250" spans="1:10">
      <c r="A250" s="284"/>
      <c r="B250" s="282"/>
      <c r="C250" s="282"/>
      <c r="D250" s="282"/>
      <c r="E250" s="282"/>
      <c r="F250" s="285"/>
      <c r="G250" s="286"/>
      <c r="H250" s="286"/>
      <c r="I250" s="286"/>
      <c r="J250" s="286"/>
    </row>
    <row r="251" spans="1:10">
      <c r="A251" s="284"/>
      <c r="B251" s="282"/>
      <c r="C251" s="282"/>
      <c r="D251" s="282"/>
      <c r="E251" s="282"/>
      <c r="F251" s="285"/>
      <c r="G251" s="286"/>
      <c r="H251" s="286"/>
      <c r="I251" s="286"/>
      <c r="J251" s="286"/>
    </row>
    <row r="252" spans="1:10">
      <c r="A252" s="284"/>
      <c r="B252" s="282"/>
      <c r="C252" s="282"/>
      <c r="D252" s="282"/>
      <c r="E252" s="282"/>
      <c r="F252" s="285"/>
      <c r="G252" s="286"/>
      <c r="H252" s="286"/>
      <c r="I252" s="286"/>
      <c r="J252" s="286"/>
    </row>
    <row r="253" spans="1:10">
      <c r="A253" s="284"/>
      <c r="B253" s="282"/>
      <c r="C253" s="282"/>
      <c r="D253" s="282"/>
      <c r="E253" s="282"/>
      <c r="F253" s="285"/>
      <c r="G253" s="286"/>
      <c r="H253" s="286"/>
      <c r="I253" s="286"/>
      <c r="J253" s="286"/>
    </row>
    <row r="254" spans="1:10">
      <c r="A254" s="284"/>
      <c r="B254" s="282"/>
      <c r="C254" s="282"/>
      <c r="D254" s="282"/>
      <c r="E254" s="282"/>
      <c r="F254" s="285"/>
      <c r="G254" s="286"/>
      <c r="H254" s="286"/>
      <c r="I254" s="286"/>
      <c r="J254" s="286"/>
    </row>
    <row r="255" spans="1:10">
      <c r="A255" s="284"/>
      <c r="B255" s="282"/>
      <c r="C255" s="282"/>
      <c r="D255" s="282"/>
      <c r="E255" s="282"/>
      <c r="F255" s="285"/>
      <c r="G255" s="286"/>
      <c r="H255" s="286"/>
      <c r="I255" s="286"/>
      <c r="J255" s="286"/>
    </row>
    <row r="256" spans="1:10">
      <c r="A256" s="284"/>
      <c r="B256" s="282"/>
      <c r="C256" s="282"/>
      <c r="D256" s="282"/>
      <c r="E256" s="282"/>
      <c r="F256" s="285"/>
      <c r="G256" s="286"/>
      <c r="H256" s="286"/>
      <c r="I256" s="286"/>
      <c r="J256" s="286"/>
    </row>
    <row r="257" spans="1:10">
      <c r="A257" s="284"/>
      <c r="B257" s="282"/>
      <c r="C257" s="282"/>
      <c r="D257" s="282"/>
      <c r="E257" s="282"/>
      <c r="F257" s="285"/>
      <c r="G257" s="286"/>
      <c r="H257" s="286"/>
      <c r="I257" s="286"/>
      <c r="J257" s="286"/>
    </row>
    <row r="258" spans="1:10">
      <c r="A258" s="284"/>
      <c r="B258" s="282"/>
      <c r="C258" s="282"/>
      <c r="D258" s="282"/>
      <c r="E258" s="282"/>
      <c r="F258" s="285"/>
      <c r="G258" s="286"/>
      <c r="H258" s="286"/>
      <c r="I258" s="286"/>
      <c r="J258" s="286"/>
    </row>
    <row r="259" spans="1:10">
      <c r="A259" s="284"/>
      <c r="B259" s="282"/>
      <c r="C259" s="282"/>
      <c r="D259" s="282"/>
      <c r="E259" s="282"/>
      <c r="F259" s="285"/>
      <c r="G259" s="286"/>
      <c r="H259" s="286"/>
      <c r="I259" s="286"/>
      <c r="J259" s="286"/>
    </row>
    <row r="260" spans="1:10">
      <c r="A260" s="284"/>
      <c r="B260" s="282"/>
      <c r="C260" s="282"/>
      <c r="D260" s="282"/>
      <c r="E260" s="282"/>
      <c r="F260" s="285"/>
      <c r="G260" s="286"/>
      <c r="H260" s="286"/>
      <c r="I260" s="286"/>
      <c r="J260" s="286"/>
    </row>
    <row r="261" spans="1:10">
      <c r="A261" s="284"/>
      <c r="B261" s="282"/>
      <c r="C261" s="282"/>
      <c r="D261" s="282"/>
      <c r="E261" s="282"/>
      <c r="F261" s="285"/>
      <c r="G261" s="286"/>
      <c r="H261" s="286"/>
      <c r="I261" s="286"/>
      <c r="J261" s="286"/>
    </row>
    <row r="262" spans="1:10">
      <c r="A262" s="284"/>
      <c r="B262" s="282"/>
      <c r="C262" s="282"/>
      <c r="D262" s="282"/>
      <c r="E262" s="282"/>
      <c r="F262" s="285"/>
      <c r="G262" s="286"/>
      <c r="H262" s="286"/>
      <c r="I262" s="286"/>
      <c r="J262" s="286"/>
    </row>
    <row r="263" spans="1:10">
      <c r="A263" s="284"/>
      <c r="B263" s="282"/>
      <c r="C263" s="282"/>
      <c r="D263" s="282"/>
      <c r="E263" s="282"/>
      <c r="F263" s="285"/>
      <c r="G263" s="286"/>
      <c r="H263" s="286"/>
      <c r="I263" s="286"/>
      <c r="J263" s="286"/>
    </row>
    <row r="264" spans="1:10">
      <c r="A264" s="284"/>
      <c r="B264" s="282"/>
      <c r="C264" s="282"/>
      <c r="D264" s="282"/>
      <c r="E264" s="282"/>
      <c r="F264" s="285"/>
      <c r="G264" s="286"/>
      <c r="H264" s="286"/>
      <c r="I264" s="286"/>
      <c r="J264" s="286"/>
    </row>
    <row r="265" spans="1:10">
      <c r="A265" s="284"/>
      <c r="B265" s="282"/>
      <c r="C265" s="282"/>
      <c r="D265" s="282"/>
      <c r="E265" s="282"/>
      <c r="F265" s="285"/>
      <c r="G265" s="286"/>
      <c r="H265" s="286"/>
      <c r="I265" s="286"/>
      <c r="J265" s="286"/>
    </row>
    <row r="266" spans="1:10">
      <c r="A266" s="284"/>
      <c r="B266" s="282"/>
      <c r="C266" s="282"/>
      <c r="D266" s="282"/>
      <c r="E266" s="282"/>
      <c r="F266" s="285"/>
      <c r="G266" s="286"/>
      <c r="H266" s="286"/>
      <c r="I266" s="286"/>
      <c r="J266" s="286"/>
    </row>
    <row r="267" spans="1:10">
      <c r="A267" s="284"/>
      <c r="B267" s="282"/>
      <c r="C267" s="282"/>
      <c r="D267" s="282"/>
      <c r="E267" s="282"/>
      <c r="F267" s="285"/>
      <c r="G267" s="286"/>
      <c r="H267" s="286"/>
      <c r="I267" s="286"/>
      <c r="J267" s="286"/>
    </row>
    <row r="268" spans="1:10">
      <c r="A268" s="284"/>
      <c r="B268" s="282"/>
      <c r="C268" s="282"/>
      <c r="D268" s="282"/>
      <c r="E268" s="282"/>
      <c r="F268" s="285"/>
      <c r="G268" s="286"/>
      <c r="H268" s="286"/>
      <c r="I268" s="286"/>
      <c r="J268" s="286"/>
    </row>
    <row r="269" spans="1:10">
      <c r="A269" s="284"/>
      <c r="B269" s="282"/>
      <c r="C269" s="282"/>
      <c r="D269" s="282"/>
      <c r="E269" s="282"/>
      <c r="F269" s="285"/>
      <c r="G269" s="286"/>
      <c r="H269" s="286"/>
      <c r="I269" s="286"/>
      <c r="J269" s="286"/>
    </row>
    <row r="270" spans="1:10">
      <c r="A270" s="284"/>
      <c r="B270" s="282"/>
      <c r="C270" s="282"/>
      <c r="D270" s="282"/>
      <c r="E270" s="282"/>
      <c r="F270" s="285"/>
      <c r="G270" s="286"/>
      <c r="H270" s="286"/>
      <c r="I270" s="286"/>
      <c r="J270" s="286"/>
    </row>
    <row r="271" spans="1:10">
      <c r="A271" s="284"/>
      <c r="B271" s="282"/>
      <c r="C271" s="282"/>
      <c r="D271" s="282"/>
      <c r="E271" s="282"/>
      <c r="F271" s="285"/>
      <c r="G271" s="286"/>
      <c r="H271" s="286"/>
      <c r="I271" s="286"/>
      <c r="J271" s="286"/>
    </row>
    <row r="272" spans="1:10">
      <c r="A272" s="284"/>
      <c r="B272" s="282"/>
      <c r="C272" s="282"/>
      <c r="D272" s="282"/>
      <c r="E272" s="282"/>
      <c r="F272" s="285"/>
      <c r="G272" s="286"/>
      <c r="H272" s="286"/>
      <c r="I272" s="286"/>
      <c r="J272" s="286"/>
    </row>
    <row r="273" spans="1:10">
      <c r="A273" s="284"/>
      <c r="B273" s="282"/>
      <c r="C273" s="282"/>
      <c r="D273" s="282"/>
      <c r="E273" s="282"/>
      <c r="F273" s="285"/>
      <c r="G273" s="286"/>
      <c r="H273" s="286"/>
      <c r="I273" s="286"/>
      <c r="J273" s="286"/>
    </row>
    <row r="274" spans="1:10">
      <c r="A274" s="284"/>
      <c r="B274" s="282"/>
      <c r="C274" s="282"/>
      <c r="D274" s="282"/>
      <c r="E274" s="282"/>
      <c r="F274" s="285"/>
      <c r="G274" s="286"/>
      <c r="H274" s="286"/>
      <c r="I274" s="286"/>
      <c r="J274" s="286"/>
    </row>
    <row r="275" spans="1:10">
      <c r="A275" s="284"/>
      <c r="B275" s="282"/>
      <c r="C275" s="282"/>
      <c r="D275" s="282"/>
      <c r="E275" s="282"/>
      <c r="F275" s="285"/>
      <c r="G275" s="286"/>
      <c r="H275" s="286"/>
      <c r="I275" s="286"/>
      <c r="J275" s="286"/>
    </row>
    <row r="276" spans="1:10">
      <c r="A276" s="284"/>
      <c r="B276" s="282"/>
      <c r="C276" s="282"/>
      <c r="D276" s="282"/>
      <c r="E276" s="282"/>
      <c r="F276" s="285"/>
      <c r="G276" s="286"/>
      <c r="H276" s="286"/>
      <c r="I276" s="286"/>
      <c r="J276" s="286"/>
    </row>
    <row r="277" spans="1:10">
      <c r="A277" s="284"/>
      <c r="B277" s="282"/>
      <c r="C277" s="282"/>
      <c r="D277" s="282"/>
      <c r="E277" s="282"/>
      <c r="F277" s="285"/>
      <c r="G277" s="286"/>
      <c r="H277" s="286"/>
      <c r="I277" s="286"/>
      <c r="J277" s="286"/>
    </row>
    <row r="278" spans="1:10">
      <c r="A278" s="284"/>
      <c r="B278" s="282"/>
      <c r="C278" s="282"/>
      <c r="D278" s="282"/>
      <c r="E278" s="282"/>
      <c r="F278" s="285"/>
      <c r="G278" s="286"/>
      <c r="H278" s="286"/>
      <c r="I278" s="286"/>
      <c r="J278" s="286"/>
    </row>
    <row r="279" spans="1:10">
      <c r="A279" s="284"/>
      <c r="B279" s="282"/>
      <c r="C279" s="282"/>
      <c r="D279" s="282"/>
      <c r="E279" s="282"/>
      <c r="F279" s="285"/>
      <c r="G279" s="286"/>
      <c r="H279" s="286"/>
      <c r="I279" s="286"/>
      <c r="J279" s="286"/>
    </row>
    <row r="280" spans="1:10">
      <c r="A280" s="284"/>
      <c r="B280" s="282"/>
      <c r="C280" s="282"/>
      <c r="D280" s="282"/>
      <c r="E280" s="282"/>
      <c r="F280" s="285"/>
      <c r="G280" s="286"/>
      <c r="H280" s="286"/>
      <c r="I280" s="286"/>
      <c r="J280" s="286"/>
    </row>
    <row r="281" spans="1:10">
      <c r="A281" s="284"/>
      <c r="B281" s="282"/>
      <c r="C281" s="282"/>
      <c r="D281" s="282"/>
      <c r="E281" s="282"/>
      <c r="F281" s="285"/>
      <c r="G281" s="286"/>
      <c r="H281" s="286"/>
      <c r="I281" s="286"/>
      <c r="J281" s="286"/>
    </row>
    <row r="282" spans="1:10">
      <c r="A282" s="284"/>
      <c r="B282" s="282"/>
      <c r="C282" s="282"/>
      <c r="D282" s="282"/>
      <c r="E282" s="282"/>
      <c r="F282" s="285"/>
      <c r="G282" s="286"/>
      <c r="H282" s="286"/>
      <c r="I282" s="286"/>
      <c r="J282" s="286"/>
    </row>
    <row r="283" spans="1:10">
      <c r="A283" s="284"/>
      <c r="B283" s="282"/>
      <c r="C283" s="282"/>
      <c r="D283" s="282"/>
      <c r="E283" s="282"/>
      <c r="F283" s="285"/>
      <c r="G283" s="286"/>
      <c r="H283" s="286"/>
      <c r="I283" s="286"/>
      <c r="J283" s="286"/>
    </row>
    <row r="284" spans="1:10">
      <c r="A284" s="284"/>
      <c r="B284" s="282"/>
      <c r="C284" s="282"/>
      <c r="D284" s="282"/>
      <c r="E284" s="282"/>
      <c r="F284" s="285"/>
      <c r="G284" s="286"/>
      <c r="H284" s="286"/>
      <c r="I284" s="286"/>
      <c r="J284" s="286"/>
    </row>
    <row r="285" spans="1:10">
      <c r="A285" s="284"/>
      <c r="B285" s="282"/>
      <c r="C285" s="282"/>
      <c r="D285" s="282"/>
      <c r="E285" s="282"/>
      <c r="F285" s="285"/>
      <c r="G285" s="286"/>
      <c r="H285" s="286"/>
      <c r="I285" s="286"/>
      <c r="J285" s="286"/>
    </row>
    <row r="286" spans="1:10">
      <c r="A286" s="284"/>
      <c r="B286" s="282"/>
      <c r="C286" s="282"/>
      <c r="D286" s="282"/>
      <c r="E286" s="282"/>
      <c r="F286" s="285"/>
      <c r="G286" s="286"/>
      <c r="H286" s="286"/>
      <c r="I286" s="286"/>
      <c r="J286" s="286"/>
    </row>
    <row r="287" spans="1:10">
      <c r="A287" s="284"/>
      <c r="B287" s="282"/>
      <c r="C287" s="282"/>
      <c r="D287" s="282"/>
      <c r="E287" s="282"/>
      <c r="F287" s="285"/>
      <c r="G287" s="286"/>
      <c r="H287" s="286"/>
      <c r="I287" s="286"/>
      <c r="J287" s="286"/>
    </row>
    <row r="288" spans="1:10">
      <c r="A288" s="284"/>
      <c r="B288" s="282"/>
      <c r="C288" s="282"/>
      <c r="D288" s="282"/>
      <c r="E288" s="282"/>
      <c r="F288" s="285"/>
      <c r="G288" s="286"/>
      <c r="H288" s="286"/>
      <c r="I288" s="286"/>
      <c r="J288" s="286"/>
    </row>
    <row r="289" spans="1:10">
      <c r="A289" s="284"/>
      <c r="B289" s="282"/>
      <c r="C289" s="282"/>
      <c r="D289" s="282"/>
      <c r="E289" s="282"/>
      <c r="F289" s="285"/>
      <c r="G289" s="286"/>
      <c r="H289" s="286"/>
      <c r="I289" s="286"/>
      <c r="J289" s="286"/>
    </row>
    <row r="290" spans="1:10">
      <c r="A290" s="284"/>
      <c r="B290" s="282"/>
      <c r="C290" s="282"/>
      <c r="D290" s="282"/>
      <c r="E290" s="282"/>
      <c r="F290" s="285"/>
      <c r="G290" s="286"/>
      <c r="H290" s="286"/>
      <c r="I290" s="286"/>
      <c r="J290" s="286"/>
    </row>
    <row r="291" spans="1:10">
      <c r="A291" s="284"/>
      <c r="B291" s="282"/>
      <c r="C291" s="282"/>
      <c r="D291" s="282"/>
      <c r="E291" s="282"/>
      <c r="F291" s="285"/>
      <c r="G291" s="286"/>
      <c r="H291" s="286"/>
      <c r="I291" s="286"/>
      <c r="J291" s="286"/>
    </row>
    <row r="292" spans="1:10">
      <c r="A292" s="284"/>
      <c r="B292" s="282"/>
      <c r="C292" s="282"/>
      <c r="D292" s="282"/>
      <c r="E292" s="282"/>
      <c r="F292" s="285"/>
      <c r="G292" s="286"/>
      <c r="H292" s="286"/>
      <c r="I292" s="286"/>
      <c r="J292" s="286"/>
    </row>
    <row r="293" spans="1:10">
      <c r="A293" s="284"/>
      <c r="B293" s="282"/>
      <c r="C293" s="282"/>
      <c r="D293" s="282"/>
      <c r="E293" s="282"/>
      <c r="F293" s="285"/>
      <c r="G293" s="286"/>
      <c r="H293" s="286"/>
      <c r="I293" s="286"/>
      <c r="J293" s="286"/>
    </row>
    <row r="294" spans="1:10">
      <c r="A294" s="284"/>
      <c r="B294" s="282"/>
      <c r="C294" s="282"/>
      <c r="D294" s="282"/>
      <c r="E294" s="282"/>
      <c r="F294" s="285"/>
      <c r="G294" s="286"/>
      <c r="H294" s="286"/>
      <c r="I294" s="286"/>
      <c r="J294" s="286"/>
    </row>
    <row r="295" spans="1:10">
      <c r="A295" s="284"/>
      <c r="B295" s="282"/>
      <c r="C295" s="282"/>
      <c r="D295" s="282"/>
      <c r="E295" s="282"/>
      <c r="F295" s="285"/>
      <c r="G295" s="286"/>
      <c r="H295" s="286"/>
      <c r="I295" s="286"/>
      <c r="J295" s="286"/>
    </row>
    <row r="296" spans="1:10">
      <c r="A296" s="284"/>
      <c r="B296" s="282"/>
      <c r="C296" s="282"/>
      <c r="D296" s="282"/>
      <c r="E296" s="282"/>
      <c r="F296" s="285"/>
      <c r="G296" s="286"/>
      <c r="H296" s="286"/>
      <c r="I296" s="286"/>
      <c r="J296" s="286"/>
    </row>
    <row r="297" spans="1:10">
      <c r="A297" s="284"/>
      <c r="B297" s="282"/>
      <c r="C297" s="282"/>
      <c r="D297" s="282"/>
      <c r="E297" s="282"/>
      <c r="F297" s="285"/>
      <c r="G297" s="286"/>
      <c r="H297" s="286"/>
      <c r="I297" s="286"/>
      <c r="J297" s="286"/>
    </row>
    <row r="298" spans="1:10">
      <c r="A298" s="284"/>
      <c r="B298" s="282"/>
      <c r="C298" s="282"/>
      <c r="D298" s="282"/>
      <c r="E298" s="282"/>
      <c r="F298" s="285"/>
      <c r="G298" s="286"/>
      <c r="H298" s="286"/>
      <c r="I298" s="286"/>
      <c r="J298" s="286"/>
    </row>
    <row r="299" spans="1:10">
      <c r="A299" s="284"/>
      <c r="B299" s="282"/>
      <c r="C299" s="282"/>
      <c r="D299" s="282"/>
      <c r="E299" s="282"/>
      <c r="F299" s="285"/>
      <c r="G299" s="286"/>
      <c r="H299" s="286"/>
      <c r="I299" s="286"/>
      <c r="J299" s="286"/>
    </row>
    <row r="300" spans="1:10">
      <c r="A300" s="284"/>
      <c r="B300" s="282"/>
      <c r="C300" s="282"/>
      <c r="D300" s="282"/>
      <c r="E300" s="282"/>
      <c r="F300" s="285"/>
      <c r="G300" s="286"/>
      <c r="H300" s="286"/>
      <c r="I300" s="286"/>
      <c r="J300" s="286"/>
    </row>
    <row r="301" spans="1:10">
      <c r="A301" s="284"/>
      <c r="B301" s="282"/>
      <c r="C301" s="282"/>
      <c r="D301" s="282"/>
      <c r="E301" s="282"/>
      <c r="F301" s="285"/>
      <c r="G301" s="286"/>
      <c r="H301" s="286"/>
      <c r="I301" s="286"/>
      <c r="J301" s="286"/>
    </row>
    <row r="302" spans="1:10">
      <c r="A302" s="284"/>
      <c r="B302" s="282"/>
      <c r="C302" s="282"/>
      <c r="D302" s="282"/>
      <c r="E302" s="282"/>
      <c r="F302" s="285"/>
      <c r="G302" s="286"/>
      <c r="H302" s="286"/>
      <c r="I302" s="286"/>
      <c r="J302" s="286"/>
    </row>
    <row r="303" spans="1:10">
      <c r="A303" s="284"/>
      <c r="B303" s="282"/>
      <c r="C303" s="282"/>
      <c r="D303" s="282"/>
      <c r="E303" s="282"/>
      <c r="F303" s="285"/>
      <c r="G303" s="286"/>
      <c r="H303" s="286"/>
      <c r="I303" s="286"/>
      <c r="J303" s="286"/>
    </row>
    <row r="304" spans="1:10">
      <c r="A304" s="284"/>
      <c r="B304" s="282"/>
      <c r="C304" s="282"/>
      <c r="D304" s="282"/>
      <c r="E304" s="282"/>
      <c r="F304" s="285"/>
      <c r="G304" s="286"/>
      <c r="H304" s="286"/>
      <c r="I304" s="286"/>
      <c r="J304" s="286"/>
    </row>
    <row r="305" spans="1:10">
      <c r="A305" s="284"/>
      <c r="B305" s="282"/>
      <c r="C305" s="282"/>
      <c r="D305" s="282"/>
      <c r="E305" s="282"/>
      <c r="F305" s="285"/>
      <c r="G305" s="286"/>
      <c r="H305" s="286"/>
      <c r="I305" s="286"/>
      <c r="J305" s="286"/>
    </row>
    <row r="306" spans="1:10">
      <c r="A306" s="284"/>
      <c r="B306" s="282"/>
      <c r="C306" s="282"/>
      <c r="D306" s="282"/>
      <c r="E306" s="282"/>
      <c r="F306" s="285"/>
      <c r="G306" s="286"/>
      <c r="H306" s="286"/>
      <c r="I306" s="286"/>
      <c r="J306" s="286"/>
    </row>
    <row r="307" spans="1:10">
      <c r="A307" s="284"/>
      <c r="B307" s="282"/>
      <c r="C307" s="282"/>
      <c r="D307" s="282"/>
      <c r="E307" s="282"/>
      <c r="F307" s="285"/>
      <c r="G307" s="286"/>
      <c r="H307" s="286"/>
      <c r="I307" s="286"/>
      <c r="J307" s="286"/>
    </row>
    <row r="308" spans="1:10">
      <c r="A308" s="284"/>
      <c r="B308" s="282"/>
      <c r="C308" s="282"/>
      <c r="D308" s="282"/>
      <c r="E308" s="282"/>
      <c r="F308" s="285"/>
      <c r="G308" s="286"/>
      <c r="H308" s="286"/>
      <c r="I308" s="286"/>
      <c r="J308" s="286"/>
    </row>
    <row r="309" spans="1:10">
      <c r="A309" s="284"/>
      <c r="B309" s="282"/>
      <c r="C309" s="282"/>
      <c r="D309" s="282"/>
      <c r="E309" s="282"/>
      <c r="F309" s="285"/>
      <c r="G309" s="286"/>
      <c r="H309" s="286"/>
      <c r="I309" s="286"/>
      <c r="J309" s="286"/>
    </row>
    <row r="310" spans="1:10">
      <c r="A310" s="284"/>
      <c r="B310" s="282"/>
      <c r="C310" s="282"/>
      <c r="D310" s="282"/>
      <c r="E310" s="282"/>
      <c r="F310" s="285"/>
      <c r="G310" s="286"/>
      <c r="H310" s="286"/>
      <c r="I310" s="286"/>
      <c r="J310" s="286"/>
    </row>
    <row r="311" spans="1:10">
      <c r="A311" s="284"/>
      <c r="B311" s="282"/>
      <c r="C311" s="282"/>
      <c r="D311" s="282"/>
      <c r="E311" s="282"/>
      <c r="F311" s="285"/>
      <c r="G311" s="286"/>
      <c r="H311" s="286"/>
      <c r="I311" s="286"/>
      <c r="J311" s="286"/>
    </row>
    <row r="312" spans="1:10">
      <c r="A312" s="284"/>
      <c r="B312" s="282"/>
      <c r="C312" s="282"/>
      <c r="D312" s="282"/>
      <c r="E312" s="282"/>
      <c r="F312" s="285"/>
      <c r="G312" s="286"/>
      <c r="H312" s="286"/>
      <c r="I312" s="286"/>
      <c r="J312" s="286"/>
    </row>
    <row r="313" spans="1:10">
      <c r="A313" s="284"/>
      <c r="B313" s="282"/>
      <c r="C313" s="282"/>
      <c r="D313" s="282"/>
      <c r="E313" s="282"/>
      <c r="F313" s="285"/>
      <c r="G313" s="286"/>
      <c r="H313" s="286"/>
      <c r="I313" s="286"/>
      <c r="J313" s="286"/>
    </row>
    <row r="314" spans="1:10">
      <c r="A314" s="284"/>
      <c r="B314" s="282"/>
      <c r="C314" s="282"/>
      <c r="D314" s="282"/>
      <c r="E314" s="282"/>
      <c r="F314" s="285"/>
      <c r="G314" s="286"/>
      <c r="H314" s="286"/>
      <c r="I314" s="286"/>
      <c r="J314" s="286"/>
    </row>
    <row r="315" spans="1:10">
      <c r="A315" s="284"/>
      <c r="B315" s="282"/>
      <c r="C315" s="282"/>
      <c r="D315" s="282"/>
      <c r="E315" s="282"/>
      <c r="F315" s="285"/>
      <c r="G315" s="286"/>
      <c r="H315" s="286"/>
      <c r="I315" s="286"/>
      <c r="J315" s="286"/>
    </row>
    <row r="316" spans="1:10">
      <c r="A316" s="284"/>
      <c r="B316" s="282"/>
      <c r="C316" s="282"/>
      <c r="D316" s="282"/>
      <c r="E316" s="282"/>
      <c r="F316" s="285"/>
      <c r="G316" s="286"/>
      <c r="H316" s="286"/>
      <c r="I316" s="286"/>
      <c r="J316" s="286"/>
    </row>
    <row r="317" spans="1:10">
      <c r="A317" s="284"/>
      <c r="B317" s="282"/>
      <c r="C317" s="282"/>
      <c r="D317" s="282"/>
      <c r="E317" s="282"/>
      <c r="F317" s="285"/>
      <c r="G317" s="286"/>
      <c r="H317" s="286"/>
      <c r="I317" s="286"/>
      <c r="J317" s="286"/>
    </row>
    <row r="318" spans="1:10">
      <c r="A318" s="284"/>
      <c r="B318" s="282"/>
      <c r="C318" s="282"/>
      <c r="D318" s="282"/>
      <c r="E318" s="282"/>
      <c r="F318" s="285"/>
      <c r="G318" s="286"/>
      <c r="H318" s="286"/>
      <c r="I318" s="286"/>
      <c r="J318" s="286"/>
    </row>
    <row r="319" spans="1:10">
      <c r="A319" s="284"/>
      <c r="B319" s="282"/>
      <c r="C319" s="282"/>
      <c r="D319" s="282"/>
      <c r="E319" s="282"/>
      <c r="F319" s="285"/>
      <c r="G319" s="286"/>
      <c r="H319" s="286"/>
      <c r="I319" s="286"/>
      <c r="J319" s="286"/>
    </row>
    <row r="320" spans="1:10">
      <c r="A320" s="284"/>
      <c r="B320" s="282"/>
      <c r="C320" s="282"/>
      <c r="D320" s="282"/>
      <c r="E320" s="282"/>
      <c r="F320" s="285"/>
      <c r="G320" s="286"/>
      <c r="H320" s="286"/>
      <c r="I320" s="286"/>
      <c r="J320" s="286"/>
    </row>
    <row r="321" spans="1:10">
      <c r="A321" s="284"/>
      <c r="B321" s="282"/>
      <c r="C321" s="282"/>
      <c r="D321" s="282"/>
      <c r="E321" s="282"/>
      <c r="F321" s="285"/>
      <c r="G321" s="286"/>
      <c r="H321" s="286"/>
      <c r="I321" s="286"/>
      <c r="J321" s="286"/>
    </row>
    <row r="322" spans="1:10">
      <c r="A322" s="284"/>
      <c r="B322" s="282"/>
      <c r="C322" s="282"/>
      <c r="D322" s="282"/>
      <c r="E322" s="282"/>
      <c r="F322" s="285"/>
      <c r="G322" s="286"/>
      <c r="H322" s="286"/>
      <c r="I322" s="286"/>
      <c r="J322" s="286"/>
    </row>
    <row r="323" spans="1:10">
      <c r="A323" s="284"/>
      <c r="B323" s="282"/>
      <c r="C323" s="282"/>
      <c r="D323" s="282"/>
      <c r="E323" s="282"/>
      <c r="F323" s="285"/>
      <c r="G323" s="286"/>
      <c r="H323" s="286"/>
      <c r="I323" s="286"/>
      <c r="J323" s="286"/>
    </row>
    <row r="324" spans="1:10">
      <c r="A324" s="284"/>
      <c r="B324" s="282"/>
      <c r="C324" s="282"/>
      <c r="D324" s="282"/>
      <c r="E324" s="282"/>
      <c r="F324" s="285"/>
      <c r="G324" s="286"/>
      <c r="H324" s="286"/>
      <c r="I324" s="286"/>
      <c r="J324" s="286"/>
    </row>
    <row r="325" spans="1:10">
      <c r="A325" s="284"/>
      <c r="B325" s="282"/>
      <c r="C325" s="282"/>
      <c r="D325" s="282"/>
      <c r="E325" s="282"/>
      <c r="F325" s="285"/>
      <c r="G325" s="286"/>
      <c r="H325" s="286"/>
      <c r="I325" s="286"/>
      <c r="J325" s="286"/>
    </row>
    <row r="326" spans="1:10">
      <c r="A326" s="284"/>
      <c r="B326" s="282"/>
      <c r="C326" s="282"/>
      <c r="D326" s="282"/>
      <c r="E326" s="282"/>
      <c r="F326" s="285"/>
      <c r="G326" s="286"/>
      <c r="H326" s="286"/>
      <c r="I326" s="286"/>
      <c r="J326" s="286"/>
    </row>
    <row r="327" spans="1:10">
      <c r="A327" s="284"/>
      <c r="B327" s="282"/>
      <c r="C327" s="282"/>
      <c r="D327" s="282"/>
      <c r="E327" s="282"/>
      <c r="F327" s="285"/>
      <c r="G327" s="286"/>
      <c r="H327" s="286"/>
      <c r="I327" s="286"/>
      <c r="J327" s="286"/>
    </row>
    <row r="328" spans="1:10">
      <c r="A328" s="284"/>
      <c r="B328" s="282"/>
      <c r="C328" s="282"/>
      <c r="D328" s="282"/>
      <c r="E328" s="282"/>
      <c r="F328" s="285"/>
      <c r="G328" s="286"/>
      <c r="H328" s="286"/>
      <c r="I328" s="286"/>
      <c r="J328" s="286"/>
    </row>
    <row r="329" spans="1:10">
      <c r="A329" s="284"/>
      <c r="B329" s="282"/>
      <c r="C329" s="282"/>
      <c r="D329" s="282"/>
      <c r="E329" s="282"/>
      <c r="F329" s="285"/>
      <c r="G329" s="286"/>
      <c r="H329" s="286"/>
      <c r="I329" s="286"/>
      <c r="J329" s="286"/>
    </row>
    <row r="330" spans="1:10">
      <c r="A330" s="284"/>
      <c r="B330" s="282"/>
      <c r="C330" s="282"/>
      <c r="D330" s="282"/>
      <c r="E330" s="282"/>
      <c r="F330" s="285"/>
      <c r="G330" s="286"/>
      <c r="H330" s="286"/>
      <c r="I330" s="286"/>
      <c r="J330" s="286"/>
    </row>
    <row r="331" spans="1:10">
      <c r="A331" s="284"/>
      <c r="B331" s="282"/>
      <c r="C331" s="282"/>
      <c r="D331" s="282"/>
      <c r="E331" s="282"/>
      <c r="F331" s="285"/>
      <c r="G331" s="286"/>
      <c r="H331" s="286"/>
      <c r="I331" s="286"/>
      <c r="J331" s="286"/>
    </row>
    <row r="332" spans="1:10">
      <c r="A332" s="284"/>
      <c r="B332" s="282"/>
      <c r="C332" s="282"/>
      <c r="D332" s="282"/>
      <c r="E332" s="282"/>
      <c r="F332" s="285"/>
      <c r="G332" s="286"/>
      <c r="H332" s="286"/>
      <c r="I332" s="286"/>
      <c r="J332" s="286"/>
    </row>
    <row r="333" spans="1:10">
      <c r="A333" s="284"/>
      <c r="B333" s="282"/>
      <c r="C333" s="282"/>
      <c r="D333" s="282"/>
      <c r="E333" s="282"/>
      <c r="F333" s="285"/>
      <c r="G333" s="286"/>
      <c r="H333" s="286"/>
      <c r="I333" s="286"/>
      <c r="J333" s="286"/>
    </row>
    <row r="334" spans="1:10">
      <c r="A334" s="284"/>
      <c r="B334" s="282"/>
      <c r="C334" s="282"/>
      <c r="D334" s="282"/>
      <c r="E334" s="282"/>
      <c r="F334" s="285"/>
      <c r="G334" s="286"/>
      <c r="H334" s="286"/>
      <c r="I334" s="286"/>
      <c r="J334" s="286"/>
    </row>
    <row r="335" spans="1:10">
      <c r="A335" s="284"/>
      <c r="B335" s="282"/>
      <c r="C335" s="282"/>
      <c r="D335" s="282"/>
      <c r="E335" s="282"/>
      <c r="F335" s="285"/>
      <c r="G335" s="286"/>
      <c r="H335" s="286"/>
      <c r="I335" s="286"/>
      <c r="J335" s="286"/>
    </row>
    <row r="336" spans="1:10">
      <c r="A336" s="284"/>
      <c r="B336" s="282"/>
      <c r="C336" s="282"/>
      <c r="D336" s="282"/>
      <c r="E336" s="282"/>
      <c r="F336" s="285"/>
      <c r="G336" s="286"/>
      <c r="H336" s="286"/>
      <c r="I336" s="286"/>
      <c r="J336" s="286"/>
    </row>
    <row r="337" spans="1:10">
      <c r="A337" s="284"/>
      <c r="B337" s="282"/>
      <c r="C337" s="282"/>
      <c r="D337" s="282"/>
      <c r="E337" s="282"/>
      <c r="F337" s="285"/>
      <c r="G337" s="286"/>
      <c r="H337" s="286"/>
      <c r="I337" s="286"/>
      <c r="J337" s="286"/>
    </row>
    <row r="338" spans="1:10">
      <c r="A338" s="284"/>
      <c r="B338" s="282"/>
      <c r="C338" s="282"/>
      <c r="D338" s="282"/>
      <c r="E338" s="282"/>
      <c r="F338" s="285"/>
      <c r="G338" s="286"/>
      <c r="H338" s="286"/>
      <c r="I338" s="286"/>
      <c r="J338" s="286"/>
    </row>
    <row r="339" spans="1:10">
      <c r="A339" s="284"/>
      <c r="B339" s="282"/>
      <c r="C339" s="282"/>
      <c r="D339" s="282"/>
      <c r="E339" s="282"/>
      <c r="F339" s="285"/>
      <c r="G339" s="286"/>
      <c r="H339" s="286"/>
      <c r="I339" s="286"/>
      <c r="J339" s="286"/>
    </row>
    <row r="340" spans="1:10">
      <c r="A340" s="284"/>
      <c r="B340" s="282"/>
      <c r="C340" s="282"/>
      <c r="D340" s="282"/>
      <c r="E340" s="282"/>
      <c r="F340" s="285"/>
      <c r="G340" s="286"/>
      <c r="H340" s="286"/>
      <c r="I340" s="286"/>
      <c r="J340" s="286"/>
    </row>
    <row r="341" spans="1:10">
      <c r="A341" s="284"/>
      <c r="B341" s="282"/>
      <c r="C341" s="282"/>
      <c r="D341" s="282"/>
      <c r="E341" s="282"/>
      <c r="F341" s="285"/>
      <c r="G341" s="286"/>
      <c r="H341" s="286"/>
      <c r="I341" s="286"/>
      <c r="J341" s="286"/>
    </row>
    <row r="342" spans="1:10">
      <c r="A342" s="284"/>
      <c r="B342" s="282"/>
      <c r="C342" s="282"/>
      <c r="D342" s="282"/>
      <c r="E342" s="282"/>
      <c r="F342" s="285"/>
      <c r="G342" s="286"/>
      <c r="H342" s="286"/>
      <c r="I342" s="286"/>
      <c r="J342" s="286"/>
    </row>
    <row r="343" spans="1:10">
      <c r="A343" s="284"/>
      <c r="B343" s="282"/>
      <c r="C343" s="282"/>
      <c r="D343" s="282"/>
      <c r="E343" s="282"/>
      <c r="F343" s="285"/>
      <c r="G343" s="286"/>
      <c r="H343" s="286"/>
      <c r="I343" s="286"/>
      <c r="J343" s="286"/>
    </row>
    <row r="344" spans="1:10">
      <c r="A344" s="284"/>
      <c r="B344" s="282"/>
      <c r="C344" s="282"/>
      <c r="D344" s="282"/>
      <c r="E344" s="282"/>
      <c r="F344" s="285"/>
      <c r="G344" s="286"/>
      <c r="H344" s="286"/>
      <c r="I344" s="286"/>
      <c r="J344" s="286"/>
    </row>
    <row r="345" spans="1:10">
      <c r="A345" s="284"/>
      <c r="B345" s="282"/>
      <c r="C345" s="282"/>
      <c r="D345" s="282"/>
      <c r="E345" s="282"/>
      <c r="F345" s="285"/>
      <c r="G345" s="286"/>
      <c r="H345" s="286"/>
      <c r="I345" s="286"/>
      <c r="J345" s="286"/>
    </row>
    <row r="346" spans="1:10">
      <c r="A346" s="284"/>
      <c r="B346" s="282"/>
      <c r="C346" s="282"/>
      <c r="D346" s="282"/>
      <c r="E346" s="282"/>
      <c r="F346" s="285"/>
      <c r="G346" s="286"/>
      <c r="H346" s="286"/>
      <c r="I346" s="286"/>
      <c r="J346" s="286"/>
    </row>
    <row r="347" spans="1:10">
      <c r="A347" s="284"/>
      <c r="B347" s="282"/>
      <c r="C347" s="282"/>
      <c r="D347" s="282"/>
      <c r="E347" s="282"/>
      <c r="F347" s="285"/>
      <c r="G347" s="286"/>
      <c r="H347" s="286"/>
      <c r="I347" s="286"/>
      <c r="J347" s="286"/>
    </row>
    <row r="348" spans="1:10">
      <c r="A348" s="284"/>
      <c r="B348" s="282"/>
      <c r="C348" s="282"/>
      <c r="D348" s="282"/>
      <c r="E348" s="282"/>
      <c r="F348" s="285"/>
      <c r="G348" s="286"/>
      <c r="H348" s="286"/>
      <c r="I348" s="286"/>
      <c r="J348" s="286"/>
    </row>
    <row r="349" spans="1:10">
      <c r="A349" s="284"/>
      <c r="B349" s="282"/>
      <c r="C349" s="282"/>
      <c r="D349" s="282"/>
      <c r="E349" s="282"/>
      <c r="F349" s="285"/>
      <c r="G349" s="286"/>
      <c r="H349" s="286"/>
      <c r="I349" s="286"/>
      <c r="J349" s="286"/>
    </row>
    <row r="350" spans="1:10">
      <c r="A350" s="284"/>
      <c r="B350" s="282"/>
      <c r="C350" s="282"/>
      <c r="D350" s="282"/>
      <c r="E350" s="282"/>
      <c r="F350" s="285"/>
      <c r="G350" s="286"/>
      <c r="H350" s="286"/>
      <c r="I350" s="286"/>
      <c r="J350" s="286"/>
    </row>
    <row r="351" spans="1:10">
      <c r="A351" s="284"/>
      <c r="B351" s="282"/>
      <c r="C351" s="282"/>
      <c r="D351" s="282"/>
      <c r="E351" s="282"/>
      <c r="F351" s="285"/>
      <c r="G351" s="286"/>
      <c r="H351" s="286"/>
      <c r="I351" s="286"/>
      <c r="J351" s="286"/>
    </row>
    <row r="352" spans="1:10">
      <c r="A352" s="284"/>
      <c r="B352" s="282"/>
      <c r="C352" s="282"/>
      <c r="D352" s="282"/>
      <c r="E352" s="282"/>
      <c r="F352" s="285"/>
      <c r="G352" s="286"/>
      <c r="H352" s="286"/>
      <c r="I352" s="286"/>
      <c r="J352" s="286"/>
    </row>
    <row r="353" spans="1:10">
      <c r="A353" s="284"/>
      <c r="B353" s="282"/>
      <c r="C353" s="282"/>
      <c r="D353" s="282"/>
      <c r="E353" s="282"/>
      <c r="F353" s="285"/>
      <c r="G353" s="286"/>
      <c r="H353" s="286"/>
      <c r="I353" s="286"/>
      <c r="J353" s="286"/>
    </row>
    <row r="354" spans="1:10">
      <c r="A354" s="284"/>
      <c r="B354" s="282"/>
      <c r="C354" s="282"/>
      <c r="D354" s="282"/>
      <c r="E354" s="282"/>
      <c r="F354" s="285"/>
      <c r="G354" s="286"/>
      <c r="H354" s="286"/>
      <c r="I354" s="286"/>
      <c r="J354" s="286"/>
    </row>
    <row r="355" spans="1:10">
      <c r="A355" s="284"/>
      <c r="B355" s="282"/>
      <c r="C355" s="282"/>
      <c r="D355" s="282"/>
      <c r="E355" s="282"/>
      <c r="F355" s="285"/>
      <c r="G355" s="286"/>
      <c r="H355" s="286"/>
      <c r="I355" s="286"/>
      <c r="J355" s="286"/>
    </row>
    <row r="356" spans="1:10">
      <c r="A356" s="284"/>
      <c r="B356" s="282"/>
      <c r="C356" s="282"/>
      <c r="D356" s="282"/>
      <c r="E356" s="282"/>
      <c r="F356" s="285"/>
      <c r="G356" s="286"/>
      <c r="H356" s="286"/>
      <c r="I356" s="286"/>
      <c r="J356" s="286"/>
    </row>
    <row r="357" spans="1:10">
      <c r="A357" s="284"/>
      <c r="B357" s="282"/>
      <c r="C357" s="282"/>
      <c r="D357" s="282"/>
      <c r="E357" s="282"/>
      <c r="F357" s="285"/>
      <c r="G357" s="286"/>
      <c r="H357" s="286"/>
      <c r="I357" s="286"/>
      <c r="J357" s="286"/>
    </row>
    <row r="358" spans="1:10">
      <c r="A358" s="284"/>
      <c r="B358" s="282"/>
      <c r="C358" s="282"/>
      <c r="D358" s="282"/>
      <c r="E358" s="282"/>
      <c r="F358" s="285"/>
      <c r="G358" s="286"/>
      <c r="H358" s="286"/>
      <c r="I358" s="286"/>
      <c r="J358" s="286"/>
    </row>
    <row r="359" spans="1:10">
      <c r="A359" s="284"/>
      <c r="B359" s="282"/>
      <c r="C359" s="282"/>
      <c r="D359" s="282"/>
      <c r="E359" s="282"/>
      <c r="F359" s="285"/>
      <c r="G359" s="286"/>
      <c r="H359" s="286"/>
      <c r="I359" s="286"/>
      <c r="J359" s="286"/>
    </row>
    <row r="360" spans="1:10">
      <c r="A360" s="284"/>
      <c r="B360" s="282"/>
      <c r="C360" s="282"/>
      <c r="D360" s="282"/>
      <c r="E360" s="282"/>
      <c r="F360" s="285"/>
      <c r="G360" s="286"/>
      <c r="H360" s="286"/>
      <c r="I360" s="286"/>
      <c r="J360" s="286"/>
    </row>
    <row r="361" spans="1:10">
      <c r="A361" s="284"/>
      <c r="B361" s="282"/>
      <c r="C361" s="282"/>
      <c r="D361" s="282"/>
      <c r="E361" s="282"/>
      <c r="F361" s="285"/>
      <c r="G361" s="286"/>
      <c r="H361" s="286"/>
      <c r="I361" s="286"/>
      <c r="J361" s="286"/>
    </row>
    <row r="362" spans="1:10">
      <c r="A362" s="284"/>
      <c r="B362" s="282"/>
      <c r="C362" s="282"/>
      <c r="D362" s="282"/>
      <c r="E362" s="282"/>
      <c r="F362" s="285"/>
      <c r="G362" s="286"/>
      <c r="H362" s="286"/>
      <c r="I362" s="286"/>
      <c r="J362" s="286"/>
    </row>
    <row r="363" spans="1:10">
      <c r="A363" s="284"/>
      <c r="B363" s="282"/>
      <c r="C363" s="282"/>
      <c r="D363" s="282"/>
      <c r="E363" s="282"/>
      <c r="F363" s="285"/>
      <c r="G363" s="286"/>
      <c r="H363" s="286"/>
      <c r="I363" s="286"/>
      <c r="J363" s="286"/>
    </row>
    <row r="364" spans="1:10">
      <c r="A364" s="284"/>
      <c r="B364" s="282"/>
      <c r="C364" s="282"/>
      <c r="D364" s="282"/>
      <c r="E364" s="282"/>
      <c r="F364" s="285"/>
      <c r="G364" s="286"/>
      <c r="H364" s="286"/>
      <c r="I364" s="286"/>
      <c r="J364" s="286"/>
    </row>
    <row r="365" spans="1:10">
      <c r="A365" s="284"/>
      <c r="B365" s="282"/>
      <c r="C365" s="282"/>
      <c r="D365" s="282"/>
      <c r="E365" s="282"/>
      <c r="F365" s="285"/>
      <c r="G365" s="286"/>
      <c r="H365" s="286"/>
      <c r="I365" s="286"/>
      <c r="J365" s="286"/>
    </row>
    <row r="366" spans="1:10">
      <c r="A366" s="284"/>
      <c r="B366" s="282"/>
      <c r="C366" s="282"/>
      <c r="D366" s="282"/>
      <c r="E366" s="282"/>
      <c r="F366" s="285"/>
      <c r="G366" s="286"/>
      <c r="H366" s="286"/>
      <c r="I366" s="286"/>
      <c r="J366" s="286"/>
    </row>
    <row r="367" spans="1:10">
      <c r="A367" s="284"/>
      <c r="B367" s="282"/>
      <c r="C367" s="282"/>
      <c r="D367" s="282"/>
      <c r="E367" s="282"/>
      <c r="F367" s="285"/>
      <c r="G367" s="286"/>
      <c r="H367" s="286"/>
      <c r="I367" s="286"/>
      <c r="J367" s="286"/>
    </row>
    <row r="368" spans="1:10">
      <c r="A368" s="284"/>
      <c r="B368" s="282"/>
      <c r="C368" s="282"/>
      <c r="D368" s="282"/>
      <c r="E368" s="282"/>
      <c r="F368" s="285"/>
      <c r="G368" s="286"/>
      <c r="H368" s="286"/>
      <c r="I368" s="286"/>
      <c r="J368" s="286"/>
    </row>
    <row r="369" spans="1:10">
      <c r="A369" s="284"/>
      <c r="B369" s="282"/>
      <c r="C369" s="282"/>
      <c r="D369" s="282"/>
      <c r="E369" s="282"/>
      <c r="F369" s="285"/>
      <c r="G369" s="286"/>
      <c r="H369" s="286"/>
      <c r="I369" s="286"/>
      <c r="J369" s="286"/>
    </row>
    <row r="370" spans="1:10">
      <c r="A370" s="284"/>
      <c r="B370" s="282"/>
      <c r="C370" s="282"/>
      <c r="D370" s="282"/>
      <c r="E370" s="282"/>
      <c r="F370" s="285"/>
      <c r="G370" s="286"/>
      <c r="H370" s="286"/>
      <c r="I370" s="286"/>
      <c r="J370" s="286"/>
    </row>
    <row r="371" spans="1:10">
      <c r="A371" s="284"/>
      <c r="B371" s="282"/>
      <c r="C371" s="282"/>
      <c r="D371" s="282"/>
      <c r="E371" s="282"/>
      <c r="F371" s="285"/>
      <c r="G371" s="286"/>
      <c r="H371" s="286"/>
      <c r="I371" s="286"/>
      <c r="J371" s="286"/>
    </row>
    <row r="372" spans="1:10">
      <c r="A372" s="284"/>
      <c r="B372" s="282"/>
      <c r="C372" s="282"/>
      <c r="D372" s="282"/>
      <c r="E372" s="282"/>
      <c r="F372" s="285"/>
      <c r="G372" s="286"/>
      <c r="H372" s="286"/>
      <c r="I372" s="286"/>
      <c r="J372" s="286"/>
    </row>
    <row r="373" spans="1:10">
      <c r="A373" s="284"/>
      <c r="B373" s="282"/>
      <c r="C373" s="282"/>
      <c r="D373" s="282"/>
      <c r="E373" s="282"/>
      <c r="F373" s="285"/>
      <c r="G373" s="286"/>
      <c r="H373" s="286"/>
      <c r="I373" s="286"/>
      <c r="J373" s="286"/>
    </row>
    <row r="374" spans="1:10">
      <c r="A374" s="284"/>
      <c r="B374" s="282"/>
      <c r="C374" s="282"/>
      <c r="D374" s="282"/>
      <c r="E374" s="282"/>
      <c r="F374" s="285"/>
      <c r="G374" s="286"/>
      <c r="H374" s="286"/>
      <c r="I374" s="286"/>
      <c r="J374" s="286"/>
    </row>
    <row r="375" spans="1:10">
      <c r="A375" s="284"/>
      <c r="B375" s="282"/>
      <c r="C375" s="282"/>
      <c r="D375" s="282"/>
      <c r="E375" s="282"/>
      <c r="F375" s="285"/>
      <c r="G375" s="286"/>
      <c r="H375" s="286"/>
      <c r="I375" s="286"/>
      <c r="J375" s="286"/>
    </row>
    <row r="376" spans="1:10">
      <c r="A376" s="284"/>
      <c r="B376" s="282"/>
      <c r="C376" s="282"/>
      <c r="D376" s="282"/>
      <c r="E376" s="282"/>
      <c r="F376" s="285"/>
      <c r="G376" s="286"/>
      <c r="H376" s="286"/>
      <c r="I376" s="286"/>
      <c r="J376" s="286"/>
    </row>
    <row r="377" spans="1:10">
      <c r="A377" s="284"/>
      <c r="B377" s="282"/>
      <c r="C377" s="282"/>
      <c r="D377" s="282"/>
      <c r="E377" s="282"/>
      <c r="F377" s="285"/>
      <c r="G377" s="286"/>
      <c r="H377" s="286"/>
      <c r="I377" s="286"/>
      <c r="J377" s="286"/>
    </row>
    <row r="378" spans="1:10">
      <c r="A378" s="284"/>
      <c r="B378" s="282"/>
      <c r="C378" s="282"/>
      <c r="D378" s="282"/>
      <c r="E378" s="282"/>
      <c r="F378" s="285"/>
      <c r="G378" s="286"/>
      <c r="H378" s="286"/>
      <c r="I378" s="286"/>
      <c r="J378" s="286"/>
    </row>
    <row r="379" spans="1:10">
      <c r="A379" s="284"/>
      <c r="B379" s="282"/>
      <c r="C379" s="282"/>
      <c r="D379" s="282"/>
      <c r="E379" s="282"/>
      <c r="F379" s="285"/>
      <c r="G379" s="286"/>
      <c r="H379" s="286"/>
      <c r="I379" s="286"/>
      <c r="J379" s="286"/>
    </row>
    <row r="380" spans="1:10">
      <c r="A380" s="284"/>
      <c r="B380" s="282"/>
      <c r="C380" s="282"/>
      <c r="D380" s="282"/>
      <c r="E380" s="282"/>
      <c r="F380" s="285"/>
      <c r="G380" s="286"/>
      <c r="H380" s="286"/>
      <c r="I380" s="286"/>
      <c r="J380" s="286"/>
    </row>
    <row r="381" spans="1:10">
      <c r="A381" s="284"/>
      <c r="B381" s="282"/>
      <c r="C381" s="282"/>
      <c r="D381" s="282"/>
      <c r="E381" s="282"/>
      <c r="F381" s="285"/>
      <c r="G381" s="286"/>
      <c r="H381" s="286"/>
      <c r="I381" s="286"/>
      <c r="J381" s="286"/>
    </row>
    <row r="382" spans="1:10">
      <c r="A382" s="284"/>
      <c r="B382" s="282"/>
      <c r="C382" s="282"/>
      <c r="D382" s="282"/>
      <c r="E382" s="282"/>
      <c r="F382" s="285"/>
      <c r="G382" s="286"/>
      <c r="H382" s="286"/>
      <c r="I382" s="286"/>
      <c r="J382" s="286"/>
    </row>
    <row r="383" spans="1:10">
      <c r="A383" s="284"/>
      <c r="B383" s="282"/>
      <c r="C383" s="282"/>
      <c r="D383" s="282"/>
      <c r="E383" s="282"/>
      <c r="F383" s="285"/>
      <c r="G383" s="286"/>
      <c r="H383" s="286"/>
      <c r="I383" s="286"/>
      <c r="J383" s="286"/>
    </row>
    <row r="384" spans="1:10">
      <c r="A384" s="284"/>
      <c r="B384" s="282"/>
      <c r="C384" s="282"/>
      <c r="D384" s="282"/>
      <c r="E384" s="282"/>
      <c r="F384" s="285"/>
      <c r="G384" s="286"/>
      <c r="H384" s="286"/>
      <c r="I384" s="286"/>
      <c r="J384" s="286"/>
    </row>
    <row r="385" spans="1:10">
      <c r="A385" s="284"/>
      <c r="B385" s="282"/>
      <c r="C385" s="282"/>
      <c r="D385" s="282"/>
      <c r="E385" s="282"/>
      <c r="F385" s="285"/>
      <c r="G385" s="286"/>
      <c r="H385" s="286"/>
      <c r="I385" s="286"/>
      <c r="J385" s="286"/>
    </row>
    <row r="386" spans="1:10">
      <c r="A386" s="284"/>
      <c r="B386" s="282"/>
      <c r="C386" s="282"/>
      <c r="D386" s="282"/>
      <c r="E386" s="282"/>
      <c r="F386" s="285"/>
      <c r="G386" s="286"/>
      <c r="H386" s="286"/>
      <c r="I386" s="286"/>
      <c r="J386" s="286"/>
    </row>
    <row r="387" spans="1:10">
      <c r="A387" s="284"/>
      <c r="B387" s="282"/>
      <c r="C387" s="282"/>
      <c r="D387" s="282"/>
      <c r="E387" s="282"/>
      <c r="F387" s="285"/>
      <c r="G387" s="286"/>
      <c r="H387" s="286"/>
      <c r="I387" s="286"/>
      <c r="J387" s="286"/>
    </row>
    <row r="388" spans="1:10">
      <c r="A388" s="284"/>
      <c r="B388" s="282"/>
      <c r="C388" s="282"/>
      <c r="D388" s="282"/>
      <c r="E388" s="282"/>
      <c r="F388" s="285"/>
      <c r="G388" s="286"/>
      <c r="H388" s="286"/>
      <c r="I388" s="286"/>
      <c r="J388" s="286"/>
    </row>
    <row r="389" spans="1:10">
      <c r="A389" s="284"/>
      <c r="B389" s="282"/>
      <c r="C389" s="282"/>
      <c r="D389" s="282"/>
      <c r="E389" s="282"/>
      <c r="F389" s="285"/>
      <c r="G389" s="286"/>
      <c r="H389" s="286"/>
      <c r="I389" s="286"/>
      <c r="J389" s="286"/>
    </row>
    <row r="390" spans="1:10">
      <c r="A390" s="284"/>
      <c r="B390" s="282"/>
      <c r="C390" s="282"/>
      <c r="D390" s="282"/>
      <c r="E390" s="282"/>
      <c r="F390" s="285"/>
      <c r="G390" s="286"/>
      <c r="H390" s="286"/>
      <c r="I390" s="286"/>
      <c r="J390" s="286"/>
    </row>
    <row r="391" spans="1:10">
      <c r="A391" s="284"/>
      <c r="B391" s="282"/>
      <c r="C391" s="282"/>
      <c r="D391" s="282"/>
      <c r="E391" s="282"/>
      <c r="F391" s="285"/>
      <c r="G391" s="286"/>
      <c r="H391" s="286"/>
      <c r="I391" s="286"/>
      <c r="J391" s="286"/>
    </row>
    <row r="392" spans="1:10">
      <c r="A392" s="284"/>
      <c r="B392" s="282"/>
      <c r="C392" s="282"/>
      <c r="D392" s="282"/>
      <c r="E392" s="282"/>
      <c r="F392" s="285"/>
      <c r="G392" s="286"/>
      <c r="H392" s="286"/>
      <c r="I392" s="286"/>
      <c r="J392" s="286"/>
    </row>
    <row r="393" spans="1:10">
      <c r="A393" s="284"/>
      <c r="B393" s="282"/>
      <c r="C393" s="282"/>
      <c r="D393" s="282"/>
      <c r="E393" s="282"/>
      <c r="F393" s="285"/>
      <c r="G393" s="286"/>
      <c r="H393" s="286"/>
      <c r="I393" s="286"/>
      <c r="J393" s="286"/>
    </row>
    <row r="394" spans="1:10">
      <c r="A394" s="284"/>
      <c r="B394" s="282"/>
      <c r="C394" s="282"/>
      <c r="D394" s="282"/>
      <c r="E394" s="282"/>
      <c r="F394" s="285"/>
      <c r="G394" s="286"/>
      <c r="H394" s="286"/>
      <c r="I394" s="286"/>
      <c r="J394" s="286"/>
    </row>
    <row r="395" spans="1:10">
      <c r="A395" s="284"/>
      <c r="B395" s="282"/>
      <c r="C395" s="282"/>
      <c r="D395" s="282"/>
      <c r="E395" s="282"/>
      <c r="F395" s="285"/>
      <c r="G395" s="286"/>
      <c r="H395" s="286"/>
      <c r="I395" s="286"/>
      <c r="J395" s="286"/>
    </row>
    <row r="396" spans="1:10">
      <c r="A396" s="284"/>
      <c r="B396" s="282"/>
      <c r="C396" s="282"/>
      <c r="D396" s="282"/>
      <c r="E396" s="282"/>
      <c r="F396" s="285"/>
      <c r="G396" s="286"/>
      <c r="H396" s="286"/>
      <c r="I396" s="286"/>
      <c r="J396" s="286"/>
    </row>
    <row r="397" spans="1:10">
      <c r="A397" s="284"/>
      <c r="B397" s="282"/>
      <c r="C397" s="282"/>
      <c r="D397" s="282"/>
      <c r="E397" s="282"/>
      <c r="F397" s="285"/>
      <c r="G397" s="286"/>
      <c r="H397" s="286"/>
      <c r="I397" s="286"/>
      <c r="J397" s="286"/>
    </row>
    <row r="398" spans="1:10">
      <c r="A398" s="284"/>
      <c r="B398" s="282"/>
      <c r="C398" s="282"/>
      <c r="D398" s="282"/>
      <c r="E398" s="282"/>
      <c r="F398" s="285"/>
      <c r="G398" s="286"/>
      <c r="H398" s="286"/>
      <c r="I398" s="286"/>
      <c r="J398" s="286"/>
    </row>
    <row r="399" spans="1:10">
      <c r="A399" s="284"/>
      <c r="B399" s="282"/>
      <c r="C399" s="282"/>
      <c r="D399" s="282"/>
      <c r="E399" s="282"/>
      <c r="F399" s="285"/>
      <c r="G399" s="286"/>
      <c r="H399" s="286"/>
      <c r="I399" s="286"/>
      <c r="J399" s="286"/>
    </row>
    <row r="400" spans="1:10">
      <c r="A400" s="284"/>
      <c r="B400" s="282"/>
      <c r="C400" s="282"/>
      <c r="D400" s="282"/>
      <c r="E400" s="282"/>
      <c r="F400" s="285"/>
      <c r="G400" s="286"/>
      <c r="H400" s="286"/>
      <c r="I400" s="286"/>
      <c r="J400" s="286"/>
    </row>
    <row r="401" spans="1:10">
      <c r="A401" s="284"/>
      <c r="B401" s="282"/>
      <c r="C401" s="282"/>
      <c r="D401" s="282"/>
      <c r="E401" s="282"/>
      <c r="F401" s="285"/>
      <c r="G401" s="286"/>
      <c r="H401" s="286"/>
      <c r="I401" s="286"/>
      <c r="J401" s="286"/>
    </row>
    <row r="402" spans="1:10">
      <c r="A402" s="284"/>
      <c r="B402" s="282"/>
      <c r="C402" s="282"/>
      <c r="D402" s="282"/>
      <c r="E402" s="282"/>
      <c r="F402" s="285"/>
      <c r="G402" s="286"/>
      <c r="H402" s="286"/>
      <c r="I402" s="286"/>
      <c r="J402" s="286"/>
    </row>
    <row r="403" spans="1:10">
      <c r="A403" s="284"/>
      <c r="B403" s="282"/>
      <c r="C403" s="282"/>
      <c r="D403" s="282"/>
      <c r="E403" s="282"/>
      <c r="F403" s="285"/>
      <c r="G403" s="286"/>
      <c r="H403" s="286"/>
      <c r="I403" s="286"/>
      <c r="J403" s="286"/>
    </row>
    <row r="404" spans="1:10">
      <c r="A404" s="284"/>
      <c r="B404" s="282"/>
      <c r="C404" s="282"/>
      <c r="D404" s="282"/>
      <c r="E404" s="282"/>
      <c r="F404" s="285"/>
      <c r="G404" s="286"/>
      <c r="H404" s="286"/>
      <c r="I404" s="286"/>
      <c r="J404" s="286"/>
    </row>
    <row r="405" spans="1:10">
      <c r="A405" s="284"/>
      <c r="B405" s="282"/>
      <c r="C405" s="282"/>
      <c r="D405" s="282"/>
      <c r="E405" s="282"/>
      <c r="F405" s="285"/>
      <c r="G405" s="286"/>
      <c r="H405" s="286"/>
      <c r="I405" s="286"/>
      <c r="J405" s="286"/>
    </row>
    <row r="406" spans="1:10">
      <c r="A406" s="284"/>
      <c r="B406" s="282"/>
      <c r="C406" s="282"/>
      <c r="D406" s="282"/>
      <c r="E406" s="282"/>
      <c r="F406" s="285"/>
      <c r="G406" s="286"/>
      <c r="H406" s="286"/>
      <c r="I406" s="286"/>
      <c r="J406" s="286"/>
    </row>
    <row r="407" spans="1:10">
      <c r="A407" s="284"/>
      <c r="B407" s="282"/>
      <c r="C407" s="282"/>
      <c r="D407" s="282"/>
      <c r="E407" s="282"/>
      <c r="F407" s="285"/>
      <c r="G407" s="286"/>
      <c r="H407" s="286"/>
      <c r="I407" s="286"/>
      <c r="J407" s="286"/>
    </row>
    <row r="408" spans="1:10">
      <c r="A408" s="284"/>
      <c r="B408" s="282"/>
      <c r="C408" s="282"/>
      <c r="D408" s="282"/>
      <c r="E408" s="282"/>
      <c r="F408" s="285"/>
      <c r="G408" s="286"/>
      <c r="H408" s="286"/>
      <c r="I408" s="286"/>
      <c r="J408" s="286"/>
    </row>
    <row r="409" spans="1:10">
      <c r="A409" s="284"/>
      <c r="B409" s="282"/>
      <c r="C409" s="282"/>
      <c r="D409" s="282"/>
      <c r="E409" s="282"/>
      <c r="F409" s="285"/>
      <c r="G409" s="286"/>
      <c r="H409" s="286"/>
      <c r="I409" s="286"/>
      <c r="J409" s="286"/>
    </row>
    <row r="410" spans="1:10">
      <c r="A410" s="284"/>
      <c r="B410" s="282"/>
      <c r="C410" s="282"/>
      <c r="D410" s="282"/>
      <c r="E410" s="282"/>
      <c r="F410" s="285"/>
      <c r="G410" s="286"/>
      <c r="H410" s="286"/>
      <c r="I410" s="286"/>
      <c r="J410" s="286"/>
    </row>
    <row r="411" spans="1:10">
      <c r="A411" s="284"/>
      <c r="B411" s="282"/>
      <c r="C411" s="282"/>
      <c r="D411" s="282"/>
      <c r="E411" s="282"/>
      <c r="F411" s="285"/>
      <c r="G411" s="286"/>
      <c r="H411" s="286"/>
      <c r="I411" s="286"/>
      <c r="J411" s="286"/>
    </row>
    <row r="412" spans="1:10">
      <c r="A412" s="284"/>
      <c r="B412" s="282"/>
      <c r="C412" s="282"/>
      <c r="D412" s="282"/>
      <c r="E412" s="282"/>
      <c r="F412" s="285"/>
      <c r="G412" s="286"/>
      <c r="H412" s="286"/>
      <c r="I412" s="286"/>
      <c r="J412" s="286"/>
    </row>
    <row r="413" spans="1:10">
      <c r="A413" s="284"/>
      <c r="B413" s="282"/>
      <c r="C413" s="282"/>
      <c r="D413" s="282"/>
      <c r="E413" s="282"/>
      <c r="F413" s="285"/>
      <c r="G413" s="286"/>
      <c r="H413" s="286"/>
      <c r="I413" s="286"/>
      <c r="J413" s="286"/>
    </row>
    <row r="414" spans="1:10">
      <c r="A414" s="284"/>
      <c r="B414" s="282"/>
      <c r="C414" s="282"/>
      <c r="D414" s="282"/>
      <c r="E414" s="282"/>
      <c r="F414" s="285"/>
      <c r="G414" s="286"/>
      <c r="H414" s="286"/>
      <c r="I414" s="286"/>
      <c r="J414" s="286"/>
    </row>
    <row r="415" spans="1:10">
      <c r="A415" s="284"/>
      <c r="B415" s="282"/>
      <c r="C415" s="282"/>
      <c r="D415" s="282"/>
      <c r="E415" s="282"/>
      <c r="F415" s="285"/>
      <c r="G415" s="286"/>
      <c r="H415" s="286"/>
      <c r="I415" s="286"/>
      <c r="J415" s="286"/>
    </row>
    <row r="416" spans="1:10">
      <c r="A416" s="284"/>
      <c r="B416" s="282"/>
      <c r="C416" s="282"/>
      <c r="D416" s="282"/>
      <c r="E416" s="282"/>
      <c r="F416" s="285"/>
      <c r="G416" s="286"/>
      <c r="H416" s="286"/>
      <c r="I416" s="286"/>
      <c r="J416" s="286"/>
    </row>
    <row r="417" spans="1:10">
      <c r="A417" s="284"/>
      <c r="B417" s="282"/>
      <c r="C417" s="282"/>
      <c r="D417" s="282"/>
      <c r="E417" s="282"/>
      <c r="F417" s="285"/>
      <c r="G417" s="286"/>
      <c r="H417" s="286"/>
      <c r="I417" s="286"/>
      <c r="J417" s="286"/>
    </row>
    <row r="418" spans="1:10">
      <c r="A418" s="284"/>
      <c r="B418" s="282"/>
      <c r="C418" s="282"/>
      <c r="D418" s="282"/>
      <c r="E418" s="282"/>
      <c r="F418" s="285"/>
      <c r="G418" s="286"/>
      <c r="H418" s="286"/>
      <c r="I418" s="286"/>
      <c r="J418" s="286"/>
    </row>
    <row r="419" spans="1:10">
      <c r="A419" s="284"/>
      <c r="B419" s="282"/>
      <c r="C419" s="282"/>
      <c r="D419" s="282"/>
      <c r="E419" s="282"/>
      <c r="F419" s="285"/>
      <c r="G419" s="286"/>
      <c r="H419" s="286"/>
      <c r="I419" s="286"/>
      <c r="J419" s="286"/>
    </row>
    <row r="420" spans="1:10">
      <c r="A420" s="284"/>
      <c r="B420" s="282"/>
      <c r="C420" s="282"/>
      <c r="D420" s="282"/>
      <c r="E420" s="282"/>
      <c r="F420" s="285"/>
      <c r="G420" s="286"/>
      <c r="H420" s="286"/>
      <c r="I420" s="286"/>
      <c r="J420" s="286"/>
    </row>
    <row r="421" spans="1:10">
      <c r="A421" s="284"/>
      <c r="B421" s="282"/>
      <c r="C421" s="282"/>
      <c r="D421" s="282"/>
      <c r="E421" s="282"/>
      <c r="F421" s="285"/>
      <c r="G421" s="286"/>
      <c r="H421" s="286"/>
      <c r="I421" s="286"/>
      <c r="J421" s="286"/>
    </row>
    <row r="422" spans="1:10">
      <c r="A422" s="284"/>
      <c r="B422" s="282"/>
      <c r="C422" s="282"/>
      <c r="D422" s="282"/>
      <c r="E422" s="282"/>
      <c r="F422" s="285"/>
      <c r="G422" s="286"/>
      <c r="H422" s="286"/>
      <c r="I422" s="286"/>
      <c r="J422" s="286"/>
    </row>
    <row r="423" spans="1:10">
      <c r="A423" s="284"/>
      <c r="B423" s="282"/>
      <c r="C423" s="282"/>
      <c r="D423" s="282"/>
      <c r="E423" s="282"/>
      <c r="F423" s="285"/>
      <c r="G423" s="286"/>
      <c r="H423" s="286"/>
      <c r="I423" s="286"/>
      <c r="J423" s="286"/>
    </row>
    <row r="424" spans="1:10">
      <c r="A424" s="284"/>
      <c r="B424" s="282"/>
      <c r="C424" s="282"/>
      <c r="D424" s="282"/>
      <c r="E424" s="282"/>
      <c r="F424" s="285"/>
      <c r="G424" s="286"/>
      <c r="H424" s="286"/>
      <c r="I424" s="286"/>
      <c r="J424" s="286"/>
    </row>
    <row r="425" spans="1:10">
      <c r="A425" s="284"/>
      <c r="B425" s="282"/>
      <c r="C425" s="282"/>
      <c r="D425" s="282"/>
      <c r="E425" s="282"/>
      <c r="F425" s="285"/>
      <c r="G425" s="286"/>
      <c r="H425" s="286"/>
      <c r="I425" s="286"/>
      <c r="J425" s="286"/>
    </row>
    <row r="426" spans="1:10">
      <c r="A426" s="284"/>
      <c r="B426" s="282"/>
      <c r="C426" s="282"/>
      <c r="D426" s="282"/>
      <c r="E426" s="282"/>
      <c r="F426" s="285"/>
      <c r="G426" s="286"/>
      <c r="H426" s="286"/>
      <c r="I426" s="286"/>
      <c r="J426" s="286"/>
    </row>
    <row r="427" spans="1:10">
      <c r="A427" s="284"/>
      <c r="B427" s="282"/>
      <c r="C427" s="282"/>
      <c r="D427" s="282"/>
      <c r="E427" s="282"/>
      <c r="F427" s="285"/>
      <c r="G427" s="286"/>
      <c r="H427" s="286"/>
      <c r="I427" s="286"/>
      <c r="J427" s="286"/>
    </row>
    <row r="428" spans="1:10">
      <c r="A428" s="284"/>
      <c r="B428" s="282"/>
      <c r="C428" s="282"/>
      <c r="D428" s="282"/>
      <c r="E428" s="282"/>
      <c r="F428" s="285"/>
      <c r="G428" s="286"/>
      <c r="H428" s="286"/>
      <c r="I428" s="286"/>
      <c r="J428" s="286"/>
    </row>
    <row r="429" spans="1:10">
      <c r="A429" s="284"/>
      <c r="B429" s="282"/>
      <c r="C429" s="282"/>
      <c r="D429" s="282"/>
      <c r="E429" s="282"/>
      <c r="F429" s="285"/>
      <c r="G429" s="286"/>
      <c r="H429" s="286"/>
      <c r="I429" s="286"/>
      <c r="J429" s="286"/>
    </row>
    <row r="430" spans="1:10">
      <c r="A430" s="284"/>
      <c r="B430" s="282"/>
      <c r="C430" s="282"/>
      <c r="D430" s="282"/>
      <c r="E430" s="282"/>
      <c r="F430" s="285"/>
      <c r="G430" s="286"/>
      <c r="H430" s="286"/>
      <c r="I430" s="286"/>
      <c r="J430" s="286"/>
    </row>
    <row r="431" spans="1:10">
      <c r="A431" s="284"/>
      <c r="B431" s="282"/>
      <c r="C431" s="282"/>
      <c r="D431" s="282"/>
      <c r="E431" s="282"/>
      <c r="F431" s="285"/>
      <c r="G431" s="286"/>
      <c r="H431" s="286"/>
      <c r="I431" s="286"/>
      <c r="J431" s="286"/>
    </row>
    <row r="432" spans="1:10">
      <c r="A432" s="284"/>
      <c r="B432" s="282"/>
      <c r="C432" s="282"/>
      <c r="D432" s="282"/>
      <c r="E432" s="282"/>
      <c r="F432" s="285"/>
      <c r="G432" s="286"/>
      <c r="H432" s="286"/>
      <c r="I432" s="286"/>
      <c r="J432" s="286"/>
    </row>
    <row r="433" spans="1:10">
      <c r="A433" s="284"/>
      <c r="B433" s="282"/>
      <c r="C433" s="282"/>
      <c r="D433" s="282"/>
      <c r="E433" s="282"/>
      <c r="F433" s="285"/>
      <c r="G433" s="286"/>
      <c r="H433" s="286"/>
      <c r="I433" s="286"/>
      <c r="J433" s="286"/>
    </row>
    <row r="434" spans="1:10">
      <c r="A434" s="284"/>
      <c r="B434" s="282"/>
      <c r="C434" s="282"/>
      <c r="D434" s="282"/>
      <c r="E434" s="282"/>
      <c r="F434" s="285"/>
      <c r="G434" s="286"/>
      <c r="H434" s="286"/>
      <c r="I434" s="286"/>
      <c r="J434" s="286"/>
    </row>
    <row r="435" spans="1:10">
      <c r="A435" s="284"/>
      <c r="B435" s="282"/>
      <c r="C435" s="282"/>
      <c r="D435" s="282"/>
      <c r="E435" s="282"/>
      <c r="F435" s="285"/>
      <c r="G435" s="286"/>
      <c r="H435" s="286"/>
      <c r="I435" s="286"/>
      <c r="J435" s="286"/>
    </row>
    <row r="436" spans="1:10">
      <c r="A436" s="284"/>
      <c r="B436" s="282"/>
      <c r="C436" s="282"/>
      <c r="D436" s="282"/>
      <c r="E436" s="282"/>
      <c r="F436" s="285"/>
      <c r="G436" s="286"/>
      <c r="H436" s="286"/>
      <c r="I436" s="286"/>
      <c r="J436" s="286"/>
    </row>
    <row r="437" spans="1:10">
      <c r="A437" s="284"/>
      <c r="B437" s="282"/>
      <c r="C437" s="282"/>
      <c r="D437" s="282"/>
      <c r="E437" s="282"/>
      <c r="F437" s="285"/>
      <c r="G437" s="286"/>
      <c r="H437" s="286"/>
      <c r="I437" s="286"/>
      <c r="J437" s="286"/>
    </row>
    <row r="438" spans="1:10">
      <c r="A438" s="284"/>
      <c r="B438" s="282"/>
      <c r="C438" s="282"/>
      <c r="D438" s="282"/>
      <c r="E438" s="282"/>
      <c r="F438" s="285"/>
      <c r="G438" s="286"/>
      <c r="H438" s="286"/>
      <c r="I438" s="286"/>
      <c r="J438" s="286"/>
    </row>
    <row r="439" spans="1:10">
      <c r="A439" s="284"/>
      <c r="B439" s="282"/>
      <c r="C439" s="282"/>
      <c r="D439" s="282"/>
      <c r="E439" s="282"/>
      <c r="F439" s="285"/>
      <c r="G439" s="286"/>
      <c r="H439" s="286"/>
      <c r="I439" s="286"/>
      <c r="J439" s="286"/>
    </row>
    <row r="440" spans="1:10">
      <c r="A440" s="284"/>
      <c r="B440" s="282"/>
      <c r="C440" s="282"/>
      <c r="D440" s="282"/>
      <c r="E440" s="282"/>
      <c r="F440" s="285"/>
      <c r="G440" s="286"/>
      <c r="H440" s="286"/>
      <c r="I440" s="286"/>
      <c r="J440" s="286"/>
    </row>
    <row r="441" spans="1:10">
      <c r="A441" s="284"/>
      <c r="B441" s="282"/>
      <c r="C441" s="282"/>
      <c r="D441" s="282"/>
      <c r="E441" s="282"/>
      <c r="F441" s="285"/>
      <c r="G441" s="286"/>
      <c r="H441" s="286"/>
      <c r="I441" s="286"/>
      <c r="J441" s="286"/>
    </row>
    <row r="442" spans="1:10">
      <c r="A442" s="284"/>
      <c r="B442" s="282"/>
      <c r="C442" s="282"/>
      <c r="D442" s="282"/>
      <c r="E442" s="282"/>
      <c r="F442" s="285"/>
      <c r="G442" s="286"/>
      <c r="H442" s="286"/>
      <c r="I442" s="286"/>
      <c r="J442" s="286"/>
    </row>
    <row r="443" spans="1:10">
      <c r="A443" s="284"/>
      <c r="B443" s="282"/>
      <c r="C443" s="282"/>
      <c r="D443" s="282"/>
      <c r="E443" s="282"/>
      <c r="F443" s="285"/>
      <c r="G443" s="286"/>
      <c r="H443" s="286"/>
      <c r="I443" s="286"/>
      <c r="J443" s="286"/>
    </row>
    <row r="444" spans="1:10">
      <c r="A444" s="284"/>
      <c r="B444" s="282"/>
      <c r="C444" s="282"/>
      <c r="D444" s="282"/>
      <c r="E444" s="282"/>
      <c r="F444" s="285"/>
      <c r="G444" s="286"/>
      <c r="H444" s="286"/>
      <c r="I444" s="286"/>
      <c r="J444" s="286"/>
    </row>
    <row r="445" spans="1:10">
      <c r="A445" s="284"/>
      <c r="B445" s="282"/>
      <c r="C445" s="282"/>
      <c r="D445" s="282"/>
      <c r="E445" s="282"/>
      <c r="F445" s="285"/>
      <c r="G445" s="286"/>
      <c r="H445" s="286"/>
      <c r="I445" s="286"/>
      <c r="J445" s="286"/>
    </row>
    <row r="446" spans="1:10">
      <c r="A446" s="284"/>
      <c r="B446" s="282"/>
      <c r="C446" s="282"/>
      <c r="D446" s="282"/>
      <c r="E446" s="282"/>
      <c r="F446" s="285"/>
      <c r="G446" s="286"/>
      <c r="H446" s="286"/>
      <c r="I446" s="286"/>
      <c r="J446" s="286"/>
    </row>
    <row r="447" spans="1:10">
      <c r="A447" s="284"/>
      <c r="B447" s="282"/>
      <c r="C447" s="282"/>
      <c r="D447" s="282"/>
      <c r="E447" s="282"/>
      <c r="F447" s="285"/>
      <c r="G447" s="286"/>
      <c r="H447" s="286"/>
      <c r="I447" s="286"/>
      <c r="J447" s="286"/>
    </row>
    <row r="448" spans="1:10">
      <c r="A448" s="284"/>
      <c r="B448" s="282"/>
      <c r="C448" s="282"/>
      <c r="D448" s="282"/>
      <c r="E448" s="282"/>
      <c r="F448" s="285"/>
      <c r="G448" s="286"/>
      <c r="H448" s="286"/>
      <c r="I448" s="286"/>
      <c r="J448" s="286"/>
    </row>
    <row r="449" spans="1:10">
      <c r="A449" s="284"/>
      <c r="B449" s="282"/>
      <c r="C449" s="282"/>
      <c r="D449" s="282"/>
      <c r="E449" s="282"/>
      <c r="F449" s="285"/>
      <c r="G449" s="286"/>
      <c r="H449" s="286"/>
      <c r="I449" s="286"/>
      <c r="J449" s="286"/>
    </row>
    <row r="450" spans="1:10">
      <c r="A450" s="284"/>
      <c r="B450" s="282"/>
      <c r="C450" s="282"/>
      <c r="D450" s="282"/>
      <c r="E450" s="282"/>
      <c r="F450" s="285"/>
      <c r="G450" s="286"/>
      <c r="H450" s="286"/>
      <c r="I450" s="286"/>
      <c r="J450" s="286"/>
    </row>
    <row r="451" spans="1:10">
      <c r="A451" s="284"/>
      <c r="B451" s="282"/>
      <c r="C451" s="282"/>
      <c r="D451" s="282"/>
      <c r="E451" s="282"/>
      <c r="F451" s="285"/>
      <c r="G451" s="286"/>
      <c r="H451" s="286"/>
      <c r="I451" s="286"/>
      <c r="J451" s="286"/>
    </row>
    <row r="452" spans="1:10">
      <c r="A452" s="284"/>
      <c r="B452" s="282"/>
      <c r="C452" s="282"/>
      <c r="D452" s="282"/>
      <c r="E452" s="282"/>
      <c r="F452" s="285"/>
      <c r="G452" s="286"/>
      <c r="H452" s="286"/>
      <c r="I452" s="286"/>
      <c r="J452" s="286"/>
    </row>
    <row r="453" spans="1:10">
      <c r="A453" s="284"/>
      <c r="B453" s="282"/>
      <c r="C453" s="282"/>
      <c r="D453" s="282"/>
      <c r="E453" s="282"/>
      <c r="F453" s="285"/>
      <c r="G453" s="286"/>
      <c r="H453" s="286"/>
      <c r="I453" s="286"/>
      <c r="J453" s="286"/>
    </row>
    <row r="454" spans="1:10">
      <c r="A454" s="284"/>
      <c r="B454" s="282"/>
      <c r="C454" s="282"/>
      <c r="D454" s="282"/>
      <c r="E454" s="282"/>
      <c r="F454" s="285"/>
      <c r="G454" s="286"/>
      <c r="H454" s="286"/>
      <c r="I454" s="286"/>
      <c r="J454" s="286"/>
    </row>
    <row r="455" spans="1:10">
      <c r="A455" s="284"/>
      <c r="B455" s="282"/>
      <c r="C455" s="282"/>
      <c r="D455" s="282"/>
      <c r="E455" s="282"/>
      <c r="F455" s="285"/>
      <c r="G455" s="286"/>
      <c r="H455" s="286"/>
      <c r="I455" s="286"/>
      <c r="J455" s="286"/>
    </row>
    <row r="456" spans="1:10">
      <c r="A456" s="284"/>
      <c r="B456" s="282"/>
      <c r="C456" s="282"/>
      <c r="D456" s="282"/>
      <c r="E456" s="282"/>
      <c r="F456" s="285"/>
      <c r="G456" s="286"/>
      <c r="H456" s="286"/>
      <c r="I456" s="286"/>
      <c r="J456" s="286"/>
    </row>
    <row r="457" spans="1:10">
      <c r="A457" s="284"/>
      <c r="B457" s="282"/>
      <c r="C457" s="282"/>
      <c r="D457" s="282"/>
      <c r="E457" s="282"/>
      <c r="F457" s="285"/>
      <c r="G457" s="286"/>
      <c r="H457" s="286"/>
      <c r="I457" s="286"/>
      <c r="J457" s="286"/>
    </row>
    <row r="458" spans="1:10">
      <c r="A458" s="284"/>
      <c r="B458" s="282"/>
      <c r="C458" s="282"/>
      <c r="D458" s="282"/>
      <c r="E458" s="282"/>
      <c r="F458" s="285"/>
      <c r="G458" s="286"/>
      <c r="H458" s="286"/>
      <c r="I458" s="286"/>
      <c r="J458" s="286"/>
    </row>
    <row r="459" spans="1:10">
      <c r="A459" s="284"/>
      <c r="B459" s="282"/>
      <c r="C459" s="282"/>
      <c r="D459" s="282"/>
      <c r="E459" s="282"/>
      <c r="F459" s="285"/>
      <c r="G459" s="286"/>
      <c r="H459" s="286"/>
      <c r="I459" s="286"/>
      <c r="J459" s="286"/>
    </row>
    <row r="460" spans="1:10">
      <c r="A460" s="284"/>
      <c r="B460" s="282"/>
      <c r="C460" s="282"/>
      <c r="D460" s="282"/>
      <c r="E460" s="282"/>
      <c r="F460" s="285"/>
      <c r="G460" s="286"/>
      <c r="H460" s="286"/>
      <c r="I460" s="286"/>
      <c r="J460" s="286"/>
    </row>
    <row r="461" spans="1:10">
      <c r="A461" s="284"/>
      <c r="B461" s="282"/>
      <c r="C461" s="282"/>
      <c r="D461" s="282"/>
      <c r="E461" s="282"/>
      <c r="F461" s="285"/>
      <c r="G461" s="286"/>
      <c r="H461" s="286"/>
      <c r="I461" s="286"/>
      <c r="J461" s="286"/>
    </row>
    <row r="462" spans="1:10">
      <c r="A462" s="284"/>
      <c r="B462" s="282"/>
      <c r="C462" s="282"/>
      <c r="D462" s="282"/>
      <c r="E462" s="282"/>
      <c r="F462" s="285"/>
      <c r="G462" s="286"/>
      <c r="H462" s="286"/>
      <c r="I462" s="286"/>
      <c r="J462" s="286"/>
    </row>
    <row r="463" spans="1:10">
      <c r="A463" s="284"/>
      <c r="B463" s="282"/>
      <c r="C463" s="282"/>
      <c r="D463" s="282"/>
      <c r="E463" s="282"/>
      <c r="F463" s="285"/>
      <c r="G463" s="286"/>
      <c r="H463" s="286"/>
      <c r="I463" s="286"/>
      <c r="J463" s="286"/>
    </row>
    <row r="464" spans="1:10">
      <c r="A464" s="284"/>
      <c r="B464" s="282"/>
      <c r="C464" s="282"/>
      <c r="D464" s="282"/>
      <c r="E464" s="282"/>
      <c r="F464" s="285"/>
      <c r="G464" s="286"/>
      <c r="H464" s="286"/>
      <c r="I464" s="286"/>
      <c r="J464" s="286"/>
    </row>
    <row r="465" spans="1:10">
      <c r="A465" s="284"/>
      <c r="B465" s="282"/>
      <c r="C465" s="282"/>
      <c r="D465" s="282"/>
      <c r="E465" s="282"/>
      <c r="F465" s="285"/>
      <c r="G465" s="286"/>
      <c r="H465" s="286"/>
      <c r="I465" s="286"/>
      <c r="J465" s="286"/>
    </row>
    <row r="466" spans="1:10">
      <c r="A466" s="284"/>
      <c r="B466" s="282"/>
      <c r="C466" s="282"/>
      <c r="D466" s="282"/>
      <c r="E466" s="282"/>
      <c r="F466" s="285"/>
      <c r="G466" s="286"/>
      <c r="H466" s="286"/>
      <c r="I466" s="286"/>
      <c r="J466" s="286"/>
    </row>
    <row r="467" spans="1:10">
      <c r="A467" s="284"/>
      <c r="B467" s="282"/>
      <c r="C467" s="282"/>
      <c r="D467" s="282"/>
      <c r="E467" s="282"/>
      <c r="F467" s="285"/>
      <c r="G467" s="286"/>
      <c r="H467" s="286"/>
      <c r="I467" s="286"/>
      <c r="J467" s="286"/>
    </row>
    <row r="468" spans="1:10">
      <c r="A468" s="284"/>
      <c r="B468" s="282"/>
      <c r="C468" s="282"/>
      <c r="D468" s="282"/>
      <c r="E468" s="282"/>
      <c r="F468" s="285"/>
      <c r="G468" s="286"/>
      <c r="H468" s="286"/>
      <c r="I468" s="286"/>
      <c r="J468" s="286"/>
    </row>
    <row r="469" spans="1:10">
      <c r="A469" s="284"/>
      <c r="B469" s="282"/>
      <c r="C469" s="282"/>
      <c r="D469" s="282"/>
      <c r="E469" s="282"/>
      <c r="F469" s="285"/>
      <c r="G469" s="286"/>
      <c r="H469" s="286"/>
      <c r="I469" s="286"/>
      <c r="J469" s="286"/>
    </row>
    <row r="470" spans="1:10">
      <c r="A470" s="284"/>
      <c r="B470" s="282"/>
      <c r="C470" s="282"/>
      <c r="D470" s="282"/>
      <c r="E470" s="282"/>
      <c r="F470" s="285"/>
      <c r="G470" s="286"/>
      <c r="H470" s="286"/>
      <c r="I470" s="286"/>
      <c r="J470" s="286"/>
    </row>
    <row r="471" spans="1:10">
      <c r="A471" s="284"/>
      <c r="B471" s="282"/>
      <c r="C471" s="282"/>
      <c r="D471" s="282"/>
      <c r="E471" s="282"/>
      <c r="F471" s="285"/>
      <c r="G471" s="286"/>
      <c r="H471" s="286"/>
      <c r="I471" s="286"/>
      <c r="J471" s="286"/>
    </row>
    <row r="472" spans="1:10">
      <c r="A472" s="284"/>
      <c r="B472" s="282"/>
      <c r="C472" s="282"/>
      <c r="D472" s="282"/>
      <c r="E472" s="282"/>
      <c r="F472" s="285"/>
      <c r="G472" s="286"/>
      <c r="H472" s="286"/>
      <c r="I472" s="286"/>
      <c r="J472" s="286"/>
    </row>
    <row r="473" spans="1:10">
      <c r="A473" s="284"/>
      <c r="B473" s="282"/>
      <c r="C473" s="282"/>
      <c r="D473" s="282"/>
      <c r="E473" s="282"/>
      <c r="F473" s="285"/>
      <c r="G473" s="286"/>
      <c r="H473" s="286"/>
      <c r="I473" s="286"/>
      <c r="J473" s="286"/>
    </row>
    <row r="474" spans="1:10">
      <c r="A474" s="284"/>
      <c r="B474" s="282"/>
      <c r="C474" s="282"/>
      <c r="D474" s="282"/>
      <c r="E474" s="282"/>
      <c r="F474" s="285"/>
      <c r="G474" s="286"/>
      <c r="H474" s="286"/>
      <c r="I474" s="286"/>
      <c r="J474" s="286"/>
    </row>
    <row r="475" spans="1:10">
      <c r="A475" s="284"/>
      <c r="B475" s="282"/>
      <c r="C475" s="282"/>
      <c r="D475" s="282"/>
      <c r="E475" s="282"/>
      <c r="F475" s="285"/>
      <c r="G475" s="286"/>
      <c r="H475" s="286"/>
      <c r="I475" s="286"/>
      <c r="J475" s="286"/>
    </row>
    <row r="476" spans="1:10">
      <c r="A476" s="284"/>
      <c r="B476" s="282"/>
      <c r="C476" s="282"/>
      <c r="D476" s="282"/>
      <c r="E476" s="282"/>
      <c r="F476" s="285"/>
      <c r="G476" s="286"/>
      <c r="H476" s="286"/>
      <c r="I476" s="286"/>
      <c r="J476" s="286"/>
    </row>
    <row r="477" spans="1:10">
      <c r="A477" s="284"/>
      <c r="B477" s="282"/>
      <c r="C477" s="282"/>
      <c r="D477" s="282"/>
      <c r="E477" s="282"/>
      <c r="F477" s="285"/>
      <c r="G477" s="286"/>
      <c r="H477" s="286"/>
      <c r="I477" s="286"/>
      <c r="J477" s="286"/>
    </row>
    <row r="478" spans="1:10">
      <c r="A478" s="284"/>
      <c r="B478" s="282"/>
      <c r="C478" s="282"/>
      <c r="D478" s="282"/>
      <c r="E478" s="282"/>
      <c r="F478" s="285"/>
      <c r="G478" s="286"/>
      <c r="H478" s="286"/>
      <c r="I478" s="286"/>
      <c r="J478" s="286"/>
    </row>
    <row r="479" spans="1:10">
      <c r="A479" s="284"/>
      <c r="B479" s="282"/>
      <c r="C479" s="282"/>
      <c r="D479" s="282"/>
      <c r="E479" s="282"/>
      <c r="F479" s="285"/>
      <c r="G479" s="286"/>
      <c r="H479" s="286"/>
      <c r="I479" s="286"/>
      <c r="J479" s="286"/>
    </row>
    <row r="480" spans="1:10">
      <c r="A480" s="284"/>
      <c r="B480" s="282"/>
      <c r="C480" s="282"/>
      <c r="D480" s="282"/>
      <c r="E480" s="282"/>
      <c r="F480" s="285"/>
      <c r="G480" s="286"/>
      <c r="H480" s="286"/>
      <c r="I480" s="286"/>
      <c r="J480" s="286"/>
    </row>
    <row r="481" spans="1:10">
      <c r="A481" s="284"/>
      <c r="B481" s="282"/>
      <c r="C481" s="282"/>
      <c r="D481" s="282"/>
      <c r="E481" s="282"/>
      <c r="F481" s="285"/>
      <c r="G481" s="286"/>
      <c r="H481" s="286"/>
      <c r="I481" s="286"/>
      <c r="J481" s="286"/>
    </row>
    <row r="482" spans="1:10">
      <c r="A482" s="284"/>
      <c r="B482" s="282"/>
      <c r="C482" s="282"/>
      <c r="D482" s="282"/>
      <c r="E482" s="282"/>
      <c r="F482" s="285"/>
      <c r="G482" s="286"/>
      <c r="H482" s="286"/>
      <c r="I482" s="286"/>
      <c r="J482" s="286"/>
    </row>
    <row r="483" spans="1:10">
      <c r="A483" s="284"/>
      <c r="B483" s="282"/>
      <c r="C483" s="282"/>
      <c r="D483" s="282"/>
      <c r="E483" s="282"/>
      <c r="F483" s="285"/>
      <c r="G483" s="286"/>
      <c r="H483" s="286"/>
      <c r="I483" s="286"/>
      <c r="J483" s="286"/>
    </row>
    <row r="484" spans="1:10">
      <c r="A484" s="284"/>
      <c r="B484" s="282"/>
      <c r="C484" s="282"/>
      <c r="D484" s="282"/>
      <c r="E484" s="282"/>
      <c r="F484" s="285"/>
      <c r="G484" s="286"/>
      <c r="H484" s="286"/>
      <c r="I484" s="286"/>
      <c r="J484" s="286"/>
    </row>
    <row r="485" spans="1:10">
      <c r="A485" s="284"/>
      <c r="B485" s="282"/>
      <c r="C485" s="282"/>
      <c r="D485" s="282"/>
      <c r="E485" s="282"/>
      <c r="F485" s="285"/>
      <c r="G485" s="286"/>
      <c r="H485" s="286"/>
      <c r="I485" s="286"/>
      <c r="J485" s="286"/>
    </row>
    <row r="486" spans="1:10">
      <c r="A486" s="284"/>
      <c r="B486" s="282"/>
      <c r="C486" s="282"/>
      <c r="D486" s="282"/>
      <c r="E486" s="282"/>
      <c r="F486" s="285"/>
      <c r="G486" s="286"/>
      <c r="H486" s="286"/>
      <c r="I486" s="286"/>
      <c r="J486" s="286"/>
    </row>
    <row r="487" spans="1:10">
      <c r="A487" s="284"/>
      <c r="B487" s="282"/>
      <c r="C487" s="282"/>
      <c r="D487" s="282"/>
      <c r="E487" s="282"/>
      <c r="F487" s="285"/>
      <c r="G487" s="286"/>
      <c r="H487" s="286"/>
      <c r="I487" s="286"/>
      <c r="J487" s="286"/>
    </row>
    <row r="488" spans="1:10">
      <c r="A488" s="284"/>
      <c r="B488" s="282"/>
      <c r="C488" s="282"/>
      <c r="D488" s="282"/>
      <c r="E488" s="282"/>
      <c r="F488" s="285"/>
      <c r="G488" s="286"/>
      <c r="H488" s="286"/>
      <c r="I488" s="286"/>
      <c r="J488" s="286"/>
    </row>
    <row r="489" spans="1:10">
      <c r="A489" s="284"/>
      <c r="B489" s="282"/>
      <c r="C489" s="282"/>
      <c r="D489" s="282"/>
      <c r="E489" s="282"/>
      <c r="F489" s="285"/>
      <c r="G489" s="286"/>
      <c r="H489" s="286"/>
      <c r="I489" s="286"/>
      <c r="J489" s="286"/>
    </row>
    <row r="490" spans="1:10">
      <c r="A490" s="284"/>
      <c r="B490" s="282"/>
      <c r="C490" s="282"/>
      <c r="D490" s="282"/>
      <c r="E490" s="282"/>
      <c r="F490" s="285"/>
      <c r="G490" s="286"/>
      <c r="H490" s="286"/>
      <c r="I490" s="286"/>
      <c r="J490" s="286"/>
    </row>
    <row r="491" spans="1:10">
      <c r="A491" s="284"/>
      <c r="B491" s="282"/>
      <c r="C491" s="282"/>
      <c r="D491" s="282"/>
      <c r="E491" s="282"/>
      <c r="F491" s="285"/>
      <c r="G491" s="286"/>
      <c r="H491" s="286"/>
      <c r="I491" s="286"/>
      <c r="J491" s="286"/>
    </row>
    <row r="492" spans="1:10">
      <c r="A492" s="284"/>
      <c r="B492" s="282"/>
      <c r="C492" s="282"/>
      <c r="D492" s="282"/>
      <c r="E492" s="282"/>
      <c r="F492" s="285"/>
      <c r="G492" s="286"/>
      <c r="H492" s="286"/>
      <c r="I492" s="286"/>
      <c r="J492" s="286"/>
    </row>
    <row r="493" spans="1:10">
      <c r="A493" s="284"/>
      <c r="B493" s="282"/>
      <c r="C493" s="282"/>
      <c r="D493" s="282"/>
      <c r="E493" s="282"/>
      <c r="F493" s="285"/>
      <c r="G493" s="286"/>
      <c r="H493" s="286"/>
      <c r="I493" s="286"/>
      <c r="J493" s="286"/>
    </row>
    <row r="494" spans="1:10">
      <c r="A494" s="284"/>
      <c r="B494" s="282"/>
      <c r="C494" s="282"/>
      <c r="D494" s="282"/>
      <c r="E494" s="282"/>
      <c r="F494" s="285"/>
      <c r="G494" s="286"/>
      <c r="H494" s="286"/>
      <c r="I494" s="286"/>
      <c r="J494" s="286"/>
    </row>
    <row r="495" spans="1:10">
      <c r="A495" s="284"/>
      <c r="B495" s="282"/>
      <c r="C495" s="282"/>
      <c r="D495" s="282"/>
      <c r="E495" s="282"/>
      <c r="F495" s="285"/>
      <c r="G495" s="286"/>
      <c r="H495" s="286"/>
      <c r="I495" s="286"/>
      <c r="J495" s="286"/>
    </row>
    <row r="496" spans="1:10">
      <c r="A496" s="284"/>
      <c r="B496" s="282"/>
      <c r="C496" s="282"/>
      <c r="D496" s="282"/>
      <c r="E496" s="282"/>
      <c r="F496" s="285"/>
      <c r="G496" s="286"/>
      <c r="H496" s="286"/>
      <c r="I496" s="286"/>
      <c r="J496" s="286"/>
    </row>
    <row r="497" spans="1:10">
      <c r="A497" s="284"/>
      <c r="B497" s="282"/>
      <c r="C497" s="282"/>
      <c r="D497" s="282"/>
      <c r="E497" s="282"/>
      <c r="F497" s="285"/>
      <c r="G497" s="286"/>
      <c r="H497" s="286"/>
      <c r="I497" s="286"/>
      <c r="J497" s="286"/>
    </row>
    <row r="498" spans="1:10">
      <c r="A498" s="284"/>
      <c r="B498" s="282"/>
      <c r="C498" s="282"/>
      <c r="D498" s="282"/>
      <c r="E498" s="282"/>
      <c r="F498" s="285"/>
      <c r="G498" s="286"/>
      <c r="H498" s="286"/>
      <c r="I498" s="286"/>
      <c r="J498" s="286"/>
    </row>
    <row r="499" spans="1:10">
      <c r="A499" s="284"/>
      <c r="B499" s="282"/>
      <c r="C499" s="282"/>
      <c r="D499" s="282"/>
      <c r="E499" s="282"/>
      <c r="F499" s="285"/>
      <c r="G499" s="286"/>
      <c r="H499" s="286"/>
      <c r="I499" s="286"/>
      <c r="J499" s="286"/>
    </row>
    <row r="500" spans="1:10">
      <c r="A500" s="284"/>
      <c r="B500" s="282"/>
      <c r="C500" s="282"/>
      <c r="D500" s="282"/>
      <c r="E500" s="282"/>
      <c r="F500" s="285"/>
      <c r="G500" s="286"/>
      <c r="H500" s="286"/>
      <c r="I500" s="286"/>
      <c r="J500" s="286"/>
    </row>
    <row r="501" spans="1:10">
      <c r="A501" s="284"/>
      <c r="B501" s="282"/>
      <c r="C501" s="282"/>
      <c r="D501" s="282"/>
      <c r="E501" s="282"/>
      <c r="F501" s="285"/>
      <c r="G501" s="286"/>
      <c r="H501" s="286"/>
      <c r="I501" s="286"/>
      <c r="J501" s="286"/>
    </row>
    <row r="502" spans="1:10">
      <c r="A502" s="284"/>
      <c r="B502" s="282"/>
      <c r="C502" s="282"/>
      <c r="D502" s="282"/>
      <c r="E502" s="282"/>
      <c r="F502" s="285"/>
      <c r="G502" s="286"/>
      <c r="H502" s="286"/>
      <c r="I502" s="286"/>
      <c r="J502" s="286"/>
    </row>
    <row r="503" spans="1:10">
      <c r="A503" s="284"/>
      <c r="B503" s="282"/>
      <c r="C503" s="282"/>
      <c r="D503" s="282"/>
      <c r="E503" s="282"/>
      <c r="F503" s="285"/>
      <c r="G503" s="286"/>
      <c r="H503" s="286"/>
      <c r="I503" s="286"/>
      <c r="J503" s="286"/>
    </row>
    <row r="504" spans="1:10">
      <c r="A504" s="284"/>
      <c r="B504" s="282"/>
      <c r="C504" s="282"/>
      <c r="D504" s="282"/>
      <c r="E504" s="282"/>
      <c r="F504" s="285"/>
      <c r="G504" s="286"/>
      <c r="H504" s="286"/>
      <c r="I504" s="286"/>
      <c r="J504" s="286"/>
    </row>
    <row r="505" spans="1:10">
      <c r="A505" s="284"/>
      <c r="B505" s="282"/>
      <c r="C505" s="282"/>
      <c r="D505" s="282"/>
      <c r="E505" s="282"/>
      <c r="F505" s="285"/>
      <c r="G505" s="286"/>
      <c r="H505" s="286"/>
      <c r="I505" s="286"/>
      <c r="J505" s="286"/>
    </row>
    <row r="506" spans="1:10">
      <c r="A506" s="284"/>
      <c r="B506" s="282"/>
      <c r="C506" s="282"/>
      <c r="D506" s="282"/>
      <c r="E506" s="282"/>
      <c r="F506" s="285"/>
      <c r="G506" s="286"/>
      <c r="H506" s="286"/>
      <c r="I506" s="286"/>
      <c r="J506" s="286"/>
    </row>
    <row r="507" spans="1:10">
      <c r="A507" s="284"/>
      <c r="B507" s="282"/>
      <c r="C507" s="282"/>
      <c r="D507" s="282"/>
      <c r="E507" s="282"/>
      <c r="F507" s="285"/>
      <c r="G507" s="286"/>
      <c r="H507" s="286"/>
      <c r="I507" s="286"/>
      <c r="J507" s="286"/>
    </row>
    <row r="508" spans="1:10">
      <c r="A508" s="284"/>
      <c r="B508" s="282"/>
      <c r="C508" s="282"/>
      <c r="D508" s="282"/>
      <c r="E508" s="282"/>
      <c r="F508" s="285"/>
      <c r="G508" s="286"/>
      <c r="H508" s="286"/>
      <c r="I508" s="286"/>
      <c r="J508" s="286"/>
    </row>
    <row r="509" spans="1:10">
      <c r="A509" s="284"/>
      <c r="B509" s="282"/>
      <c r="C509" s="282"/>
      <c r="D509" s="282"/>
      <c r="E509" s="282"/>
      <c r="F509" s="285"/>
      <c r="G509" s="286"/>
      <c r="H509" s="286"/>
      <c r="I509" s="286"/>
      <c r="J509" s="286"/>
    </row>
    <row r="510" spans="1:10">
      <c r="A510" s="284"/>
      <c r="B510" s="282"/>
      <c r="C510" s="282"/>
      <c r="D510" s="282"/>
      <c r="E510" s="282"/>
      <c r="F510" s="285"/>
      <c r="G510" s="286"/>
      <c r="H510" s="286"/>
      <c r="I510" s="286"/>
      <c r="J510" s="286"/>
    </row>
    <row r="511" spans="1:10">
      <c r="A511" s="284"/>
      <c r="B511" s="282"/>
      <c r="C511" s="282"/>
      <c r="D511" s="282"/>
      <c r="E511" s="282"/>
      <c r="F511" s="285"/>
      <c r="G511" s="286"/>
      <c r="H511" s="286"/>
      <c r="I511" s="286"/>
      <c r="J511" s="286"/>
    </row>
    <row r="512" spans="1:10">
      <c r="A512" s="284"/>
      <c r="B512" s="282"/>
      <c r="C512" s="282"/>
      <c r="D512" s="282"/>
      <c r="E512" s="282"/>
      <c r="F512" s="285"/>
      <c r="G512" s="286"/>
      <c r="H512" s="286"/>
      <c r="I512" s="286"/>
      <c r="J512" s="286"/>
    </row>
    <row r="513" spans="1:10">
      <c r="A513" s="284"/>
      <c r="B513" s="282"/>
      <c r="C513" s="282"/>
      <c r="D513" s="282"/>
      <c r="E513" s="282"/>
      <c r="F513" s="285"/>
      <c r="G513" s="286"/>
      <c r="H513" s="286"/>
      <c r="I513" s="286"/>
      <c r="J513" s="286"/>
    </row>
    <row r="514" spans="1:10">
      <c r="A514" s="284"/>
      <c r="B514" s="282"/>
      <c r="C514" s="282"/>
      <c r="D514" s="282"/>
      <c r="E514" s="282"/>
      <c r="F514" s="285"/>
      <c r="G514" s="286"/>
      <c r="H514" s="286"/>
      <c r="I514" s="286"/>
      <c r="J514" s="286"/>
    </row>
    <row r="515" spans="1:10">
      <c r="A515" s="284"/>
      <c r="B515" s="282"/>
      <c r="C515" s="282"/>
      <c r="D515" s="282"/>
      <c r="E515" s="282"/>
      <c r="F515" s="285"/>
      <c r="G515" s="286"/>
      <c r="H515" s="286"/>
      <c r="I515" s="286"/>
      <c r="J515" s="286"/>
    </row>
    <row r="516" spans="1:10">
      <c r="A516" s="284"/>
      <c r="B516" s="282"/>
      <c r="C516" s="282"/>
      <c r="D516" s="282"/>
      <c r="E516" s="282"/>
      <c r="F516" s="285"/>
      <c r="G516" s="286"/>
      <c r="H516" s="286"/>
      <c r="I516" s="286"/>
      <c r="J516" s="286"/>
    </row>
    <row r="517" spans="1:10">
      <c r="A517" s="284"/>
      <c r="B517" s="282"/>
      <c r="C517" s="282"/>
      <c r="D517" s="282"/>
      <c r="E517" s="282"/>
      <c r="F517" s="285"/>
      <c r="G517" s="286"/>
      <c r="H517" s="286"/>
      <c r="I517" s="286"/>
      <c r="J517" s="286"/>
    </row>
    <row r="518" spans="1:10">
      <c r="A518" s="284"/>
      <c r="B518" s="282"/>
      <c r="C518" s="282"/>
      <c r="D518" s="282"/>
      <c r="E518" s="282"/>
      <c r="F518" s="285"/>
      <c r="G518" s="286"/>
      <c r="H518" s="286"/>
      <c r="I518" s="286"/>
      <c r="J518" s="286"/>
    </row>
    <row r="519" spans="1:10">
      <c r="A519" s="284"/>
      <c r="B519" s="282"/>
      <c r="C519" s="282"/>
      <c r="D519" s="282"/>
      <c r="E519" s="282"/>
      <c r="F519" s="285"/>
      <c r="G519" s="286"/>
      <c r="H519" s="286"/>
      <c r="I519" s="286"/>
      <c r="J519" s="286"/>
    </row>
    <row r="520" spans="1:10">
      <c r="A520" s="284"/>
      <c r="B520" s="282"/>
      <c r="C520" s="282"/>
      <c r="D520" s="282"/>
      <c r="E520" s="282"/>
      <c r="F520" s="285"/>
      <c r="G520" s="286"/>
      <c r="H520" s="286"/>
      <c r="I520" s="286"/>
      <c r="J520" s="286"/>
    </row>
    <row r="521" spans="1:10">
      <c r="A521" s="284"/>
      <c r="B521" s="282"/>
      <c r="C521" s="282"/>
      <c r="D521" s="282"/>
      <c r="E521" s="282"/>
      <c r="F521" s="285"/>
      <c r="G521" s="286"/>
      <c r="H521" s="286"/>
      <c r="I521" s="286"/>
      <c r="J521" s="286"/>
    </row>
    <row r="522" spans="1:10">
      <c r="A522" s="284"/>
      <c r="B522" s="282"/>
      <c r="C522" s="282"/>
      <c r="D522" s="282"/>
      <c r="E522" s="282"/>
      <c r="F522" s="285"/>
      <c r="G522" s="286"/>
      <c r="H522" s="286"/>
      <c r="I522" s="286"/>
      <c r="J522" s="286"/>
    </row>
    <row r="523" spans="1:10">
      <c r="A523" s="284"/>
      <c r="B523" s="282"/>
      <c r="C523" s="282"/>
      <c r="D523" s="282"/>
      <c r="E523" s="282"/>
      <c r="F523" s="285"/>
      <c r="G523" s="286"/>
      <c r="H523" s="286"/>
      <c r="I523" s="286"/>
      <c r="J523" s="286"/>
    </row>
    <row r="524" spans="1:10">
      <c r="A524" s="284"/>
      <c r="B524" s="282"/>
      <c r="C524" s="282"/>
      <c r="D524" s="282"/>
      <c r="E524" s="282"/>
      <c r="F524" s="285"/>
      <c r="G524" s="286"/>
      <c r="H524" s="286"/>
      <c r="I524" s="286"/>
      <c r="J524" s="286"/>
    </row>
    <row r="525" spans="1:10">
      <c r="A525" s="284"/>
      <c r="B525" s="282"/>
      <c r="C525" s="282"/>
      <c r="D525" s="282"/>
      <c r="E525" s="282"/>
      <c r="F525" s="285"/>
      <c r="G525" s="286"/>
      <c r="H525" s="286"/>
      <c r="I525" s="286"/>
      <c r="J525" s="286"/>
    </row>
    <row r="526" spans="1:10">
      <c r="A526" s="284"/>
      <c r="B526" s="282"/>
      <c r="C526" s="282"/>
      <c r="D526" s="282"/>
      <c r="E526" s="282"/>
      <c r="F526" s="285"/>
      <c r="G526" s="286"/>
      <c r="H526" s="286"/>
      <c r="I526" s="286"/>
      <c r="J526" s="286"/>
    </row>
    <row r="527" spans="1:10">
      <c r="A527" s="284"/>
      <c r="B527" s="282"/>
      <c r="C527" s="282"/>
      <c r="D527" s="282"/>
      <c r="E527" s="282"/>
      <c r="F527" s="285"/>
      <c r="G527" s="286"/>
      <c r="H527" s="286"/>
      <c r="I527" s="286"/>
      <c r="J527" s="286"/>
    </row>
    <row r="528" spans="1:10">
      <c r="A528" s="284"/>
      <c r="B528" s="282"/>
      <c r="C528" s="282"/>
      <c r="D528" s="282"/>
      <c r="E528" s="282"/>
      <c r="F528" s="285"/>
      <c r="G528" s="286"/>
      <c r="H528" s="286"/>
      <c r="I528" s="286"/>
      <c r="J528" s="286"/>
    </row>
    <row r="529" spans="1:10">
      <c r="A529" s="284"/>
      <c r="B529" s="282"/>
      <c r="C529" s="282"/>
      <c r="D529" s="282"/>
      <c r="E529" s="282"/>
      <c r="F529" s="285"/>
      <c r="G529" s="286"/>
      <c r="H529" s="286"/>
      <c r="I529" s="286"/>
      <c r="J529" s="286"/>
    </row>
    <row r="530" spans="1:10">
      <c r="A530" s="284"/>
      <c r="B530" s="282"/>
      <c r="C530" s="282"/>
      <c r="D530" s="282"/>
      <c r="E530" s="282"/>
      <c r="F530" s="285"/>
      <c r="G530" s="286"/>
      <c r="H530" s="286"/>
      <c r="I530" s="286"/>
      <c r="J530" s="286"/>
    </row>
    <row r="531" spans="1:10">
      <c r="A531" s="284"/>
      <c r="B531" s="282"/>
      <c r="C531" s="282"/>
      <c r="D531" s="282"/>
      <c r="E531" s="282"/>
      <c r="F531" s="285"/>
      <c r="G531" s="286"/>
      <c r="H531" s="286"/>
      <c r="I531" s="286"/>
      <c r="J531" s="286"/>
    </row>
    <row r="532" spans="1:10">
      <c r="A532" s="284"/>
      <c r="B532" s="282"/>
      <c r="C532" s="282"/>
      <c r="D532" s="282"/>
      <c r="E532" s="282"/>
      <c r="F532" s="285"/>
      <c r="G532" s="286"/>
      <c r="H532" s="286"/>
      <c r="I532" s="286"/>
      <c r="J532" s="286"/>
    </row>
    <row r="533" spans="1:10">
      <c r="A533" s="284"/>
      <c r="B533" s="282"/>
      <c r="C533" s="282"/>
      <c r="D533" s="282"/>
      <c r="E533" s="282"/>
      <c r="F533" s="285"/>
      <c r="G533" s="286"/>
      <c r="H533" s="286"/>
      <c r="I533" s="286"/>
      <c r="J533" s="286"/>
    </row>
    <row r="534" spans="1:10">
      <c r="A534" s="284"/>
      <c r="B534" s="282"/>
      <c r="C534" s="282"/>
      <c r="D534" s="282"/>
      <c r="E534" s="282"/>
      <c r="F534" s="285"/>
      <c r="G534" s="286"/>
      <c r="H534" s="286"/>
      <c r="I534" s="286"/>
      <c r="J534" s="286"/>
    </row>
    <row r="535" spans="1:10">
      <c r="A535" s="284"/>
      <c r="B535" s="282"/>
      <c r="C535" s="282"/>
      <c r="D535" s="282"/>
      <c r="E535" s="282"/>
      <c r="F535" s="285"/>
      <c r="G535" s="286"/>
      <c r="H535" s="286"/>
      <c r="I535" s="286"/>
      <c r="J535" s="286"/>
    </row>
    <row r="536" spans="1:10">
      <c r="A536" s="284"/>
      <c r="B536" s="282"/>
      <c r="C536" s="282"/>
      <c r="D536" s="282"/>
      <c r="E536" s="282"/>
      <c r="F536" s="285"/>
      <c r="G536" s="286"/>
      <c r="H536" s="286"/>
      <c r="I536" s="286"/>
      <c r="J536" s="286"/>
    </row>
    <row r="537" spans="1:10">
      <c r="A537" s="284"/>
      <c r="B537" s="282"/>
      <c r="C537" s="282"/>
      <c r="D537" s="282"/>
      <c r="E537" s="282"/>
      <c r="F537" s="285"/>
      <c r="G537" s="286"/>
      <c r="H537" s="286"/>
      <c r="I537" s="286"/>
      <c r="J537" s="286"/>
    </row>
    <row r="538" spans="1:10">
      <c r="A538" s="284"/>
      <c r="B538" s="282"/>
      <c r="C538" s="282"/>
      <c r="D538" s="282"/>
      <c r="E538" s="282"/>
      <c r="F538" s="285"/>
      <c r="G538" s="286"/>
      <c r="H538" s="286"/>
      <c r="I538" s="286"/>
      <c r="J538" s="286"/>
    </row>
    <row r="539" spans="1:10">
      <c r="A539" s="284"/>
      <c r="B539" s="282"/>
      <c r="C539" s="282"/>
      <c r="D539" s="282"/>
      <c r="E539" s="282"/>
      <c r="F539" s="285"/>
      <c r="G539" s="286"/>
      <c r="H539" s="286"/>
      <c r="I539" s="286"/>
      <c r="J539" s="286"/>
    </row>
    <row r="540" spans="1:10">
      <c r="A540" s="284"/>
      <c r="B540" s="282"/>
      <c r="C540" s="282"/>
      <c r="D540" s="282"/>
      <c r="E540" s="282"/>
      <c r="F540" s="285"/>
      <c r="G540" s="286"/>
      <c r="H540" s="286"/>
      <c r="I540" s="286"/>
      <c r="J540" s="286"/>
    </row>
    <row r="541" spans="1:10">
      <c r="A541" s="284"/>
      <c r="B541" s="282"/>
      <c r="C541" s="282"/>
      <c r="D541" s="282"/>
      <c r="E541" s="282"/>
      <c r="F541" s="285"/>
      <c r="G541" s="286"/>
      <c r="H541" s="286"/>
      <c r="I541" s="286"/>
      <c r="J541" s="286"/>
    </row>
    <row r="542" spans="1:10">
      <c r="A542" s="284"/>
      <c r="B542" s="282"/>
      <c r="C542" s="282"/>
      <c r="D542" s="282"/>
      <c r="E542" s="282"/>
      <c r="F542" s="285"/>
      <c r="G542" s="286"/>
      <c r="H542" s="286"/>
      <c r="I542" s="286"/>
      <c r="J542" s="286"/>
    </row>
    <row r="543" spans="1:10">
      <c r="A543" s="284"/>
      <c r="B543" s="282"/>
      <c r="C543" s="282"/>
      <c r="D543" s="282"/>
      <c r="E543" s="282"/>
      <c r="F543" s="285"/>
      <c r="G543" s="286"/>
      <c r="H543" s="286"/>
      <c r="I543" s="286"/>
      <c r="J543" s="286"/>
    </row>
    <row r="544" spans="1:10">
      <c r="A544" s="284"/>
      <c r="B544" s="282"/>
      <c r="C544" s="282"/>
      <c r="D544" s="282"/>
      <c r="E544" s="282"/>
      <c r="F544" s="285"/>
      <c r="G544" s="286"/>
      <c r="H544" s="286"/>
      <c r="I544" s="286"/>
      <c r="J544" s="286"/>
    </row>
    <row r="545" spans="1:10">
      <c r="A545" s="284"/>
      <c r="B545" s="282"/>
      <c r="C545" s="282"/>
      <c r="D545" s="282"/>
      <c r="E545" s="282"/>
      <c r="F545" s="285"/>
      <c r="G545" s="286"/>
      <c r="H545" s="286"/>
      <c r="I545" s="286"/>
      <c r="J545" s="286"/>
    </row>
    <row r="546" spans="1:10">
      <c r="A546" s="284"/>
      <c r="B546" s="282"/>
      <c r="C546" s="282"/>
      <c r="D546" s="282"/>
      <c r="E546" s="282"/>
      <c r="F546" s="285"/>
      <c r="G546" s="286"/>
      <c r="H546" s="286"/>
      <c r="I546" s="286"/>
      <c r="J546" s="286"/>
    </row>
    <row r="547" spans="1:10">
      <c r="A547" s="284"/>
      <c r="B547" s="282"/>
      <c r="C547" s="282"/>
      <c r="D547" s="282"/>
      <c r="E547" s="282"/>
      <c r="F547" s="285"/>
      <c r="G547" s="286"/>
      <c r="H547" s="286"/>
      <c r="I547" s="286"/>
      <c r="J547" s="286"/>
    </row>
    <row r="548" spans="1:10">
      <c r="A548" s="284"/>
      <c r="B548" s="282"/>
      <c r="C548" s="282"/>
      <c r="D548" s="282"/>
      <c r="E548" s="282"/>
      <c r="F548" s="285"/>
      <c r="G548" s="286"/>
      <c r="H548" s="286"/>
      <c r="I548" s="286"/>
      <c r="J548" s="286"/>
    </row>
    <row r="549" spans="1:10">
      <c r="A549" s="284"/>
      <c r="B549" s="282"/>
      <c r="C549" s="282"/>
      <c r="D549" s="282"/>
      <c r="E549" s="282"/>
      <c r="F549" s="285"/>
      <c r="G549" s="286"/>
      <c r="H549" s="286"/>
      <c r="I549" s="286"/>
      <c r="J549" s="286"/>
    </row>
    <row r="550" spans="1:10">
      <c r="A550" s="284"/>
      <c r="B550" s="282"/>
      <c r="C550" s="282"/>
      <c r="D550" s="282"/>
      <c r="E550" s="282"/>
      <c r="F550" s="285"/>
      <c r="G550" s="286"/>
      <c r="H550" s="286"/>
      <c r="I550" s="286"/>
      <c r="J550" s="286"/>
    </row>
    <row r="551" spans="1:10">
      <c r="A551" s="284"/>
      <c r="B551" s="282"/>
      <c r="C551" s="282"/>
      <c r="D551" s="282"/>
      <c r="E551" s="282"/>
      <c r="F551" s="285"/>
      <c r="G551" s="286"/>
      <c r="H551" s="286"/>
      <c r="I551" s="286"/>
      <c r="J551" s="286"/>
    </row>
    <row r="552" spans="1:10">
      <c r="A552" s="284"/>
      <c r="B552" s="282"/>
      <c r="C552" s="282"/>
      <c r="D552" s="282"/>
      <c r="E552" s="282"/>
      <c r="F552" s="285"/>
      <c r="G552" s="286"/>
      <c r="H552" s="286"/>
      <c r="I552" s="286"/>
      <c r="J552" s="286"/>
    </row>
    <row r="553" spans="1:10">
      <c r="A553" s="284"/>
      <c r="B553" s="282"/>
      <c r="C553" s="282"/>
      <c r="D553" s="282"/>
      <c r="E553" s="282"/>
      <c r="F553" s="285"/>
      <c r="G553" s="286"/>
      <c r="H553" s="286"/>
      <c r="I553" s="286"/>
      <c r="J553" s="286"/>
    </row>
    <row r="554" spans="1:10">
      <c r="A554" s="284"/>
      <c r="B554" s="282"/>
      <c r="C554" s="282"/>
      <c r="D554" s="282"/>
      <c r="E554" s="282"/>
      <c r="F554" s="285"/>
      <c r="G554" s="286"/>
      <c r="H554" s="286"/>
      <c r="I554" s="286"/>
      <c r="J554" s="286"/>
    </row>
    <row r="555" spans="1:10">
      <c r="A555" s="284"/>
      <c r="B555" s="282"/>
      <c r="C555" s="282"/>
      <c r="D555" s="282"/>
      <c r="E555" s="282"/>
      <c r="F555" s="285"/>
      <c r="G555" s="286"/>
      <c r="H555" s="286"/>
      <c r="I555" s="286"/>
      <c r="J555" s="286"/>
    </row>
    <row r="556" spans="1:10">
      <c r="A556" s="284"/>
      <c r="B556" s="282"/>
      <c r="C556" s="282"/>
      <c r="D556" s="282"/>
      <c r="E556" s="282"/>
      <c r="F556" s="285"/>
      <c r="G556" s="286"/>
      <c r="H556" s="286"/>
      <c r="I556" s="286"/>
      <c r="J556" s="286"/>
    </row>
    <row r="557" spans="1:10">
      <c r="A557" s="284"/>
      <c r="B557" s="282"/>
      <c r="C557" s="282"/>
      <c r="D557" s="282"/>
      <c r="E557" s="282"/>
      <c r="F557" s="285"/>
      <c r="G557" s="286"/>
      <c r="H557" s="286"/>
      <c r="I557" s="286"/>
      <c r="J557" s="286"/>
    </row>
    <row r="558" spans="1:10">
      <c r="A558" s="284"/>
      <c r="B558" s="282"/>
      <c r="C558" s="282"/>
      <c r="D558" s="282"/>
      <c r="E558" s="282"/>
      <c r="F558" s="285"/>
      <c r="G558" s="286"/>
      <c r="H558" s="286"/>
      <c r="I558" s="286"/>
      <c r="J558" s="286"/>
    </row>
    <row r="559" spans="1:10">
      <c r="A559" s="284"/>
      <c r="B559" s="282"/>
      <c r="C559" s="282"/>
      <c r="D559" s="282"/>
      <c r="E559" s="282"/>
      <c r="F559" s="285"/>
      <c r="G559" s="286"/>
      <c r="H559" s="286"/>
      <c r="I559" s="286"/>
      <c r="J559" s="286"/>
    </row>
    <row r="560" spans="1:10">
      <c r="A560" s="284"/>
      <c r="B560" s="282"/>
      <c r="C560" s="282"/>
      <c r="D560" s="282"/>
      <c r="E560" s="282"/>
      <c r="F560" s="285"/>
      <c r="G560" s="286"/>
      <c r="H560" s="286"/>
      <c r="I560" s="286"/>
      <c r="J560" s="286"/>
    </row>
    <row r="561" spans="1:10">
      <c r="A561" s="284"/>
      <c r="B561" s="282"/>
      <c r="C561" s="282"/>
      <c r="D561" s="282"/>
      <c r="E561" s="282"/>
      <c r="F561" s="285"/>
      <c r="G561" s="286"/>
      <c r="H561" s="286"/>
      <c r="I561" s="286"/>
      <c r="J561" s="286"/>
    </row>
    <row r="562" spans="1:10">
      <c r="A562" s="284"/>
      <c r="B562" s="282"/>
      <c r="C562" s="282"/>
      <c r="D562" s="282"/>
      <c r="E562" s="282"/>
      <c r="F562" s="285"/>
      <c r="G562" s="286"/>
      <c r="H562" s="286"/>
      <c r="I562" s="286"/>
      <c r="J562" s="286"/>
    </row>
    <row r="563" spans="1:10">
      <c r="A563" s="284"/>
      <c r="B563" s="282"/>
      <c r="C563" s="282"/>
      <c r="D563" s="282"/>
      <c r="E563" s="282"/>
      <c r="F563" s="285"/>
      <c r="G563" s="286"/>
      <c r="H563" s="286"/>
      <c r="I563" s="286"/>
      <c r="J563" s="286"/>
    </row>
    <row r="564" spans="1:10">
      <c r="A564" s="284"/>
      <c r="B564" s="282"/>
      <c r="C564" s="282"/>
      <c r="D564" s="282"/>
      <c r="E564" s="282"/>
      <c r="F564" s="285"/>
      <c r="G564" s="286"/>
      <c r="H564" s="286"/>
      <c r="I564" s="286"/>
      <c r="J564" s="286"/>
    </row>
    <row r="565" spans="1:10">
      <c r="A565" s="284"/>
      <c r="B565" s="282"/>
      <c r="C565" s="282"/>
      <c r="D565" s="282"/>
      <c r="E565" s="282"/>
      <c r="F565" s="285"/>
      <c r="G565" s="286"/>
      <c r="H565" s="286"/>
      <c r="I565" s="286"/>
      <c r="J565" s="286"/>
    </row>
    <row r="566" spans="1:10">
      <c r="A566" s="284"/>
      <c r="B566" s="282"/>
      <c r="C566" s="282"/>
      <c r="D566" s="282"/>
      <c r="E566" s="282"/>
      <c r="F566" s="285"/>
      <c r="G566" s="286"/>
      <c r="H566" s="286"/>
      <c r="I566" s="286"/>
      <c r="J566" s="286"/>
    </row>
    <row r="567" spans="1:10">
      <c r="A567" s="284"/>
      <c r="B567" s="282"/>
      <c r="C567" s="282"/>
      <c r="D567" s="282"/>
      <c r="E567" s="282"/>
      <c r="F567" s="285"/>
      <c r="G567" s="286"/>
      <c r="H567" s="286"/>
      <c r="I567" s="286"/>
      <c r="J567" s="286"/>
    </row>
    <row r="568" spans="1:10">
      <c r="A568" s="284"/>
      <c r="B568" s="282"/>
      <c r="C568" s="282"/>
      <c r="D568" s="282"/>
      <c r="E568" s="282"/>
      <c r="F568" s="285"/>
      <c r="G568" s="286"/>
      <c r="H568" s="286"/>
      <c r="I568" s="286"/>
      <c r="J568" s="286"/>
    </row>
    <row r="569" spans="1:10">
      <c r="A569" s="284"/>
      <c r="B569" s="282"/>
      <c r="C569" s="282"/>
      <c r="D569" s="282"/>
      <c r="E569" s="282"/>
      <c r="F569" s="285"/>
      <c r="G569" s="286"/>
      <c r="H569" s="286"/>
      <c r="I569" s="286"/>
      <c r="J569" s="286"/>
    </row>
    <row r="570" spans="1:10">
      <c r="A570" s="284"/>
      <c r="B570" s="282"/>
      <c r="C570" s="282"/>
      <c r="D570" s="282"/>
      <c r="E570" s="282"/>
      <c r="F570" s="285"/>
      <c r="G570" s="286"/>
      <c r="H570" s="286"/>
      <c r="I570" s="286"/>
      <c r="J570" s="286"/>
    </row>
    <row r="571" spans="1:10">
      <c r="A571" s="284"/>
      <c r="B571" s="282"/>
      <c r="C571" s="282"/>
      <c r="D571" s="282"/>
      <c r="E571" s="282"/>
      <c r="F571" s="285"/>
      <c r="G571" s="286"/>
      <c r="H571" s="286"/>
      <c r="I571" s="286"/>
      <c r="J571" s="286"/>
    </row>
    <row r="572" spans="1:10">
      <c r="A572" s="284"/>
      <c r="B572" s="282"/>
      <c r="C572" s="282"/>
      <c r="D572" s="282"/>
      <c r="E572" s="282"/>
      <c r="F572" s="285"/>
      <c r="G572" s="286"/>
      <c r="H572" s="286"/>
      <c r="I572" s="286"/>
      <c r="J572" s="286"/>
    </row>
    <row r="573" spans="1:10">
      <c r="A573" s="284"/>
      <c r="B573" s="282"/>
      <c r="C573" s="282"/>
      <c r="D573" s="282"/>
      <c r="E573" s="282"/>
      <c r="F573" s="285"/>
      <c r="G573" s="286"/>
      <c r="H573" s="286"/>
      <c r="I573" s="286"/>
      <c r="J573" s="286"/>
    </row>
    <row r="574" spans="1:10">
      <c r="A574" s="284"/>
      <c r="B574" s="282"/>
      <c r="C574" s="282"/>
      <c r="D574" s="282"/>
      <c r="E574" s="282"/>
      <c r="F574" s="285"/>
      <c r="G574" s="286"/>
      <c r="H574" s="286"/>
      <c r="I574" s="286"/>
      <c r="J574" s="286"/>
    </row>
    <row r="575" spans="1:10">
      <c r="A575" s="284"/>
      <c r="B575" s="282"/>
      <c r="C575" s="282"/>
      <c r="D575" s="282"/>
      <c r="E575" s="282"/>
      <c r="F575" s="285"/>
      <c r="G575" s="286"/>
      <c r="H575" s="286"/>
      <c r="I575" s="286"/>
      <c r="J575" s="286"/>
    </row>
    <row r="576" spans="1:10">
      <c r="A576" s="284"/>
      <c r="B576" s="282"/>
      <c r="C576" s="282"/>
      <c r="D576" s="282"/>
      <c r="E576" s="282"/>
      <c r="F576" s="285"/>
      <c r="G576" s="286"/>
      <c r="H576" s="286"/>
      <c r="I576" s="286"/>
      <c r="J576" s="286"/>
    </row>
    <row r="577" spans="1:10">
      <c r="A577" s="284"/>
      <c r="B577" s="282"/>
      <c r="C577" s="282"/>
      <c r="D577" s="282"/>
      <c r="E577" s="282"/>
      <c r="F577" s="285"/>
      <c r="G577" s="286"/>
      <c r="H577" s="286"/>
      <c r="I577" s="286"/>
      <c r="J577" s="286"/>
    </row>
    <row r="578" spans="1:10">
      <c r="A578" s="284"/>
      <c r="B578" s="282"/>
      <c r="C578" s="282"/>
      <c r="D578" s="282"/>
      <c r="E578" s="282"/>
      <c r="F578" s="285"/>
      <c r="G578" s="286"/>
      <c r="H578" s="286"/>
      <c r="I578" s="286"/>
      <c r="J578" s="286"/>
    </row>
    <row r="579" spans="1:10">
      <c r="A579" s="284"/>
      <c r="B579" s="282"/>
      <c r="C579" s="282"/>
      <c r="D579" s="282"/>
      <c r="E579" s="282"/>
      <c r="F579" s="285"/>
      <c r="G579" s="286"/>
      <c r="H579" s="286"/>
      <c r="I579" s="286"/>
      <c r="J579" s="286"/>
    </row>
    <row r="580" spans="1:10">
      <c r="A580" s="284"/>
      <c r="B580" s="282"/>
      <c r="C580" s="282"/>
      <c r="D580" s="282"/>
      <c r="E580" s="282"/>
      <c r="F580" s="285"/>
      <c r="G580" s="286"/>
      <c r="H580" s="286"/>
      <c r="I580" s="286"/>
      <c r="J580" s="286"/>
    </row>
    <row r="581" spans="1:10">
      <c r="A581" s="284"/>
      <c r="B581" s="282"/>
      <c r="C581" s="282"/>
      <c r="D581" s="282"/>
      <c r="E581" s="282"/>
      <c r="F581" s="285"/>
      <c r="G581" s="286"/>
      <c r="H581" s="286"/>
      <c r="I581" s="286"/>
      <c r="J581" s="286"/>
    </row>
    <row r="582" spans="1:10">
      <c r="A582" s="284"/>
      <c r="B582" s="282"/>
      <c r="C582" s="282"/>
      <c r="D582" s="282"/>
      <c r="E582" s="282"/>
      <c r="F582" s="285"/>
      <c r="G582" s="286"/>
      <c r="H582" s="286"/>
      <c r="I582" s="286"/>
      <c r="J582" s="286"/>
    </row>
    <row r="583" spans="1:10">
      <c r="A583" s="284"/>
      <c r="B583" s="282"/>
      <c r="C583" s="282"/>
      <c r="D583" s="282"/>
      <c r="E583" s="282"/>
      <c r="F583" s="285"/>
      <c r="G583" s="286"/>
      <c r="H583" s="286"/>
      <c r="I583" s="286"/>
      <c r="J583" s="286"/>
    </row>
    <row r="584" spans="1:10">
      <c r="A584" s="284"/>
      <c r="B584" s="282"/>
      <c r="C584" s="282"/>
      <c r="D584" s="282"/>
      <c r="E584" s="282"/>
      <c r="F584" s="285"/>
      <c r="G584" s="286"/>
      <c r="H584" s="286"/>
      <c r="I584" s="286"/>
      <c r="J584" s="286"/>
    </row>
    <row r="585" spans="1:10">
      <c r="A585" s="284"/>
      <c r="B585" s="282"/>
      <c r="C585" s="282"/>
      <c r="D585" s="282"/>
      <c r="E585" s="282"/>
      <c r="F585" s="285"/>
      <c r="G585" s="286"/>
      <c r="H585" s="286"/>
      <c r="I585" s="286"/>
      <c r="J585" s="286"/>
    </row>
    <row r="586" spans="1:10">
      <c r="A586" s="284"/>
      <c r="B586" s="282"/>
      <c r="C586" s="282"/>
      <c r="D586" s="282"/>
      <c r="E586" s="282"/>
      <c r="F586" s="285"/>
      <c r="G586" s="286"/>
      <c r="H586" s="286"/>
      <c r="I586" s="286"/>
      <c r="J586" s="286"/>
    </row>
    <row r="587" spans="1:10">
      <c r="A587" s="284"/>
      <c r="B587" s="282"/>
      <c r="C587" s="282"/>
      <c r="D587" s="282"/>
      <c r="E587" s="282"/>
      <c r="F587" s="285"/>
      <c r="G587" s="286"/>
      <c r="H587" s="286"/>
      <c r="I587" s="286"/>
      <c r="J587" s="286"/>
    </row>
    <row r="588" spans="1:10">
      <c r="A588" s="284"/>
      <c r="B588" s="282"/>
      <c r="C588" s="282"/>
      <c r="D588" s="282"/>
      <c r="E588" s="282"/>
      <c r="F588" s="285"/>
      <c r="G588" s="286"/>
      <c r="H588" s="286"/>
      <c r="I588" s="286"/>
      <c r="J588" s="286"/>
    </row>
    <row r="589" spans="1:10">
      <c r="A589" s="284"/>
      <c r="B589" s="282"/>
      <c r="C589" s="282"/>
      <c r="D589" s="282"/>
      <c r="E589" s="282"/>
      <c r="F589" s="285"/>
      <c r="G589" s="286"/>
      <c r="H589" s="286"/>
      <c r="I589" s="286"/>
      <c r="J589" s="286"/>
    </row>
    <row r="590" spans="1:10">
      <c r="A590" s="284"/>
      <c r="B590" s="282"/>
      <c r="C590" s="282"/>
      <c r="D590" s="282"/>
      <c r="E590" s="282"/>
      <c r="F590" s="285"/>
      <c r="G590" s="286"/>
      <c r="H590" s="286"/>
      <c r="I590" s="286"/>
      <c r="J590" s="286"/>
    </row>
    <row r="591" spans="1:10">
      <c r="A591" s="284"/>
      <c r="B591" s="282"/>
      <c r="C591" s="282"/>
      <c r="D591" s="282"/>
      <c r="E591" s="282"/>
      <c r="F591" s="285"/>
      <c r="G591" s="286"/>
      <c r="H591" s="286"/>
      <c r="I591" s="286"/>
      <c r="J591" s="286"/>
    </row>
    <row r="592" spans="1:10">
      <c r="A592" s="284"/>
      <c r="B592" s="282"/>
      <c r="C592" s="282"/>
      <c r="D592" s="282"/>
      <c r="E592" s="282"/>
      <c r="F592" s="285"/>
      <c r="G592" s="286"/>
      <c r="H592" s="286"/>
      <c r="I592" s="286"/>
      <c r="J592" s="286"/>
    </row>
    <row r="593" spans="1:10">
      <c r="A593" s="284"/>
      <c r="B593" s="282"/>
      <c r="C593" s="282"/>
      <c r="D593" s="282"/>
      <c r="E593" s="282"/>
      <c r="F593" s="285"/>
      <c r="G593" s="286"/>
      <c r="H593" s="286"/>
      <c r="I593" s="286"/>
      <c r="J593" s="286"/>
    </row>
    <row r="594" spans="1:10">
      <c r="A594" s="284"/>
      <c r="B594" s="282"/>
      <c r="C594" s="282"/>
      <c r="D594" s="282"/>
      <c r="E594" s="282"/>
      <c r="F594" s="285"/>
      <c r="G594" s="286"/>
      <c r="H594" s="286"/>
      <c r="I594" s="286"/>
      <c r="J594" s="286"/>
    </row>
    <row r="595" spans="1:10">
      <c r="A595" s="284"/>
      <c r="B595" s="282"/>
      <c r="C595" s="282"/>
      <c r="D595" s="282"/>
      <c r="E595" s="282"/>
      <c r="F595" s="285"/>
      <c r="G595" s="286"/>
      <c r="H595" s="286"/>
      <c r="I595" s="286"/>
      <c r="J595" s="286"/>
    </row>
    <row r="596" spans="1:10">
      <c r="A596" s="284"/>
      <c r="B596" s="282"/>
      <c r="C596" s="282"/>
      <c r="D596" s="282"/>
      <c r="E596" s="282"/>
      <c r="F596" s="285"/>
      <c r="G596" s="286"/>
      <c r="H596" s="286"/>
      <c r="I596" s="286"/>
      <c r="J596" s="286"/>
    </row>
    <row r="597" spans="1:10">
      <c r="A597" s="284"/>
      <c r="B597" s="282"/>
      <c r="C597" s="282"/>
      <c r="D597" s="282"/>
      <c r="E597" s="282"/>
      <c r="F597" s="285"/>
      <c r="G597" s="286"/>
      <c r="H597" s="286"/>
      <c r="I597" s="286"/>
      <c r="J597" s="286"/>
    </row>
    <row r="598" spans="1:10">
      <c r="A598" s="284"/>
      <c r="B598" s="282"/>
      <c r="C598" s="282"/>
      <c r="D598" s="282"/>
      <c r="E598" s="282"/>
      <c r="F598" s="285"/>
      <c r="G598" s="286"/>
      <c r="H598" s="286"/>
      <c r="I598" s="286"/>
      <c r="J598" s="286"/>
    </row>
    <row r="599" spans="1:10">
      <c r="A599" s="284"/>
      <c r="B599" s="282"/>
      <c r="C599" s="282"/>
      <c r="D599" s="282"/>
      <c r="E599" s="282"/>
      <c r="F599" s="285"/>
      <c r="G599" s="286"/>
      <c r="H599" s="286"/>
      <c r="I599" s="286"/>
      <c r="J599" s="286"/>
    </row>
    <row r="600" spans="1:10">
      <c r="A600" s="284"/>
      <c r="B600" s="282"/>
      <c r="C600" s="282"/>
      <c r="D600" s="282"/>
      <c r="E600" s="282"/>
      <c r="F600" s="285"/>
      <c r="G600" s="286"/>
      <c r="H600" s="286"/>
      <c r="I600" s="286"/>
      <c r="J600" s="286"/>
    </row>
    <row r="601" spans="1:10">
      <c r="A601" s="284"/>
      <c r="B601" s="282"/>
      <c r="C601" s="282"/>
      <c r="D601" s="282"/>
      <c r="E601" s="282"/>
      <c r="F601" s="285"/>
      <c r="G601" s="286"/>
      <c r="H601" s="286"/>
      <c r="I601" s="286"/>
      <c r="J601" s="286"/>
    </row>
    <row r="602" spans="1:10">
      <c r="A602" s="284"/>
      <c r="B602" s="282"/>
      <c r="C602" s="282"/>
      <c r="D602" s="282"/>
      <c r="E602" s="282"/>
      <c r="F602" s="285"/>
      <c r="G602" s="286"/>
      <c r="H602" s="286"/>
      <c r="I602" s="286"/>
      <c r="J602" s="286"/>
    </row>
    <row r="603" spans="1:10">
      <c r="A603" s="284"/>
      <c r="B603" s="282"/>
      <c r="C603" s="282"/>
      <c r="D603" s="282"/>
      <c r="E603" s="282"/>
      <c r="F603" s="285"/>
      <c r="G603" s="286"/>
      <c r="H603" s="286"/>
      <c r="I603" s="286"/>
      <c r="J603" s="286"/>
    </row>
    <row r="604" spans="1:10">
      <c r="A604" s="284"/>
      <c r="B604" s="282"/>
      <c r="C604" s="282"/>
      <c r="D604" s="282"/>
      <c r="E604" s="282"/>
      <c r="F604" s="285"/>
      <c r="G604" s="286"/>
      <c r="H604" s="286"/>
      <c r="I604" s="286"/>
      <c r="J604" s="286"/>
    </row>
    <row r="605" spans="1:10">
      <c r="A605" s="284"/>
      <c r="B605" s="282"/>
      <c r="C605" s="282"/>
      <c r="D605" s="282"/>
      <c r="E605" s="282"/>
      <c r="F605" s="285"/>
      <c r="G605" s="286"/>
      <c r="H605" s="286"/>
      <c r="I605" s="286"/>
      <c r="J605" s="286"/>
    </row>
    <row r="606" spans="1:10">
      <c r="A606" s="284"/>
      <c r="B606" s="282"/>
      <c r="C606" s="282"/>
      <c r="D606" s="282"/>
      <c r="E606" s="282"/>
      <c r="F606" s="285"/>
      <c r="G606" s="286"/>
      <c r="H606" s="286"/>
      <c r="I606" s="286"/>
      <c r="J606" s="286"/>
    </row>
    <row r="607" spans="1:10">
      <c r="A607" s="284"/>
      <c r="B607" s="282"/>
      <c r="C607" s="282"/>
      <c r="D607" s="282"/>
      <c r="E607" s="282"/>
      <c r="F607" s="285"/>
      <c r="G607" s="286"/>
      <c r="H607" s="286"/>
      <c r="I607" s="286"/>
      <c r="J607" s="286"/>
    </row>
    <row r="608" spans="1:10">
      <c r="A608" s="284"/>
      <c r="B608" s="282"/>
      <c r="C608" s="282"/>
      <c r="D608" s="282"/>
      <c r="E608" s="282"/>
      <c r="F608" s="285"/>
      <c r="G608" s="286"/>
      <c r="H608" s="286"/>
      <c r="I608" s="286"/>
      <c r="J608" s="286"/>
    </row>
    <row r="609" spans="1:10">
      <c r="A609" s="284"/>
      <c r="B609" s="282"/>
      <c r="C609" s="282"/>
      <c r="D609" s="282"/>
      <c r="E609" s="282"/>
      <c r="F609" s="285"/>
      <c r="G609" s="286"/>
      <c r="H609" s="286"/>
      <c r="I609" s="286"/>
      <c r="J609" s="286"/>
    </row>
    <row r="610" spans="1:10">
      <c r="A610" s="284"/>
      <c r="B610" s="282"/>
      <c r="C610" s="282"/>
      <c r="D610" s="282"/>
      <c r="E610" s="282"/>
      <c r="F610" s="285"/>
      <c r="G610" s="286"/>
      <c r="H610" s="286"/>
      <c r="I610" s="286"/>
      <c r="J610" s="286"/>
    </row>
    <row r="611" spans="1:10">
      <c r="A611" s="284"/>
      <c r="B611" s="282"/>
      <c r="C611" s="282"/>
      <c r="D611" s="282"/>
      <c r="E611" s="282"/>
      <c r="F611" s="285"/>
      <c r="G611" s="286"/>
      <c r="H611" s="286"/>
      <c r="I611" s="286"/>
      <c r="J611" s="286"/>
    </row>
    <row r="612" spans="1:10">
      <c r="A612" s="284"/>
      <c r="B612" s="282"/>
      <c r="C612" s="282"/>
      <c r="D612" s="282"/>
      <c r="E612" s="282"/>
      <c r="F612" s="285"/>
      <c r="G612" s="286"/>
      <c r="H612" s="286"/>
      <c r="I612" s="286"/>
      <c r="J612" s="286"/>
    </row>
    <row r="613" spans="1:10">
      <c r="A613" s="284"/>
      <c r="B613" s="282"/>
      <c r="C613" s="282"/>
      <c r="D613" s="282"/>
      <c r="E613" s="282"/>
      <c r="F613" s="285"/>
      <c r="G613" s="286"/>
      <c r="H613" s="286"/>
      <c r="I613" s="286"/>
      <c r="J613" s="286"/>
    </row>
    <row r="614" spans="1:10">
      <c r="A614" s="284"/>
      <c r="B614" s="282"/>
      <c r="C614" s="282"/>
      <c r="D614" s="282"/>
      <c r="E614" s="282"/>
      <c r="F614" s="285"/>
      <c r="G614" s="286"/>
      <c r="H614" s="286"/>
      <c r="I614" s="286"/>
      <c r="J614" s="286"/>
    </row>
    <row r="615" spans="1:10">
      <c r="A615" s="284"/>
      <c r="B615" s="282"/>
      <c r="C615" s="282"/>
      <c r="D615" s="282"/>
      <c r="E615" s="282"/>
      <c r="F615" s="285"/>
      <c r="G615" s="286"/>
      <c r="H615" s="286"/>
      <c r="I615" s="286"/>
      <c r="J615" s="286"/>
    </row>
    <row r="616" spans="1:10">
      <c r="A616" s="284"/>
      <c r="B616" s="282"/>
      <c r="C616" s="282"/>
      <c r="D616" s="282"/>
      <c r="E616" s="282"/>
      <c r="F616" s="285"/>
      <c r="G616" s="286"/>
      <c r="H616" s="286"/>
      <c r="I616" s="286"/>
      <c r="J616" s="286"/>
    </row>
    <row r="617" spans="1:10">
      <c r="A617" s="284"/>
      <c r="B617" s="282"/>
      <c r="C617" s="282"/>
      <c r="D617" s="282"/>
      <c r="E617" s="282"/>
      <c r="F617" s="285"/>
      <c r="G617" s="286"/>
      <c r="H617" s="286"/>
      <c r="I617" s="286"/>
      <c r="J617" s="286"/>
    </row>
    <row r="618" spans="1:10">
      <c r="A618" s="284"/>
      <c r="B618" s="282"/>
      <c r="C618" s="282"/>
      <c r="D618" s="282"/>
      <c r="E618" s="282"/>
      <c r="F618" s="285"/>
      <c r="G618" s="286"/>
      <c r="H618" s="286"/>
      <c r="I618" s="286"/>
      <c r="J618" s="286"/>
    </row>
    <row r="619" spans="1:10">
      <c r="A619" s="284"/>
      <c r="B619" s="282"/>
      <c r="C619" s="282"/>
      <c r="D619" s="282"/>
      <c r="E619" s="282"/>
      <c r="F619" s="285"/>
      <c r="G619" s="286"/>
      <c r="H619" s="286"/>
      <c r="I619" s="286"/>
      <c r="J619" s="286"/>
    </row>
    <row r="620" spans="1:10">
      <c r="A620" s="284"/>
      <c r="B620" s="282"/>
      <c r="C620" s="282"/>
      <c r="D620" s="282"/>
      <c r="E620" s="282"/>
      <c r="F620" s="285"/>
      <c r="G620" s="286"/>
      <c r="H620" s="286"/>
      <c r="I620" s="286"/>
      <c r="J620" s="286"/>
    </row>
    <row r="621" spans="1:10">
      <c r="A621" s="284"/>
      <c r="B621" s="282"/>
      <c r="C621" s="282"/>
      <c r="D621" s="282"/>
      <c r="E621" s="282"/>
      <c r="F621" s="285"/>
      <c r="G621" s="286"/>
      <c r="H621" s="286"/>
      <c r="I621" s="286"/>
      <c r="J621" s="286"/>
    </row>
    <row r="622" spans="1:10">
      <c r="A622" s="284"/>
      <c r="B622" s="282"/>
      <c r="C622" s="282"/>
      <c r="D622" s="282"/>
      <c r="E622" s="282"/>
      <c r="F622" s="285"/>
      <c r="G622" s="286"/>
      <c r="H622" s="286"/>
      <c r="I622" s="286"/>
      <c r="J622" s="286"/>
    </row>
    <row r="623" spans="1:10">
      <c r="A623" s="284"/>
      <c r="B623" s="282"/>
      <c r="C623" s="282"/>
      <c r="D623" s="282"/>
      <c r="E623" s="282"/>
      <c r="F623" s="285"/>
      <c r="G623" s="286"/>
      <c r="H623" s="286"/>
      <c r="I623" s="286"/>
      <c r="J623" s="286"/>
    </row>
    <row r="624" spans="1:10">
      <c r="A624" s="284"/>
      <c r="B624" s="282"/>
      <c r="C624" s="282"/>
      <c r="D624" s="282"/>
      <c r="E624" s="282"/>
      <c r="F624" s="285"/>
      <c r="G624" s="286"/>
      <c r="H624" s="286"/>
      <c r="I624" s="286"/>
      <c r="J624" s="286"/>
    </row>
    <row r="625" spans="1:10">
      <c r="A625" s="284"/>
      <c r="B625" s="282"/>
      <c r="C625" s="282"/>
      <c r="D625" s="282"/>
      <c r="E625" s="282"/>
      <c r="F625" s="285"/>
      <c r="G625" s="286"/>
      <c r="H625" s="286"/>
      <c r="I625" s="286"/>
      <c r="J625" s="286"/>
    </row>
    <row r="626" spans="1:10">
      <c r="A626" s="284"/>
      <c r="B626" s="282"/>
      <c r="C626" s="282"/>
      <c r="D626" s="282"/>
      <c r="E626" s="282"/>
      <c r="F626" s="285"/>
      <c r="G626" s="286"/>
      <c r="H626" s="286"/>
      <c r="I626" s="286"/>
      <c r="J626" s="286"/>
    </row>
    <row r="627" spans="1:10">
      <c r="A627" s="284"/>
      <c r="B627" s="282"/>
      <c r="C627" s="282"/>
      <c r="D627" s="282"/>
      <c r="E627" s="282"/>
      <c r="F627" s="285"/>
      <c r="G627" s="286"/>
      <c r="H627" s="286"/>
      <c r="I627" s="286"/>
      <c r="J627" s="286"/>
    </row>
    <row r="628" spans="1:10">
      <c r="A628" s="284"/>
      <c r="B628" s="282"/>
      <c r="C628" s="282"/>
      <c r="D628" s="282"/>
      <c r="E628" s="282"/>
      <c r="F628" s="285"/>
      <c r="G628" s="286"/>
      <c r="H628" s="286"/>
      <c r="I628" s="286"/>
      <c r="J628" s="286"/>
    </row>
    <row r="629" spans="1:10">
      <c r="A629" s="284"/>
      <c r="B629" s="282"/>
      <c r="C629" s="282"/>
      <c r="D629" s="282"/>
      <c r="E629" s="282"/>
      <c r="F629" s="285"/>
      <c r="G629" s="286"/>
      <c r="H629" s="286"/>
      <c r="I629" s="286"/>
      <c r="J629" s="286"/>
    </row>
    <row r="630" spans="1:10">
      <c r="A630" s="284"/>
      <c r="B630" s="282"/>
      <c r="C630" s="282"/>
      <c r="D630" s="282"/>
      <c r="E630" s="282"/>
      <c r="F630" s="285"/>
      <c r="G630" s="286"/>
      <c r="H630" s="286"/>
      <c r="I630" s="286"/>
      <c r="J630" s="286"/>
    </row>
    <row r="631" spans="1:10">
      <c r="A631" s="284"/>
      <c r="B631" s="282"/>
      <c r="C631" s="282"/>
      <c r="D631" s="282"/>
      <c r="E631" s="282"/>
      <c r="F631" s="285"/>
      <c r="G631" s="286"/>
      <c r="H631" s="286"/>
      <c r="I631" s="286"/>
      <c r="J631" s="286"/>
    </row>
    <row r="632" spans="1:10">
      <c r="A632" s="284"/>
      <c r="B632" s="282"/>
      <c r="C632" s="282"/>
      <c r="D632" s="282"/>
      <c r="E632" s="282"/>
      <c r="F632" s="285"/>
      <c r="G632" s="286"/>
      <c r="H632" s="286"/>
      <c r="I632" s="286"/>
      <c r="J632" s="286"/>
    </row>
    <row r="633" spans="1:10">
      <c r="A633" s="284"/>
      <c r="B633" s="282"/>
      <c r="C633" s="282"/>
      <c r="D633" s="282"/>
      <c r="E633" s="282"/>
      <c r="F633" s="285"/>
      <c r="G633" s="286"/>
      <c r="H633" s="286"/>
      <c r="I633" s="286"/>
      <c r="J633" s="286"/>
    </row>
    <row r="634" spans="1:10">
      <c r="A634" s="284"/>
      <c r="B634" s="282"/>
      <c r="C634" s="282"/>
      <c r="D634" s="282"/>
      <c r="E634" s="282"/>
      <c r="F634" s="285"/>
      <c r="G634" s="286"/>
      <c r="H634" s="286"/>
      <c r="I634" s="286"/>
      <c r="J634" s="286"/>
    </row>
    <row r="635" spans="1:10">
      <c r="A635" s="284"/>
      <c r="B635" s="282"/>
      <c r="C635" s="282"/>
      <c r="D635" s="282"/>
      <c r="E635" s="282"/>
      <c r="F635" s="285"/>
      <c r="G635" s="286"/>
      <c r="H635" s="286"/>
      <c r="I635" s="286"/>
      <c r="J635" s="286"/>
    </row>
    <row r="636" spans="1:10">
      <c r="A636" s="284"/>
      <c r="B636" s="282"/>
      <c r="C636" s="282"/>
      <c r="D636" s="282"/>
      <c r="E636" s="282"/>
      <c r="F636" s="285"/>
      <c r="G636" s="286"/>
      <c r="H636" s="286"/>
      <c r="I636" s="286"/>
      <c r="J636" s="286"/>
    </row>
    <row r="637" spans="1:10">
      <c r="A637" s="284"/>
      <c r="B637" s="282"/>
      <c r="C637" s="282"/>
      <c r="D637" s="282"/>
      <c r="E637" s="282"/>
      <c r="F637" s="285"/>
      <c r="G637" s="286"/>
      <c r="H637" s="286"/>
      <c r="I637" s="286"/>
      <c r="J637" s="286"/>
    </row>
    <row r="638" spans="1:10">
      <c r="A638" s="284"/>
      <c r="B638" s="282"/>
      <c r="C638" s="282"/>
      <c r="D638" s="282"/>
      <c r="E638" s="282"/>
      <c r="F638" s="285"/>
      <c r="G638" s="286"/>
      <c r="H638" s="286"/>
      <c r="I638" s="286"/>
      <c r="J638" s="286"/>
    </row>
    <row r="639" spans="1:10">
      <c r="A639" s="284"/>
      <c r="B639" s="282"/>
      <c r="C639" s="282"/>
      <c r="D639" s="282"/>
      <c r="E639" s="282"/>
      <c r="F639" s="285"/>
      <c r="G639" s="286"/>
      <c r="H639" s="286"/>
      <c r="I639" s="286"/>
      <c r="J639" s="286"/>
    </row>
    <row r="640" spans="1:10">
      <c r="A640" s="284"/>
      <c r="B640" s="282"/>
      <c r="C640" s="282"/>
      <c r="D640" s="282"/>
      <c r="E640" s="282"/>
      <c r="F640" s="285"/>
      <c r="G640" s="286"/>
      <c r="H640" s="286"/>
      <c r="I640" s="286"/>
      <c r="J640" s="286"/>
    </row>
    <row r="641" spans="1:10">
      <c r="A641" s="284"/>
      <c r="B641" s="282"/>
      <c r="C641" s="282"/>
      <c r="D641" s="282"/>
      <c r="E641" s="282"/>
      <c r="F641" s="285"/>
      <c r="G641" s="286"/>
      <c r="H641" s="286"/>
      <c r="I641" s="286"/>
      <c r="J641" s="286"/>
    </row>
    <row r="642" spans="1:10">
      <c r="A642" s="284"/>
      <c r="B642" s="282"/>
      <c r="C642" s="282"/>
      <c r="D642" s="282"/>
      <c r="E642" s="282"/>
      <c r="F642" s="285"/>
      <c r="G642" s="286"/>
      <c r="H642" s="286"/>
      <c r="I642" s="286"/>
      <c r="J642" s="286"/>
    </row>
    <row r="643" spans="1:10">
      <c r="A643" s="284"/>
      <c r="B643" s="282"/>
      <c r="C643" s="282"/>
      <c r="D643" s="282"/>
      <c r="E643" s="282"/>
      <c r="F643" s="285"/>
      <c r="G643" s="286"/>
      <c r="H643" s="286"/>
      <c r="I643" s="286"/>
      <c r="J643" s="286"/>
    </row>
    <row r="644" spans="1:10">
      <c r="A644" s="284"/>
      <c r="B644" s="282"/>
      <c r="C644" s="282"/>
      <c r="D644" s="282"/>
      <c r="E644" s="282"/>
      <c r="F644" s="285"/>
      <c r="G644" s="286"/>
      <c r="H644" s="286"/>
      <c r="I644" s="286"/>
      <c r="J644" s="286"/>
    </row>
    <row r="645" spans="1:10">
      <c r="A645" s="284"/>
      <c r="B645" s="282"/>
      <c r="C645" s="282"/>
      <c r="D645" s="282"/>
      <c r="E645" s="282"/>
      <c r="F645" s="285"/>
      <c r="G645" s="286"/>
      <c r="H645" s="286"/>
      <c r="I645" s="286"/>
      <c r="J645" s="286"/>
    </row>
    <row r="646" spans="1:10">
      <c r="A646" s="284"/>
      <c r="B646" s="282"/>
      <c r="C646" s="282"/>
      <c r="D646" s="282"/>
      <c r="E646" s="282"/>
      <c r="F646" s="285"/>
      <c r="G646" s="286"/>
      <c r="H646" s="286"/>
      <c r="I646" s="286"/>
      <c r="J646" s="286"/>
    </row>
    <row r="647" spans="1:10">
      <c r="A647" s="284"/>
      <c r="B647" s="282"/>
      <c r="C647" s="282"/>
      <c r="D647" s="282"/>
      <c r="E647" s="282"/>
      <c r="F647" s="285"/>
      <c r="G647" s="286"/>
      <c r="H647" s="286"/>
      <c r="I647" s="286"/>
      <c r="J647" s="286"/>
    </row>
    <row r="648" spans="1:10">
      <c r="A648" s="284"/>
      <c r="B648" s="282"/>
      <c r="C648" s="282"/>
      <c r="D648" s="282"/>
      <c r="E648" s="282"/>
      <c r="F648" s="285"/>
      <c r="G648" s="286"/>
      <c r="H648" s="286"/>
      <c r="I648" s="286"/>
      <c r="J648" s="286"/>
    </row>
    <row r="649" spans="1:10">
      <c r="A649" s="284"/>
      <c r="B649" s="282"/>
      <c r="C649" s="282"/>
      <c r="D649" s="282"/>
      <c r="E649" s="282"/>
      <c r="F649" s="285"/>
      <c r="G649" s="286"/>
      <c r="H649" s="286"/>
      <c r="I649" s="286"/>
      <c r="J649" s="286"/>
    </row>
    <row r="650" spans="1:10">
      <c r="A650" s="284"/>
      <c r="B650" s="282"/>
      <c r="C650" s="282"/>
      <c r="D650" s="282"/>
      <c r="E650" s="282"/>
      <c r="F650" s="285"/>
      <c r="G650" s="286"/>
      <c r="H650" s="286"/>
      <c r="I650" s="286"/>
      <c r="J650" s="286"/>
    </row>
    <row r="651" spans="1:10">
      <c r="A651" s="284"/>
      <c r="B651" s="282"/>
      <c r="C651" s="282"/>
      <c r="D651" s="282"/>
      <c r="E651" s="282"/>
      <c r="F651" s="285"/>
      <c r="G651" s="286"/>
      <c r="H651" s="286"/>
      <c r="I651" s="286"/>
      <c r="J651" s="286"/>
    </row>
    <row r="652" spans="1:10">
      <c r="A652" s="284"/>
      <c r="B652" s="282"/>
      <c r="C652" s="282"/>
      <c r="D652" s="282"/>
      <c r="E652" s="282"/>
      <c r="F652" s="285"/>
      <c r="G652" s="286"/>
      <c r="H652" s="286"/>
      <c r="I652" s="286"/>
      <c r="J652" s="286"/>
    </row>
    <row r="653" spans="1:10">
      <c r="A653" s="284"/>
      <c r="B653" s="282"/>
      <c r="C653" s="282"/>
      <c r="D653" s="282"/>
      <c r="E653" s="282"/>
      <c r="F653" s="285"/>
      <c r="G653" s="286"/>
      <c r="H653" s="286"/>
      <c r="I653" s="286"/>
      <c r="J653" s="286"/>
    </row>
    <row r="654" spans="1:10">
      <c r="A654" s="284"/>
      <c r="B654" s="282"/>
      <c r="C654" s="282"/>
      <c r="D654" s="282"/>
      <c r="E654" s="282"/>
      <c r="F654" s="285"/>
      <c r="G654" s="286"/>
      <c r="H654" s="286"/>
      <c r="I654" s="286"/>
      <c r="J654" s="286"/>
    </row>
    <row r="655" spans="1:10">
      <c r="A655" s="284"/>
      <c r="B655" s="282"/>
      <c r="C655" s="282"/>
      <c r="D655" s="282"/>
      <c r="E655" s="282"/>
      <c r="F655" s="285"/>
      <c r="G655" s="286"/>
      <c r="H655" s="286"/>
      <c r="I655" s="286"/>
      <c r="J655" s="286"/>
    </row>
    <row r="656" spans="1:10">
      <c r="A656" s="284"/>
      <c r="B656" s="282"/>
      <c r="C656" s="282"/>
      <c r="D656" s="282"/>
      <c r="E656" s="282"/>
      <c r="F656" s="285"/>
      <c r="G656" s="286"/>
      <c r="H656" s="286"/>
      <c r="I656" s="286"/>
      <c r="J656" s="286"/>
    </row>
    <row r="657" spans="1:10">
      <c r="A657" s="284"/>
      <c r="B657" s="282"/>
      <c r="C657" s="282"/>
      <c r="D657" s="282"/>
      <c r="E657" s="282"/>
      <c r="F657" s="285"/>
      <c r="G657" s="286"/>
      <c r="H657" s="286"/>
      <c r="I657" s="286"/>
      <c r="J657" s="286"/>
    </row>
    <row r="658" spans="1:10">
      <c r="A658" s="284"/>
      <c r="B658" s="282"/>
      <c r="C658" s="282"/>
      <c r="D658" s="282"/>
      <c r="E658" s="282"/>
      <c r="F658" s="285"/>
      <c r="G658" s="286"/>
      <c r="H658" s="286"/>
      <c r="I658" s="286"/>
      <c r="J658" s="286"/>
    </row>
    <row r="659" spans="1:10">
      <c r="A659" s="284"/>
      <c r="B659" s="282"/>
      <c r="C659" s="282"/>
      <c r="D659" s="282"/>
      <c r="E659" s="282"/>
      <c r="F659" s="285"/>
      <c r="G659" s="286"/>
      <c r="H659" s="286"/>
      <c r="I659" s="286"/>
      <c r="J659" s="286"/>
    </row>
    <row r="660" spans="1:10">
      <c r="A660" s="284"/>
      <c r="B660" s="282"/>
      <c r="C660" s="282"/>
      <c r="D660" s="282"/>
      <c r="E660" s="282"/>
      <c r="F660" s="285"/>
      <c r="G660" s="286"/>
      <c r="H660" s="286"/>
      <c r="I660" s="286"/>
      <c r="J660" s="286"/>
    </row>
    <row r="661" spans="1:10">
      <c r="A661" s="284"/>
      <c r="B661" s="282"/>
      <c r="C661" s="282"/>
      <c r="D661" s="282"/>
      <c r="E661" s="282"/>
      <c r="F661" s="285"/>
      <c r="G661" s="286"/>
      <c r="H661" s="286"/>
      <c r="I661" s="286"/>
      <c r="J661" s="286"/>
    </row>
    <row r="662" spans="1:10">
      <c r="A662" s="284"/>
      <c r="B662" s="282"/>
      <c r="C662" s="282"/>
      <c r="D662" s="282"/>
      <c r="E662" s="282"/>
      <c r="F662" s="285"/>
      <c r="G662" s="286"/>
      <c r="H662" s="286"/>
      <c r="I662" s="286"/>
      <c r="J662" s="286"/>
    </row>
    <row r="663" spans="1:10">
      <c r="A663" s="284"/>
      <c r="B663" s="282"/>
      <c r="C663" s="282"/>
      <c r="D663" s="282"/>
      <c r="E663" s="282"/>
      <c r="F663" s="285"/>
      <c r="G663" s="286"/>
      <c r="H663" s="286"/>
      <c r="I663" s="286"/>
      <c r="J663" s="286"/>
    </row>
    <row r="664" spans="1:10">
      <c r="A664" s="284"/>
      <c r="B664" s="282"/>
      <c r="C664" s="282"/>
      <c r="D664" s="282"/>
      <c r="E664" s="282"/>
      <c r="F664" s="285"/>
      <c r="G664" s="286"/>
      <c r="H664" s="286"/>
      <c r="I664" s="286"/>
      <c r="J664" s="286"/>
    </row>
    <row r="665" spans="1:10">
      <c r="A665" s="284"/>
      <c r="B665" s="282"/>
      <c r="C665" s="282"/>
      <c r="D665" s="282"/>
      <c r="E665" s="282"/>
      <c r="F665" s="285"/>
      <c r="G665" s="286"/>
      <c r="H665" s="286"/>
      <c r="I665" s="286"/>
      <c r="J665" s="286"/>
    </row>
    <row r="666" spans="1:10">
      <c r="A666" s="284"/>
      <c r="B666" s="282"/>
      <c r="C666" s="282"/>
      <c r="D666" s="282"/>
      <c r="E666" s="282"/>
      <c r="F666" s="285"/>
      <c r="G666" s="286"/>
      <c r="H666" s="286"/>
      <c r="I666" s="286"/>
      <c r="J666" s="286"/>
    </row>
    <row r="667" spans="1:10">
      <c r="A667" s="284"/>
      <c r="B667" s="282"/>
      <c r="C667" s="282"/>
      <c r="D667" s="282"/>
      <c r="E667" s="282"/>
      <c r="F667" s="285"/>
      <c r="G667" s="286"/>
      <c r="H667" s="286"/>
      <c r="I667" s="286"/>
      <c r="J667" s="286"/>
    </row>
    <row r="668" spans="1:10">
      <c r="A668" s="284"/>
      <c r="B668" s="282"/>
      <c r="C668" s="282"/>
      <c r="D668" s="282"/>
      <c r="E668" s="282"/>
      <c r="F668" s="285"/>
      <c r="G668" s="286"/>
      <c r="H668" s="286"/>
      <c r="I668" s="286"/>
      <c r="J668" s="286"/>
    </row>
    <row r="669" spans="1:10">
      <c r="A669" s="284"/>
      <c r="B669" s="282"/>
      <c r="C669" s="282"/>
      <c r="D669" s="282"/>
      <c r="E669" s="282"/>
      <c r="F669" s="285"/>
      <c r="G669" s="286"/>
      <c r="H669" s="286"/>
      <c r="I669" s="286"/>
      <c r="J669" s="286"/>
    </row>
    <row r="670" spans="1:10">
      <c r="A670" s="284"/>
      <c r="B670" s="282"/>
      <c r="C670" s="282"/>
      <c r="D670" s="282"/>
      <c r="E670" s="282"/>
      <c r="F670" s="285"/>
      <c r="G670" s="286"/>
      <c r="H670" s="286"/>
      <c r="I670" s="286"/>
      <c r="J670" s="286"/>
    </row>
    <row r="671" spans="1:10">
      <c r="A671" s="284"/>
      <c r="B671" s="282"/>
      <c r="C671" s="282"/>
      <c r="D671" s="282"/>
      <c r="E671" s="282"/>
      <c r="F671" s="285"/>
      <c r="G671" s="286"/>
      <c r="H671" s="286"/>
      <c r="I671" s="286"/>
      <c r="J671" s="286"/>
    </row>
    <row r="672" spans="1:10">
      <c r="A672" s="284"/>
      <c r="B672" s="282"/>
      <c r="C672" s="282"/>
      <c r="D672" s="282"/>
      <c r="E672" s="282"/>
      <c r="F672" s="285"/>
      <c r="G672" s="286"/>
      <c r="H672" s="286"/>
      <c r="I672" s="286"/>
      <c r="J672" s="286"/>
    </row>
    <row r="673" spans="1:10">
      <c r="A673" s="284"/>
      <c r="B673" s="282"/>
      <c r="C673" s="282"/>
      <c r="D673" s="282"/>
      <c r="E673" s="282"/>
      <c r="F673" s="285"/>
      <c r="G673" s="286"/>
      <c r="H673" s="286"/>
      <c r="I673" s="286"/>
      <c r="J673" s="286"/>
    </row>
    <row r="674" spans="1:10">
      <c r="A674" s="284"/>
      <c r="B674" s="282"/>
      <c r="C674" s="282"/>
      <c r="D674" s="282"/>
      <c r="E674" s="282"/>
      <c r="F674" s="285"/>
      <c r="G674" s="286"/>
      <c r="H674" s="286"/>
      <c r="I674" s="286"/>
      <c r="J674" s="286"/>
    </row>
    <row r="675" spans="1:10">
      <c r="A675" s="284"/>
      <c r="B675" s="282"/>
      <c r="C675" s="282"/>
      <c r="D675" s="282"/>
      <c r="E675" s="282"/>
      <c r="F675" s="285"/>
      <c r="G675" s="286"/>
      <c r="H675" s="286"/>
      <c r="I675" s="286"/>
      <c r="J675" s="286"/>
    </row>
    <row r="676" spans="1:10">
      <c r="A676" s="284"/>
      <c r="B676" s="282"/>
      <c r="C676" s="282"/>
      <c r="D676" s="282"/>
      <c r="E676" s="282"/>
      <c r="F676" s="285"/>
      <c r="G676" s="286"/>
      <c r="H676" s="286"/>
      <c r="I676" s="286"/>
      <c r="J676" s="286"/>
    </row>
    <row r="677" spans="1:10">
      <c r="A677" s="284"/>
      <c r="B677" s="282"/>
      <c r="C677" s="282"/>
      <c r="D677" s="282"/>
      <c r="E677" s="282"/>
      <c r="F677" s="285"/>
      <c r="G677" s="286"/>
      <c r="H677" s="286"/>
      <c r="I677" s="286"/>
      <c r="J677" s="286"/>
    </row>
    <row r="678" spans="1:10">
      <c r="A678" s="284"/>
      <c r="B678" s="282"/>
      <c r="C678" s="282"/>
      <c r="D678" s="282"/>
      <c r="E678" s="282"/>
      <c r="F678" s="285"/>
      <c r="G678" s="286"/>
      <c r="H678" s="286"/>
      <c r="I678" s="286"/>
      <c r="J678" s="286"/>
    </row>
    <row r="679" spans="1:10">
      <c r="A679" s="284"/>
      <c r="B679" s="282"/>
      <c r="C679" s="282"/>
      <c r="D679" s="282"/>
      <c r="E679" s="282"/>
      <c r="F679" s="285"/>
      <c r="G679" s="286"/>
      <c r="H679" s="286"/>
      <c r="I679" s="286"/>
      <c r="J679" s="286"/>
    </row>
    <row r="680" spans="1:10">
      <c r="A680" s="284"/>
      <c r="B680" s="282"/>
      <c r="C680" s="282"/>
      <c r="D680" s="282"/>
      <c r="E680" s="282"/>
      <c r="F680" s="285"/>
      <c r="G680" s="286"/>
      <c r="H680" s="286"/>
      <c r="I680" s="286"/>
      <c r="J680" s="286"/>
    </row>
    <row r="681" spans="1:10">
      <c r="A681" s="284"/>
      <c r="B681" s="282"/>
      <c r="C681" s="282"/>
      <c r="D681" s="282"/>
      <c r="E681" s="282"/>
      <c r="F681" s="285"/>
      <c r="G681" s="286"/>
      <c r="H681" s="286"/>
      <c r="I681" s="286"/>
      <c r="J681" s="286"/>
    </row>
    <row r="682" spans="1:10">
      <c r="A682" s="284"/>
      <c r="B682" s="282"/>
      <c r="C682" s="282"/>
      <c r="D682" s="282"/>
      <c r="E682" s="282"/>
      <c r="F682" s="285"/>
      <c r="G682" s="286"/>
      <c r="H682" s="286"/>
      <c r="I682" s="286"/>
      <c r="J682" s="286"/>
    </row>
    <row r="683" spans="1:10">
      <c r="A683" s="284"/>
      <c r="B683" s="282"/>
      <c r="C683" s="282"/>
      <c r="D683" s="282"/>
      <c r="E683" s="282"/>
      <c r="F683" s="285"/>
      <c r="G683" s="286"/>
      <c r="H683" s="286"/>
      <c r="I683" s="286"/>
      <c r="J683" s="286"/>
    </row>
    <row r="684" spans="1:10">
      <c r="A684" s="284"/>
      <c r="B684" s="282"/>
      <c r="C684" s="282"/>
      <c r="D684" s="282"/>
      <c r="E684" s="282"/>
      <c r="F684" s="285"/>
      <c r="G684" s="286"/>
      <c r="H684" s="286"/>
      <c r="I684" s="286"/>
      <c r="J684" s="286"/>
    </row>
    <row r="685" spans="1:10">
      <c r="A685" s="284"/>
      <c r="B685" s="282"/>
      <c r="C685" s="282"/>
      <c r="D685" s="282"/>
      <c r="E685" s="282"/>
      <c r="F685" s="285"/>
      <c r="G685" s="286"/>
      <c r="H685" s="286"/>
      <c r="I685" s="286"/>
      <c r="J685" s="286"/>
    </row>
    <row r="686" spans="1:10">
      <c r="A686" s="284"/>
      <c r="B686" s="282"/>
      <c r="C686" s="282"/>
      <c r="D686" s="282"/>
      <c r="E686" s="282"/>
      <c r="F686" s="285"/>
      <c r="G686" s="286"/>
      <c r="H686" s="286"/>
      <c r="I686" s="286"/>
      <c r="J686" s="286"/>
    </row>
    <row r="687" spans="1:10">
      <c r="A687" s="284"/>
      <c r="B687" s="282"/>
      <c r="C687" s="282"/>
      <c r="D687" s="282"/>
      <c r="E687" s="282"/>
      <c r="F687" s="285"/>
      <c r="G687" s="286"/>
      <c r="H687" s="286"/>
      <c r="I687" s="286"/>
      <c r="J687" s="286"/>
    </row>
    <row r="688" spans="1:10">
      <c r="A688" s="284"/>
      <c r="B688" s="282"/>
      <c r="C688" s="282"/>
      <c r="D688" s="282"/>
      <c r="E688" s="282"/>
      <c r="F688" s="285"/>
      <c r="G688" s="286"/>
      <c r="H688" s="286"/>
      <c r="I688" s="286"/>
      <c r="J688" s="286"/>
    </row>
    <row r="689" spans="1:10">
      <c r="A689" s="284"/>
      <c r="B689" s="282"/>
      <c r="C689" s="282"/>
      <c r="D689" s="282"/>
      <c r="E689" s="282"/>
      <c r="F689" s="285"/>
      <c r="G689" s="286"/>
      <c r="H689" s="286"/>
      <c r="I689" s="286"/>
      <c r="J689" s="286"/>
    </row>
    <row r="690" spans="1:10">
      <c r="A690" s="284"/>
      <c r="B690" s="282"/>
      <c r="C690" s="282"/>
      <c r="D690" s="282"/>
      <c r="E690" s="282"/>
      <c r="F690" s="285"/>
      <c r="G690" s="286"/>
      <c r="H690" s="286"/>
      <c r="I690" s="286"/>
      <c r="J690" s="286"/>
    </row>
    <row r="691" spans="1:10">
      <c r="A691" s="284"/>
      <c r="B691" s="282"/>
      <c r="C691" s="282"/>
      <c r="D691" s="282"/>
      <c r="E691" s="282"/>
      <c r="F691" s="285"/>
      <c r="G691" s="286"/>
      <c r="H691" s="286"/>
      <c r="I691" s="286"/>
      <c r="J691" s="286"/>
    </row>
    <row r="692" spans="1:10">
      <c r="A692" s="284"/>
      <c r="B692" s="282"/>
      <c r="C692" s="282"/>
      <c r="D692" s="282"/>
      <c r="E692" s="282"/>
      <c r="F692" s="285"/>
      <c r="G692" s="286"/>
      <c r="H692" s="286"/>
      <c r="I692" s="286"/>
      <c r="J692" s="286"/>
    </row>
    <row r="693" spans="1:10">
      <c r="A693" s="284"/>
      <c r="B693" s="282"/>
      <c r="C693" s="282"/>
      <c r="D693" s="282"/>
      <c r="E693" s="282"/>
      <c r="F693" s="285"/>
      <c r="G693" s="286"/>
      <c r="H693" s="286"/>
      <c r="I693" s="286"/>
      <c r="J693" s="286"/>
    </row>
    <row r="694" spans="1:10">
      <c r="A694" s="284"/>
      <c r="B694" s="282"/>
      <c r="C694" s="282"/>
      <c r="D694" s="282"/>
      <c r="E694" s="282"/>
      <c r="F694" s="285"/>
      <c r="G694" s="286"/>
      <c r="H694" s="286"/>
      <c r="I694" s="286"/>
      <c r="J694" s="286"/>
    </row>
    <row r="695" spans="1:10">
      <c r="A695" s="284"/>
      <c r="B695" s="282"/>
      <c r="C695" s="282"/>
      <c r="D695" s="282"/>
      <c r="E695" s="282"/>
      <c r="F695" s="285"/>
      <c r="G695" s="286"/>
      <c r="H695" s="286"/>
      <c r="I695" s="286"/>
      <c r="J695" s="286"/>
    </row>
    <row r="696" spans="1:10">
      <c r="A696" s="284"/>
      <c r="B696" s="282"/>
      <c r="C696" s="282"/>
      <c r="D696" s="282"/>
      <c r="E696" s="282"/>
      <c r="F696" s="285"/>
      <c r="G696" s="286"/>
      <c r="H696" s="286"/>
      <c r="I696" s="286"/>
      <c r="J696" s="286"/>
    </row>
    <row r="697" spans="1:10">
      <c r="A697" s="284"/>
      <c r="B697" s="282"/>
      <c r="C697" s="282"/>
      <c r="D697" s="282"/>
      <c r="E697" s="282"/>
      <c r="F697" s="285"/>
      <c r="G697" s="286"/>
      <c r="H697" s="286"/>
      <c r="I697" s="286"/>
      <c r="J697" s="286"/>
    </row>
    <row r="698" spans="1:10">
      <c r="A698" s="284"/>
      <c r="B698" s="282"/>
      <c r="C698" s="282"/>
      <c r="D698" s="282"/>
      <c r="E698" s="282"/>
      <c r="F698" s="285"/>
      <c r="G698" s="286"/>
      <c r="H698" s="286"/>
      <c r="I698" s="286"/>
      <c r="J698" s="286"/>
    </row>
    <row r="699" spans="1:10">
      <c r="A699" s="284"/>
      <c r="B699" s="282"/>
      <c r="C699" s="282"/>
      <c r="D699" s="282"/>
      <c r="E699" s="282"/>
      <c r="F699" s="285"/>
      <c r="G699" s="286"/>
      <c r="H699" s="286"/>
      <c r="I699" s="286"/>
      <c r="J699" s="286"/>
    </row>
    <row r="700" spans="1:10">
      <c r="A700" s="284"/>
      <c r="B700" s="282"/>
      <c r="C700" s="282"/>
      <c r="D700" s="282"/>
      <c r="E700" s="282"/>
      <c r="F700" s="285"/>
      <c r="G700" s="286"/>
      <c r="H700" s="286"/>
      <c r="I700" s="286"/>
      <c r="J700" s="286"/>
    </row>
    <row r="701" spans="1:10">
      <c r="A701" s="284"/>
      <c r="B701" s="282"/>
      <c r="C701" s="282"/>
      <c r="D701" s="282"/>
      <c r="E701" s="282"/>
      <c r="F701" s="285"/>
      <c r="G701" s="286"/>
      <c r="H701" s="286"/>
      <c r="I701" s="286"/>
      <c r="J701" s="286"/>
    </row>
    <row r="702" spans="1:10">
      <c r="A702" s="284"/>
      <c r="B702" s="282"/>
      <c r="C702" s="282"/>
      <c r="D702" s="282"/>
      <c r="E702" s="282"/>
      <c r="F702" s="285"/>
      <c r="G702" s="286"/>
      <c r="H702" s="286"/>
      <c r="I702" s="286"/>
      <c r="J702" s="286"/>
    </row>
    <row r="703" spans="1:10">
      <c r="A703" s="284"/>
      <c r="B703" s="282"/>
      <c r="C703" s="282"/>
      <c r="D703" s="282"/>
      <c r="E703" s="282"/>
      <c r="F703" s="285"/>
      <c r="G703" s="286"/>
      <c r="H703" s="286"/>
      <c r="I703" s="286"/>
      <c r="J703" s="286"/>
    </row>
    <row r="704" spans="1:10">
      <c r="A704" s="284"/>
      <c r="B704" s="282"/>
      <c r="C704" s="282"/>
      <c r="D704" s="282"/>
      <c r="E704" s="282"/>
      <c r="F704" s="285"/>
      <c r="G704" s="286"/>
      <c r="H704" s="286"/>
      <c r="I704" s="286"/>
      <c r="J704" s="286"/>
    </row>
    <row r="705" spans="1:10">
      <c r="A705" s="284"/>
      <c r="B705" s="282"/>
      <c r="C705" s="282"/>
      <c r="D705" s="282"/>
      <c r="E705" s="282"/>
      <c r="F705" s="285"/>
      <c r="G705" s="286"/>
      <c r="H705" s="286"/>
      <c r="I705" s="286"/>
      <c r="J705" s="286"/>
    </row>
    <row r="706" spans="1:10">
      <c r="A706" s="284"/>
      <c r="B706" s="282"/>
      <c r="C706" s="282"/>
      <c r="D706" s="282"/>
      <c r="E706" s="282"/>
      <c r="F706" s="285"/>
      <c r="G706" s="286"/>
      <c r="H706" s="286"/>
      <c r="I706" s="286"/>
      <c r="J706" s="286"/>
    </row>
    <row r="707" spans="1:10">
      <c r="A707" s="284"/>
      <c r="B707" s="282"/>
      <c r="C707" s="282"/>
      <c r="D707" s="282"/>
      <c r="E707" s="282"/>
      <c r="F707" s="285"/>
      <c r="G707" s="286"/>
      <c r="H707" s="286"/>
      <c r="I707" s="286"/>
      <c r="J707" s="286"/>
    </row>
    <row r="708" spans="1:10">
      <c r="A708" s="284"/>
      <c r="B708" s="282"/>
      <c r="C708" s="282"/>
      <c r="D708" s="282"/>
      <c r="E708" s="282"/>
      <c r="F708" s="285"/>
      <c r="G708" s="286"/>
      <c r="H708" s="286"/>
      <c r="I708" s="286"/>
      <c r="J708" s="286"/>
    </row>
    <row r="709" spans="1:10">
      <c r="A709" s="284"/>
      <c r="B709" s="282"/>
      <c r="C709" s="282"/>
      <c r="D709" s="282"/>
      <c r="E709" s="282"/>
      <c r="F709" s="285"/>
      <c r="G709" s="286"/>
      <c r="H709" s="286"/>
      <c r="I709" s="286"/>
      <c r="J709" s="286"/>
    </row>
    <row r="710" spans="1:10">
      <c r="A710" s="284"/>
      <c r="B710" s="282"/>
      <c r="C710" s="282"/>
      <c r="D710" s="282"/>
      <c r="E710" s="282"/>
      <c r="F710" s="285"/>
      <c r="G710" s="286"/>
      <c r="H710" s="286"/>
      <c r="I710" s="286"/>
      <c r="J710" s="286"/>
    </row>
    <row r="711" spans="1:10">
      <c r="A711" s="284"/>
      <c r="B711" s="282"/>
      <c r="C711" s="282"/>
      <c r="D711" s="282"/>
      <c r="E711" s="282"/>
      <c r="F711" s="285"/>
      <c r="G711" s="286"/>
      <c r="H711" s="286"/>
      <c r="I711" s="286"/>
      <c r="J711" s="286"/>
    </row>
    <row r="712" spans="1:10">
      <c r="A712" s="284"/>
      <c r="B712" s="282"/>
      <c r="C712" s="282"/>
      <c r="D712" s="282"/>
      <c r="E712" s="282"/>
      <c r="F712" s="285"/>
      <c r="G712" s="286"/>
      <c r="H712" s="286"/>
      <c r="I712" s="286"/>
      <c r="J712" s="286"/>
    </row>
    <row r="713" spans="1:10">
      <c r="A713" s="284"/>
      <c r="B713" s="282"/>
      <c r="C713" s="282"/>
      <c r="D713" s="282"/>
      <c r="E713" s="282"/>
      <c r="F713" s="285"/>
      <c r="G713" s="286"/>
      <c r="H713" s="286"/>
      <c r="I713" s="286"/>
      <c r="J713" s="286"/>
    </row>
    <row r="714" spans="1:10">
      <c r="A714" s="284"/>
      <c r="B714" s="282"/>
      <c r="C714" s="282"/>
      <c r="D714" s="282"/>
      <c r="E714" s="282"/>
      <c r="F714" s="285"/>
      <c r="G714" s="286"/>
      <c r="H714" s="286"/>
      <c r="I714" s="286"/>
      <c r="J714" s="286"/>
    </row>
    <row r="715" spans="1:10">
      <c r="A715" s="284"/>
      <c r="B715" s="282"/>
      <c r="C715" s="282"/>
      <c r="D715" s="282"/>
      <c r="E715" s="282"/>
      <c r="F715" s="285"/>
      <c r="G715" s="286"/>
      <c r="H715" s="286"/>
      <c r="I715" s="286"/>
      <c r="J715" s="286"/>
    </row>
    <row r="716" spans="1:10">
      <c r="A716" s="284"/>
      <c r="B716" s="282"/>
      <c r="C716" s="282"/>
      <c r="D716" s="282"/>
      <c r="E716" s="282"/>
      <c r="F716" s="285"/>
      <c r="G716" s="286"/>
      <c r="H716" s="286"/>
      <c r="I716" s="286"/>
      <c r="J716" s="286"/>
    </row>
    <row r="717" spans="1:10">
      <c r="A717" s="284"/>
      <c r="B717" s="282"/>
      <c r="C717" s="282"/>
      <c r="D717" s="282"/>
      <c r="E717" s="282"/>
      <c r="F717" s="285"/>
      <c r="G717" s="286"/>
      <c r="H717" s="286"/>
      <c r="I717" s="286"/>
      <c r="J717" s="286"/>
    </row>
    <row r="718" spans="1:10">
      <c r="A718" s="284"/>
      <c r="B718" s="282"/>
      <c r="C718" s="282"/>
      <c r="D718" s="282"/>
      <c r="E718" s="282"/>
      <c r="F718" s="285"/>
      <c r="G718" s="286"/>
      <c r="H718" s="286"/>
      <c r="I718" s="286"/>
      <c r="J718" s="286"/>
    </row>
    <row r="719" spans="1:10">
      <c r="A719" s="284"/>
      <c r="B719" s="282"/>
      <c r="C719" s="282"/>
      <c r="D719" s="282"/>
      <c r="E719" s="282"/>
      <c r="F719" s="285"/>
      <c r="G719" s="286"/>
      <c r="H719" s="286"/>
      <c r="I719" s="286"/>
      <c r="J719" s="286"/>
    </row>
    <row r="720" spans="1:10">
      <c r="A720" s="284"/>
      <c r="B720" s="282"/>
      <c r="C720" s="282"/>
      <c r="D720" s="282"/>
      <c r="E720" s="282"/>
      <c r="F720" s="285"/>
      <c r="G720" s="286"/>
      <c r="H720" s="286"/>
      <c r="I720" s="286"/>
      <c r="J720" s="286"/>
    </row>
    <row r="721" spans="1:10">
      <c r="A721" s="284"/>
      <c r="B721" s="282"/>
      <c r="C721" s="282"/>
      <c r="D721" s="282"/>
      <c r="E721" s="282"/>
      <c r="F721" s="285"/>
      <c r="G721" s="286"/>
      <c r="H721" s="286"/>
      <c r="I721" s="286"/>
      <c r="J721" s="286"/>
    </row>
    <row r="722" spans="1:10">
      <c r="A722" s="284"/>
      <c r="B722" s="282"/>
      <c r="C722" s="282"/>
      <c r="D722" s="282"/>
      <c r="E722" s="282"/>
      <c r="F722" s="285"/>
      <c r="G722" s="286"/>
      <c r="H722" s="286"/>
      <c r="I722" s="286"/>
      <c r="J722" s="286"/>
    </row>
    <row r="723" spans="1:10">
      <c r="A723" s="284"/>
      <c r="B723" s="282"/>
      <c r="C723" s="282"/>
      <c r="D723" s="282"/>
      <c r="E723" s="282"/>
      <c r="F723" s="285"/>
      <c r="G723" s="286"/>
      <c r="H723" s="286"/>
      <c r="I723" s="286"/>
      <c r="J723" s="286"/>
    </row>
    <row r="724" spans="1:10">
      <c r="A724" s="284"/>
      <c r="B724" s="282"/>
      <c r="C724" s="282"/>
      <c r="D724" s="282"/>
      <c r="E724" s="282"/>
      <c r="F724" s="285"/>
      <c r="G724" s="286"/>
      <c r="H724" s="286"/>
      <c r="I724" s="286"/>
      <c r="J724" s="286"/>
    </row>
    <row r="725" spans="1:10">
      <c r="A725" s="284"/>
      <c r="B725" s="282"/>
      <c r="C725" s="282"/>
      <c r="D725" s="282"/>
      <c r="E725" s="282"/>
      <c r="F725" s="285"/>
      <c r="G725" s="286"/>
      <c r="H725" s="286"/>
      <c r="I725" s="286"/>
      <c r="J725" s="286"/>
    </row>
    <row r="726" spans="1:10">
      <c r="A726" s="284"/>
      <c r="B726" s="282"/>
      <c r="C726" s="282"/>
      <c r="D726" s="282"/>
      <c r="E726" s="282"/>
      <c r="F726" s="285"/>
      <c r="G726" s="286"/>
      <c r="H726" s="286"/>
      <c r="I726" s="286"/>
      <c r="J726" s="286"/>
    </row>
    <row r="727" spans="1:10">
      <c r="A727" s="284"/>
      <c r="B727" s="282"/>
      <c r="C727" s="282"/>
      <c r="D727" s="282"/>
      <c r="E727" s="282"/>
      <c r="F727" s="285"/>
      <c r="G727" s="286"/>
      <c r="H727" s="286"/>
      <c r="I727" s="286"/>
      <c r="J727" s="286"/>
    </row>
    <row r="728" spans="1:10">
      <c r="A728" s="284"/>
      <c r="B728" s="282"/>
      <c r="C728" s="282"/>
      <c r="D728" s="282"/>
      <c r="E728" s="282"/>
      <c r="F728" s="285"/>
      <c r="G728" s="286"/>
      <c r="H728" s="286"/>
      <c r="I728" s="286"/>
      <c r="J728" s="286"/>
    </row>
    <row r="729" spans="1:10">
      <c r="A729" s="284"/>
      <c r="B729" s="282"/>
      <c r="C729" s="282"/>
      <c r="D729" s="282"/>
      <c r="E729" s="282"/>
      <c r="F729" s="285"/>
      <c r="G729" s="286"/>
      <c r="H729" s="286"/>
      <c r="I729" s="286"/>
      <c r="J729" s="286"/>
    </row>
    <row r="730" spans="1:10">
      <c r="A730" s="284"/>
      <c r="B730" s="282"/>
      <c r="C730" s="282"/>
      <c r="D730" s="282"/>
      <c r="E730" s="282"/>
      <c r="F730" s="285"/>
      <c r="G730" s="286"/>
      <c r="H730" s="286"/>
      <c r="I730" s="286"/>
      <c r="J730" s="286"/>
    </row>
    <row r="731" spans="1:10">
      <c r="A731" s="284"/>
      <c r="B731" s="282"/>
      <c r="C731" s="282"/>
      <c r="D731" s="282"/>
      <c r="E731" s="282"/>
      <c r="F731" s="285"/>
      <c r="G731" s="286"/>
      <c r="H731" s="286"/>
      <c r="I731" s="286"/>
      <c r="J731" s="286"/>
    </row>
    <row r="732" spans="1:10">
      <c r="A732" s="284"/>
      <c r="B732" s="282"/>
      <c r="C732" s="282"/>
      <c r="D732" s="282"/>
      <c r="E732" s="282"/>
      <c r="F732" s="285"/>
      <c r="G732" s="286"/>
      <c r="H732" s="286"/>
      <c r="I732" s="286"/>
      <c r="J732" s="286"/>
    </row>
    <row r="733" spans="1:10">
      <c r="A733" s="284"/>
      <c r="B733" s="282"/>
      <c r="C733" s="282"/>
      <c r="D733" s="282"/>
      <c r="E733" s="282"/>
      <c r="F733" s="285"/>
      <c r="G733" s="286"/>
      <c r="H733" s="286"/>
      <c r="I733" s="286"/>
      <c r="J733" s="286"/>
    </row>
    <row r="734" spans="1:10">
      <c r="A734" s="284"/>
      <c r="B734" s="282"/>
      <c r="C734" s="282"/>
      <c r="D734" s="282"/>
      <c r="E734" s="282"/>
      <c r="F734" s="285"/>
      <c r="G734" s="286"/>
      <c r="H734" s="286"/>
      <c r="I734" s="286"/>
      <c r="J734" s="286"/>
    </row>
    <row r="735" spans="1:10">
      <c r="A735" s="284"/>
      <c r="B735" s="282"/>
      <c r="C735" s="282"/>
      <c r="D735" s="282"/>
      <c r="E735" s="282"/>
      <c r="F735" s="285"/>
      <c r="G735" s="286"/>
      <c r="H735" s="286"/>
      <c r="I735" s="286"/>
      <c r="J735" s="286"/>
    </row>
    <row r="736" spans="1:10">
      <c r="A736" s="284"/>
      <c r="B736" s="282"/>
      <c r="C736" s="282"/>
      <c r="D736" s="282"/>
      <c r="E736" s="282"/>
      <c r="F736" s="285"/>
      <c r="G736" s="286"/>
      <c r="H736" s="286"/>
      <c r="I736" s="286"/>
      <c r="J736" s="286"/>
    </row>
    <row r="737" spans="1:10">
      <c r="A737" s="284"/>
      <c r="B737" s="282"/>
      <c r="C737" s="282"/>
      <c r="D737" s="282"/>
      <c r="E737" s="282"/>
      <c r="F737" s="285"/>
      <c r="G737" s="286"/>
      <c r="H737" s="286"/>
      <c r="I737" s="286"/>
      <c r="J737" s="286"/>
    </row>
    <row r="738" spans="1:10">
      <c r="A738" s="284"/>
      <c r="B738" s="282"/>
      <c r="C738" s="282"/>
      <c r="D738" s="282"/>
      <c r="E738" s="282"/>
      <c r="F738" s="285"/>
      <c r="G738" s="286"/>
      <c r="H738" s="286"/>
      <c r="I738" s="286"/>
      <c r="J738" s="286"/>
    </row>
    <row r="739" spans="1:10">
      <c r="A739" s="284"/>
      <c r="B739" s="282"/>
      <c r="C739" s="282"/>
      <c r="D739" s="282"/>
      <c r="E739" s="282"/>
      <c r="F739" s="285"/>
      <c r="G739" s="286"/>
      <c r="H739" s="286"/>
      <c r="I739" s="286"/>
      <c r="J739" s="286"/>
    </row>
    <row r="740" spans="1:10">
      <c r="A740" s="284"/>
      <c r="B740" s="282"/>
      <c r="C740" s="282"/>
      <c r="D740" s="282"/>
      <c r="E740" s="282"/>
      <c r="F740" s="285"/>
      <c r="G740" s="286"/>
      <c r="H740" s="286"/>
      <c r="I740" s="286"/>
      <c r="J740" s="286"/>
    </row>
    <row r="741" spans="1:10">
      <c r="A741" s="284"/>
      <c r="B741" s="282"/>
      <c r="C741" s="282"/>
      <c r="D741" s="282"/>
      <c r="E741" s="282"/>
      <c r="F741" s="285"/>
      <c r="G741" s="286"/>
      <c r="H741" s="286"/>
      <c r="I741" s="286"/>
      <c r="J741" s="286"/>
    </row>
    <row r="742" spans="1:10">
      <c r="A742" s="284"/>
      <c r="B742" s="282"/>
      <c r="C742" s="282"/>
      <c r="D742" s="282"/>
      <c r="E742" s="282"/>
      <c r="F742" s="285"/>
      <c r="G742" s="286"/>
      <c r="H742" s="286"/>
      <c r="I742" s="286"/>
      <c r="J742" s="286"/>
    </row>
    <row r="743" spans="1:10">
      <c r="A743" s="284"/>
      <c r="B743" s="282"/>
      <c r="C743" s="282"/>
      <c r="D743" s="282"/>
      <c r="E743" s="282"/>
      <c r="F743" s="285"/>
      <c r="G743" s="286"/>
      <c r="H743" s="286"/>
      <c r="I743" s="286"/>
      <c r="J743" s="286"/>
    </row>
    <row r="744" spans="1:10">
      <c r="A744" s="284"/>
      <c r="B744" s="282"/>
      <c r="C744" s="282"/>
      <c r="D744" s="282"/>
      <c r="E744" s="282"/>
      <c r="F744" s="285"/>
      <c r="G744" s="286"/>
      <c r="H744" s="286"/>
      <c r="I744" s="286"/>
      <c r="J744" s="286"/>
    </row>
    <row r="745" spans="1:10">
      <c r="A745" s="284"/>
      <c r="B745" s="282"/>
      <c r="C745" s="282"/>
      <c r="D745" s="282"/>
      <c r="E745" s="282"/>
      <c r="F745" s="285"/>
      <c r="G745" s="286"/>
      <c r="H745" s="286"/>
      <c r="I745" s="286"/>
      <c r="J745" s="286"/>
    </row>
    <row r="746" spans="1:10">
      <c r="A746" s="284"/>
      <c r="B746" s="282"/>
      <c r="C746" s="282"/>
      <c r="D746" s="282"/>
      <c r="E746" s="282"/>
      <c r="F746" s="285"/>
      <c r="G746" s="286"/>
      <c r="H746" s="286"/>
      <c r="I746" s="286"/>
      <c r="J746" s="286"/>
    </row>
    <row r="747" spans="1:10">
      <c r="A747" s="284"/>
      <c r="B747" s="282"/>
      <c r="C747" s="282"/>
      <c r="D747" s="282"/>
      <c r="E747" s="282"/>
      <c r="F747" s="285"/>
      <c r="G747" s="286"/>
      <c r="H747" s="286"/>
      <c r="I747" s="286"/>
      <c r="J747" s="286"/>
    </row>
    <row r="748" spans="1:10">
      <c r="A748" s="284"/>
      <c r="B748" s="282"/>
      <c r="C748" s="282"/>
      <c r="D748" s="282"/>
      <c r="E748" s="282"/>
      <c r="F748" s="285"/>
      <c r="G748" s="286"/>
      <c r="H748" s="286"/>
      <c r="I748" s="286"/>
      <c r="J748" s="286"/>
    </row>
    <row r="749" spans="1:10">
      <c r="A749" s="284"/>
      <c r="B749" s="282"/>
      <c r="C749" s="282"/>
      <c r="D749" s="282"/>
      <c r="E749" s="282"/>
      <c r="F749" s="285"/>
      <c r="G749" s="286"/>
      <c r="H749" s="286"/>
      <c r="I749" s="286"/>
      <c r="J749" s="286"/>
    </row>
    <row r="750" spans="1:10">
      <c r="A750" s="284"/>
      <c r="B750" s="282"/>
      <c r="C750" s="282"/>
      <c r="D750" s="282"/>
      <c r="E750" s="282"/>
      <c r="F750" s="285"/>
      <c r="G750" s="286"/>
      <c r="H750" s="286"/>
      <c r="I750" s="286"/>
      <c r="J750" s="286"/>
    </row>
    <row r="751" spans="1:10">
      <c r="A751" s="284"/>
      <c r="B751" s="282"/>
      <c r="C751" s="282"/>
      <c r="D751" s="282"/>
      <c r="E751" s="282"/>
      <c r="F751" s="285"/>
      <c r="G751" s="286"/>
      <c r="H751" s="286"/>
      <c r="I751" s="286"/>
      <c r="J751" s="286"/>
    </row>
    <row r="752" spans="1:10">
      <c r="A752" s="284"/>
      <c r="B752" s="282"/>
      <c r="C752" s="282"/>
      <c r="D752" s="282"/>
      <c r="E752" s="282"/>
      <c r="F752" s="285"/>
      <c r="G752" s="286"/>
      <c r="H752" s="286"/>
      <c r="I752" s="286"/>
      <c r="J752" s="286"/>
    </row>
    <row r="753" spans="1:10">
      <c r="A753" s="284"/>
      <c r="B753" s="282"/>
      <c r="C753" s="282"/>
      <c r="D753" s="282"/>
      <c r="E753" s="282"/>
      <c r="F753" s="285"/>
      <c r="G753" s="286"/>
      <c r="H753" s="286"/>
      <c r="I753" s="286"/>
      <c r="J753" s="286"/>
    </row>
    <row r="754" spans="1:10">
      <c r="A754" s="284"/>
      <c r="B754" s="282"/>
      <c r="C754" s="282"/>
      <c r="D754" s="282"/>
      <c r="E754" s="282"/>
      <c r="F754" s="285"/>
      <c r="G754" s="286"/>
      <c r="H754" s="286"/>
      <c r="I754" s="286"/>
      <c r="J754" s="286"/>
    </row>
    <row r="755" spans="1:10">
      <c r="A755" s="284"/>
      <c r="B755" s="282"/>
      <c r="C755" s="282"/>
      <c r="D755" s="282"/>
      <c r="E755" s="282"/>
      <c r="F755" s="285"/>
      <c r="G755" s="286"/>
      <c r="H755" s="286"/>
      <c r="I755" s="286"/>
      <c r="J755" s="286"/>
    </row>
    <row r="756" spans="1:10">
      <c r="A756" s="284"/>
      <c r="B756" s="282"/>
      <c r="C756" s="282"/>
      <c r="D756" s="282"/>
      <c r="E756" s="282"/>
      <c r="F756" s="285"/>
      <c r="G756" s="286"/>
      <c r="H756" s="286"/>
      <c r="I756" s="286"/>
      <c r="J756" s="286"/>
    </row>
    <row r="757" spans="1:10">
      <c r="A757" s="284"/>
      <c r="B757" s="282"/>
      <c r="C757" s="282"/>
      <c r="D757" s="282"/>
      <c r="E757" s="282"/>
      <c r="F757" s="285"/>
      <c r="G757" s="286"/>
      <c r="H757" s="286"/>
      <c r="I757" s="286"/>
      <c r="J757" s="286"/>
    </row>
    <row r="758" spans="1:10">
      <c r="A758" s="284"/>
      <c r="B758" s="282"/>
      <c r="C758" s="282"/>
      <c r="D758" s="282"/>
      <c r="E758" s="282"/>
      <c r="F758" s="285"/>
      <c r="G758" s="286"/>
      <c r="H758" s="286"/>
      <c r="I758" s="286"/>
      <c r="J758" s="286"/>
    </row>
    <row r="759" spans="1:10">
      <c r="A759" s="284"/>
      <c r="B759" s="282"/>
      <c r="C759" s="282"/>
      <c r="D759" s="282"/>
      <c r="E759" s="282"/>
      <c r="F759" s="285"/>
      <c r="G759" s="286"/>
      <c r="H759" s="286"/>
      <c r="I759" s="286"/>
      <c r="J759" s="286"/>
    </row>
    <row r="760" spans="1:10">
      <c r="A760" s="284"/>
      <c r="B760" s="282"/>
      <c r="C760" s="282"/>
      <c r="D760" s="282"/>
      <c r="E760" s="282"/>
      <c r="F760" s="285"/>
      <c r="G760" s="286"/>
      <c r="H760" s="286"/>
      <c r="I760" s="286"/>
      <c r="J760" s="286"/>
    </row>
    <row r="761" spans="1:10">
      <c r="A761" s="284"/>
      <c r="B761" s="282"/>
      <c r="C761" s="282"/>
      <c r="D761" s="282"/>
      <c r="E761" s="282"/>
      <c r="F761" s="285"/>
      <c r="G761" s="286"/>
      <c r="H761" s="286"/>
      <c r="I761" s="286"/>
      <c r="J761" s="286"/>
    </row>
    <row r="762" spans="1:10">
      <c r="A762" s="284"/>
      <c r="B762" s="282"/>
      <c r="C762" s="282"/>
      <c r="D762" s="282"/>
      <c r="E762" s="282"/>
      <c r="F762" s="285"/>
      <c r="G762" s="286"/>
      <c r="H762" s="286"/>
      <c r="I762" s="286"/>
      <c r="J762" s="286"/>
    </row>
    <row r="763" spans="1:10">
      <c r="A763" s="284"/>
      <c r="B763" s="282"/>
      <c r="C763" s="282"/>
      <c r="D763" s="282"/>
      <c r="E763" s="282"/>
      <c r="F763" s="285"/>
      <c r="G763" s="286"/>
      <c r="H763" s="286"/>
      <c r="I763" s="286"/>
      <c r="J763" s="286"/>
    </row>
    <row r="764" spans="1:10">
      <c r="A764" s="284"/>
      <c r="B764" s="282"/>
      <c r="C764" s="282"/>
      <c r="D764" s="282"/>
      <c r="E764" s="282"/>
      <c r="F764" s="285"/>
      <c r="G764" s="286"/>
      <c r="H764" s="286"/>
      <c r="I764" s="286"/>
      <c r="J764" s="286"/>
    </row>
    <row r="765" spans="1:10">
      <c r="A765" s="284"/>
      <c r="B765" s="282"/>
      <c r="C765" s="282"/>
      <c r="D765" s="282"/>
      <c r="E765" s="282"/>
      <c r="F765" s="285"/>
      <c r="G765" s="286"/>
      <c r="H765" s="286"/>
      <c r="I765" s="286"/>
      <c r="J765" s="286"/>
    </row>
    <row r="766" spans="1:10">
      <c r="A766" s="284"/>
      <c r="B766" s="282"/>
      <c r="C766" s="282"/>
      <c r="D766" s="282"/>
      <c r="E766" s="282"/>
      <c r="F766" s="285"/>
      <c r="G766" s="286"/>
      <c r="H766" s="286"/>
      <c r="I766" s="286"/>
      <c r="J766" s="286"/>
    </row>
    <row r="767" spans="1:10">
      <c r="A767" s="284"/>
      <c r="B767" s="282"/>
      <c r="C767" s="282"/>
      <c r="D767" s="282"/>
      <c r="E767" s="282"/>
      <c r="F767" s="285"/>
      <c r="G767" s="286"/>
      <c r="H767" s="286"/>
      <c r="I767" s="286"/>
      <c r="J767" s="286"/>
    </row>
    <row r="768" spans="1:10">
      <c r="A768" s="284"/>
      <c r="B768" s="282"/>
      <c r="C768" s="282"/>
      <c r="D768" s="282"/>
      <c r="E768" s="282"/>
      <c r="F768" s="285"/>
      <c r="G768" s="286"/>
      <c r="H768" s="286"/>
      <c r="I768" s="286"/>
      <c r="J768" s="286"/>
    </row>
    <row r="769" spans="1:10">
      <c r="A769" s="284"/>
      <c r="B769" s="282"/>
      <c r="C769" s="282"/>
      <c r="D769" s="282"/>
      <c r="E769" s="282"/>
      <c r="F769" s="285"/>
      <c r="G769" s="286"/>
      <c r="H769" s="286"/>
      <c r="I769" s="286"/>
      <c r="J769" s="286"/>
    </row>
    <row r="770" spans="1:10">
      <c r="A770" s="284"/>
      <c r="B770" s="282"/>
      <c r="C770" s="282"/>
      <c r="D770" s="282"/>
      <c r="E770" s="282"/>
      <c r="F770" s="285"/>
      <c r="G770" s="286"/>
      <c r="H770" s="286"/>
      <c r="I770" s="286"/>
      <c r="J770" s="286"/>
    </row>
    <row r="771" spans="1:10">
      <c r="A771" s="284"/>
      <c r="B771" s="282"/>
      <c r="C771" s="282"/>
      <c r="D771" s="282"/>
      <c r="E771" s="282"/>
      <c r="F771" s="285"/>
      <c r="G771" s="286"/>
      <c r="H771" s="286"/>
      <c r="I771" s="286"/>
      <c r="J771" s="286"/>
    </row>
    <row r="772" spans="1:10">
      <c r="A772" s="284"/>
      <c r="B772" s="282"/>
      <c r="C772" s="282"/>
      <c r="D772" s="282"/>
      <c r="E772" s="282"/>
      <c r="F772" s="285"/>
      <c r="G772" s="286"/>
      <c r="H772" s="286"/>
      <c r="I772" s="286"/>
      <c r="J772" s="286"/>
    </row>
    <row r="773" spans="1:10">
      <c r="A773" s="284"/>
      <c r="B773" s="282"/>
      <c r="C773" s="282"/>
      <c r="D773" s="282"/>
      <c r="E773" s="282"/>
      <c r="F773" s="285"/>
      <c r="G773" s="286"/>
      <c r="H773" s="286"/>
      <c r="I773" s="286"/>
      <c r="J773" s="286"/>
    </row>
    <row r="774" spans="1:10">
      <c r="A774" s="284"/>
      <c r="B774" s="282"/>
      <c r="C774" s="282"/>
      <c r="D774" s="282"/>
      <c r="E774" s="282"/>
      <c r="F774" s="285"/>
      <c r="G774" s="286"/>
      <c r="H774" s="286"/>
      <c r="I774" s="286"/>
      <c r="J774" s="286"/>
    </row>
    <row r="775" spans="1:10">
      <c r="A775" s="284"/>
      <c r="B775" s="282"/>
      <c r="C775" s="282"/>
      <c r="D775" s="282"/>
      <c r="E775" s="282"/>
      <c r="F775" s="285"/>
      <c r="G775" s="286"/>
      <c r="H775" s="286"/>
      <c r="I775" s="286"/>
      <c r="J775" s="286"/>
    </row>
    <row r="776" spans="1:10">
      <c r="A776" s="284"/>
      <c r="B776" s="282"/>
      <c r="C776" s="282"/>
      <c r="D776" s="282"/>
      <c r="E776" s="282"/>
      <c r="F776" s="285"/>
      <c r="G776" s="286"/>
      <c r="H776" s="286"/>
      <c r="I776" s="286"/>
      <c r="J776" s="286"/>
    </row>
    <row r="777" spans="1:10">
      <c r="A777" s="284"/>
      <c r="B777" s="282"/>
      <c r="C777" s="282"/>
      <c r="D777" s="282"/>
      <c r="E777" s="282"/>
      <c r="F777" s="285"/>
      <c r="G777" s="286"/>
      <c r="H777" s="286"/>
      <c r="I777" s="286"/>
      <c r="J777" s="286"/>
    </row>
    <row r="778" spans="1:10">
      <c r="A778" s="284"/>
      <c r="B778" s="282"/>
      <c r="C778" s="282"/>
      <c r="D778" s="282"/>
      <c r="E778" s="282"/>
      <c r="F778" s="285"/>
      <c r="G778" s="286"/>
      <c r="H778" s="286"/>
      <c r="I778" s="286"/>
      <c r="J778" s="286"/>
    </row>
    <row r="779" spans="1:10">
      <c r="A779" s="284"/>
      <c r="B779" s="282"/>
      <c r="C779" s="282"/>
      <c r="D779" s="282"/>
      <c r="E779" s="282"/>
      <c r="F779" s="285"/>
      <c r="G779" s="286"/>
      <c r="H779" s="286"/>
      <c r="I779" s="286"/>
      <c r="J779" s="286"/>
    </row>
    <row r="780" spans="1:10">
      <c r="A780" s="284"/>
      <c r="B780" s="282"/>
      <c r="C780" s="282"/>
      <c r="D780" s="282"/>
      <c r="E780" s="282"/>
      <c r="F780" s="285"/>
      <c r="G780" s="286"/>
      <c r="H780" s="286"/>
      <c r="I780" s="286"/>
      <c r="J780" s="286"/>
    </row>
    <row r="781" spans="1:10">
      <c r="A781" s="284"/>
      <c r="B781" s="282"/>
      <c r="C781" s="282"/>
      <c r="D781" s="282"/>
      <c r="E781" s="282"/>
      <c r="F781" s="285"/>
      <c r="G781" s="286"/>
      <c r="H781" s="286"/>
      <c r="I781" s="286"/>
      <c r="J781" s="286"/>
    </row>
    <row r="782" spans="1:10">
      <c r="A782" s="284"/>
      <c r="B782" s="282"/>
      <c r="C782" s="282"/>
      <c r="D782" s="282"/>
      <c r="E782" s="282"/>
      <c r="F782" s="285"/>
      <c r="G782" s="286"/>
      <c r="H782" s="286"/>
      <c r="I782" s="286"/>
      <c r="J782" s="286"/>
    </row>
    <row r="783" spans="1:10">
      <c r="A783" s="284"/>
      <c r="B783" s="282"/>
      <c r="C783" s="282"/>
      <c r="D783" s="282"/>
      <c r="E783" s="282"/>
      <c r="F783" s="285"/>
      <c r="G783" s="286"/>
      <c r="H783" s="286"/>
      <c r="I783" s="286"/>
      <c r="J783" s="286"/>
    </row>
    <row r="784" spans="1:10">
      <c r="A784" s="284"/>
      <c r="B784" s="282"/>
      <c r="C784" s="282"/>
      <c r="D784" s="282"/>
      <c r="E784" s="282"/>
      <c r="F784" s="285"/>
      <c r="G784" s="286"/>
      <c r="H784" s="286"/>
      <c r="I784" s="286"/>
      <c r="J784" s="286"/>
    </row>
    <row r="785" spans="1:10">
      <c r="A785" s="284"/>
      <c r="B785" s="282"/>
      <c r="C785" s="282"/>
      <c r="D785" s="282"/>
      <c r="E785" s="282"/>
      <c r="F785" s="285"/>
      <c r="G785" s="286"/>
      <c r="H785" s="286"/>
      <c r="I785" s="286"/>
      <c r="J785" s="286"/>
    </row>
    <row r="786" spans="1:10">
      <c r="A786" s="284"/>
      <c r="B786" s="282"/>
      <c r="C786" s="282"/>
      <c r="D786" s="282"/>
      <c r="E786" s="282"/>
      <c r="F786" s="285"/>
      <c r="G786" s="286"/>
      <c r="H786" s="286"/>
      <c r="I786" s="286"/>
      <c r="J786" s="286"/>
    </row>
    <row r="787" spans="1:10">
      <c r="A787" s="284"/>
      <c r="B787" s="282"/>
      <c r="C787" s="282"/>
      <c r="D787" s="282"/>
      <c r="E787" s="282"/>
      <c r="F787" s="285"/>
      <c r="G787" s="286"/>
      <c r="H787" s="286"/>
      <c r="I787" s="286"/>
      <c r="J787" s="286"/>
    </row>
    <row r="788" spans="1:10">
      <c r="A788" s="284"/>
      <c r="B788" s="282"/>
      <c r="C788" s="282"/>
      <c r="D788" s="282"/>
      <c r="E788" s="282"/>
      <c r="F788" s="285"/>
      <c r="G788" s="286"/>
      <c r="H788" s="286"/>
      <c r="I788" s="286"/>
      <c r="J788" s="286"/>
    </row>
    <row r="789" spans="1:10">
      <c r="A789" s="284"/>
      <c r="B789" s="282"/>
      <c r="C789" s="282"/>
      <c r="D789" s="282"/>
      <c r="E789" s="282"/>
      <c r="F789" s="285"/>
      <c r="G789" s="286"/>
      <c r="H789" s="286"/>
      <c r="I789" s="286"/>
      <c r="J789" s="286"/>
    </row>
    <row r="790" spans="1:10">
      <c r="A790" s="284"/>
      <c r="B790" s="282"/>
      <c r="C790" s="282"/>
      <c r="D790" s="282"/>
      <c r="E790" s="282"/>
      <c r="F790" s="285"/>
      <c r="G790" s="286"/>
      <c r="H790" s="286"/>
      <c r="I790" s="286"/>
      <c r="J790" s="286"/>
    </row>
    <row r="791" spans="1:10">
      <c r="A791" s="284"/>
      <c r="B791" s="282"/>
      <c r="C791" s="282"/>
      <c r="D791" s="282"/>
      <c r="E791" s="282"/>
      <c r="F791" s="285"/>
      <c r="G791" s="286"/>
      <c r="H791" s="286"/>
      <c r="I791" s="286"/>
      <c r="J791" s="286"/>
    </row>
    <row r="792" spans="1:10">
      <c r="A792" s="284"/>
      <c r="B792" s="282"/>
      <c r="C792" s="282"/>
      <c r="D792" s="282"/>
      <c r="E792" s="282"/>
      <c r="F792" s="285"/>
      <c r="G792" s="286"/>
      <c r="H792" s="286"/>
      <c r="I792" s="286"/>
      <c r="J792" s="286"/>
    </row>
    <row r="793" spans="1:10">
      <c r="A793" s="284"/>
      <c r="B793" s="282"/>
      <c r="C793" s="282"/>
      <c r="D793" s="282"/>
      <c r="E793" s="282"/>
      <c r="F793" s="285"/>
      <c r="G793" s="286"/>
      <c r="H793" s="286"/>
      <c r="I793" s="286"/>
      <c r="J793" s="286"/>
    </row>
    <row r="794" spans="1:10">
      <c r="A794" s="284"/>
      <c r="B794" s="282"/>
      <c r="C794" s="282"/>
      <c r="D794" s="282"/>
      <c r="E794" s="282"/>
      <c r="F794" s="285"/>
      <c r="G794" s="286"/>
      <c r="H794" s="286"/>
      <c r="I794" s="286"/>
      <c r="J794" s="286"/>
    </row>
    <row r="795" spans="1:10">
      <c r="A795" s="284"/>
      <c r="B795" s="282"/>
      <c r="C795" s="282"/>
      <c r="D795" s="282"/>
      <c r="E795" s="282"/>
      <c r="F795" s="285"/>
      <c r="G795" s="286"/>
      <c r="H795" s="286"/>
      <c r="I795" s="286"/>
      <c r="J795" s="286"/>
    </row>
    <row r="796" spans="1:10">
      <c r="A796" s="284"/>
      <c r="B796" s="282"/>
      <c r="C796" s="282"/>
      <c r="D796" s="282"/>
      <c r="E796" s="282"/>
      <c r="F796" s="285"/>
      <c r="G796" s="286"/>
      <c r="H796" s="286"/>
      <c r="I796" s="286"/>
      <c r="J796" s="286"/>
    </row>
    <row r="797" spans="1:10">
      <c r="A797" s="284"/>
      <c r="B797" s="282"/>
      <c r="C797" s="282"/>
      <c r="D797" s="282"/>
      <c r="E797" s="282"/>
      <c r="F797" s="285"/>
      <c r="G797" s="286"/>
      <c r="H797" s="286"/>
      <c r="I797" s="286"/>
      <c r="J797" s="286"/>
    </row>
    <row r="798" spans="1:10">
      <c r="A798" s="284"/>
      <c r="B798" s="282"/>
      <c r="C798" s="282"/>
      <c r="D798" s="282"/>
      <c r="E798" s="282"/>
      <c r="F798" s="285"/>
      <c r="G798" s="286"/>
      <c r="H798" s="286"/>
      <c r="I798" s="286"/>
      <c r="J798" s="286"/>
    </row>
    <row r="799" spans="1:10">
      <c r="A799" s="284"/>
      <c r="B799" s="282"/>
      <c r="C799" s="282"/>
      <c r="D799" s="282"/>
      <c r="E799" s="282"/>
      <c r="F799" s="285"/>
      <c r="G799" s="286"/>
      <c r="H799" s="286"/>
      <c r="I799" s="286"/>
      <c r="J799" s="286"/>
    </row>
    <row r="800" spans="1:10">
      <c r="A800" s="284"/>
      <c r="B800" s="282"/>
      <c r="C800" s="282"/>
      <c r="D800" s="282"/>
      <c r="E800" s="282"/>
      <c r="F800" s="285"/>
      <c r="G800" s="286"/>
      <c r="H800" s="286"/>
      <c r="I800" s="286"/>
      <c r="J800" s="286"/>
    </row>
    <row r="801" spans="1:10">
      <c r="A801" s="284"/>
      <c r="B801" s="282"/>
      <c r="C801" s="282"/>
      <c r="D801" s="282"/>
      <c r="E801" s="282"/>
      <c r="F801" s="285"/>
      <c r="G801" s="286"/>
      <c r="H801" s="286"/>
      <c r="I801" s="286"/>
      <c r="J801" s="286"/>
    </row>
    <row r="802" spans="1:10">
      <c r="A802" s="284"/>
      <c r="B802" s="282"/>
      <c r="C802" s="282"/>
      <c r="D802" s="282"/>
      <c r="E802" s="282"/>
      <c r="F802" s="285"/>
      <c r="G802" s="286"/>
      <c r="H802" s="286"/>
      <c r="I802" s="286"/>
      <c r="J802" s="286"/>
    </row>
    <row r="803" spans="1:10">
      <c r="A803" s="284"/>
      <c r="B803" s="282"/>
      <c r="C803" s="282"/>
      <c r="D803" s="282"/>
      <c r="E803" s="282"/>
      <c r="F803" s="285"/>
      <c r="G803" s="286"/>
      <c r="H803" s="286"/>
      <c r="I803" s="286"/>
      <c r="J803" s="286"/>
    </row>
    <row r="804" spans="1:10">
      <c r="A804" s="284"/>
      <c r="B804" s="282"/>
      <c r="C804" s="282"/>
      <c r="D804" s="282"/>
      <c r="E804" s="282"/>
      <c r="F804" s="285"/>
      <c r="G804" s="286"/>
      <c r="H804" s="286"/>
      <c r="I804" s="286"/>
      <c r="J804" s="286"/>
    </row>
    <row r="805" spans="1:10">
      <c r="A805" s="284"/>
      <c r="B805" s="282"/>
      <c r="C805" s="282"/>
      <c r="D805" s="282"/>
      <c r="E805" s="282"/>
      <c r="F805" s="285"/>
      <c r="G805" s="286"/>
      <c r="H805" s="286"/>
      <c r="I805" s="286"/>
      <c r="J805" s="286"/>
    </row>
    <row r="806" spans="1:10">
      <c r="A806" s="284"/>
      <c r="B806" s="282"/>
      <c r="C806" s="282"/>
      <c r="D806" s="282"/>
      <c r="E806" s="282"/>
      <c r="F806" s="285"/>
      <c r="G806" s="286"/>
      <c r="H806" s="286"/>
      <c r="I806" s="286"/>
      <c r="J806" s="286"/>
    </row>
    <row r="807" spans="1:10">
      <c r="A807" s="284"/>
      <c r="B807" s="282"/>
      <c r="C807" s="282"/>
      <c r="D807" s="282"/>
      <c r="E807" s="282"/>
      <c r="F807" s="285"/>
      <c r="G807" s="286"/>
      <c r="H807" s="286"/>
      <c r="I807" s="286"/>
      <c r="J807" s="286"/>
    </row>
    <row r="808" spans="1:10">
      <c r="A808" s="284"/>
      <c r="B808" s="282"/>
      <c r="C808" s="282"/>
      <c r="D808" s="282"/>
      <c r="E808" s="282"/>
      <c r="F808" s="285"/>
      <c r="G808" s="286"/>
      <c r="H808" s="286"/>
      <c r="I808" s="286"/>
      <c r="J808" s="286"/>
    </row>
    <row r="809" spans="1:10">
      <c r="A809" s="284"/>
      <c r="B809" s="282"/>
      <c r="C809" s="282"/>
      <c r="D809" s="282"/>
      <c r="E809" s="282"/>
      <c r="F809" s="285"/>
      <c r="G809" s="286"/>
      <c r="H809" s="286"/>
      <c r="I809" s="286"/>
      <c r="J809" s="286"/>
    </row>
    <row r="810" spans="1:10">
      <c r="A810" s="284"/>
      <c r="B810" s="282"/>
      <c r="C810" s="282"/>
      <c r="D810" s="282"/>
      <c r="E810" s="282"/>
      <c r="F810" s="285"/>
      <c r="G810" s="286"/>
      <c r="H810" s="286"/>
      <c r="I810" s="286"/>
      <c r="J810" s="286"/>
    </row>
    <row r="811" spans="1:10">
      <c r="A811" s="284"/>
      <c r="B811" s="282"/>
      <c r="C811" s="282"/>
      <c r="D811" s="282"/>
      <c r="E811" s="282"/>
      <c r="F811" s="285"/>
      <c r="G811" s="286"/>
      <c r="H811" s="286"/>
      <c r="I811" s="286"/>
      <c r="J811" s="286"/>
    </row>
    <row r="812" spans="1:10">
      <c r="A812" s="284"/>
      <c r="B812" s="282"/>
      <c r="C812" s="282"/>
      <c r="D812" s="282"/>
      <c r="E812" s="282"/>
      <c r="F812" s="285"/>
      <c r="G812" s="286"/>
      <c r="H812" s="286"/>
      <c r="I812" s="286"/>
      <c r="J812" s="286"/>
    </row>
    <row r="813" spans="1:10">
      <c r="A813" s="284"/>
      <c r="B813" s="282"/>
      <c r="C813" s="282"/>
      <c r="D813" s="282"/>
      <c r="E813" s="282"/>
      <c r="F813" s="285"/>
      <c r="G813" s="286"/>
      <c r="H813" s="286"/>
      <c r="I813" s="286"/>
      <c r="J813" s="286"/>
    </row>
    <row r="814" spans="1:10">
      <c r="A814" s="284"/>
      <c r="B814" s="282"/>
      <c r="C814" s="282"/>
      <c r="D814" s="282"/>
      <c r="E814" s="282"/>
      <c r="F814" s="285"/>
      <c r="G814" s="286"/>
      <c r="H814" s="286"/>
      <c r="I814" s="286"/>
      <c r="J814" s="286"/>
    </row>
    <row r="815" spans="1:10">
      <c r="A815" s="284"/>
      <c r="B815" s="282"/>
      <c r="C815" s="282"/>
      <c r="D815" s="282"/>
      <c r="E815" s="282"/>
      <c r="F815" s="285"/>
      <c r="G815" s="286"/>
      <c r="H815" s="286"/>
      <c r="I815" s="286"/>
      <c r="J815" s="286"/>
    </row>
    <row r="816" spans="1:10">
      <c r="A816" s="284"/>
      <c r="B816" s="282"/>
      <c r="C816" s="282"/>
      <c r="D816" s="282"/>
      <c r="E816" s="282"/>
      <c r="F816" s="285"/>
      <c r="G816" s="286"/>
      <c r="H816" s="286"/>
      <c r="I816" s="286"/>
      <c r="J816" s="286"/>
    </row>
    <row r="817" spans="1:10">
      <c r="A817" s="284"/>
      <c r="B817" s="282"/>
      <c r="C817" s="282"/>
      <c r="D817" s="282"/>
      <c r="E817" s="282"/>
      <c r="F817" s="285"/>
      <c r="G817" s="286"/>
      <c r="H817" s="286"/>
      <c r="I817" s="286"/>
      <c r="J817" s="286"/>
    </row>
    <row r="818" spans="1:10">
      <c r="A818" s="284"/>
      <c r="B818" s="282"/>
      <c r="C818" s="282"/>
      <c r="D818" s="282"/>
      <c r="E818" s="282"/>
      <c r="F818" s="285"/>
      <c r="G818" s="286"/>
      <c r="H818" s="286"/>
      <c r="I818" s="286"/>
      <c r="J818" s="286"/>
    </row>
    <row r="819" spans="1:10">
      <c r="A819" s="284"/>
      <c r="B819" s="282"/>
      <c r="C819" s="282"/>
      <c r="D819" s="282"/>
      <c r="E819" s="282"/>
      <c r="F819" s="285"/>
      <c r="G819" s="286"/>
      <c r="H819" s="286"/>
      <c r="I819" s="286"/>
      <c r="J819" s="286"/>
    </row>
    <row r="820" spans="1:10">
      <c r="A820" s="284"/>
      <c r="B820" s="282"/>
      <c r="C820" s="282"/>
      <c r="D820" s="282"/>
      <c r="E820" s="282"/>
      <c r="F820" s="285"/>
      <c r="G820" s="286"/>
      <c r="H820" s="286"/>
      <c r="I820" s="286"/>
      <c r="J820" s="286"/>
    </row>
    <row r="821" spans="1:10">
      <c r="A821" s="284"/>
      <c r="B821" s="282"/>
      <c r="C821" s="282"/>
      <c r="D821" s="282"/>
      <c r="E821" s="282"/>
      <c r="F821" s="285"/>
      <c r="G821" s="286"/>
      <c r="H821" s="286"/>
      <c r="I821" s="286"/>
      <c r="J821" s="286"/>
    </row>
    <row r="822" spans="1:10">
      <c r="A822" s="284"/>
      <c r="B822" s="282"/>
      <c r="C822" s="282"/>
      <c r="D822" s="282"/>
      <c r="E822" s="282"/>
      <c r="F822" s="285"/>
      <c r="G822" s="286"/>
      <c r="H822" s="286"/>
      <c r="I822" s="286"/>
      <c r="J822" s="286"/>
    </row>
    <row r="823" spans="1:10">
      <c r="A823" s="284"/>
      <c r="B823" s="282"/>
      <c r="C823" s="282"/>
      <c r="D823" s="282"/>
      <c r="E823" s="282"/>
      <c r="F823" s="285"/>
      <c r="G823" s="286"/>
      <c r="H823" s="286"/>
      <c r="I823" s="286"/>
      <c r="J823" s="286"/>
    </row>
    <row r="824" spans="1:10">
      <c r="A824" s="284"/>
      <c r="B824" s="282"/>
      <c r="C824" s="282"/>
      <c r="D824" s="282"/>
      <c r="E824" s="282"/>
      <c r="F824" s="285"/>
      <c r="G824" s="286"/>
      <c r="H824" s="286"/>
      <c r="I824" s="286"/>
      <c r="J824" s="286"/>
    </row>
    <row r="825" spans="1:10">
      <c r="A825" s="284"/>
      <c r="B825" s="282"/>
      <c r="C825" s="282"/>
      <c r="D825" s="282"/>
      <c r="E825" s="282"/>
      <c r="F825" s="285"/>
      <c r="G825" s="286"/>
      <c r="H825" s="286"/>
      <c r="I825" s="286"/>
      <c r="J825" s="286"/>
    </row>
    <row r="826" spans="1:10">
      <c r="A826" s="284"/>
      <c r="B826" s="282"/>
      <c r="C826" s="282"/>
      <c r="D826" s="282"/>
      <c r="E826" s="282"/>
      <c r="F826" s="285"/>
      <c r="G826" s="286"/>
      <c r="H826" s="286"/>
      <c r="I826" s="286"/>
      <c r="J826" s="286"/>
    </row>
    <row r="827" spans="1:10">
      <c r="A827" s="284"/>
      <c r="B827" s="282"/>
      <c r="C827" s="282"/>
      <c r="D827" s="282"/>
      <c r="E827" s="282"/>
      <c r="F827" s="285"/>
      <c r="G827" s="286"/>
      <c r="H827" s="286"/>
      <c r="I827" s="286"/>
      <c r="J827" s="286"/>
    </row>
    <row r="828" spans="1:10">
      <c r="A828" s="284"/>
      <c r="B828" s="282"/>
      <c r="C828" s="282"/>
      <c r="D828" s="282"/>
      <c r="E828" s="282"/>
      <c r="F828" s="285"/>
      <c r="G828" s="286"/>
      <c r="H828" s="286"/>
      <c r="I828" s="286"/>
      <c r="J828" s="286"/>
    </row>
    <row r="829" spans="1:10">
      <c r="A829" s="284"/>
      <c r="B829" s="282"/>
      <c r="C829" s="282"/>
      <c r="D829" s="282"/>
      <c r="E829" s="282"/>
      <c r="F829" s="285"/>
      <c r="G829" s="286"/>
      <c r="H829" s="286"/>
      <c r="I829" s="286"/>
      <c r="J829" s="286"/>
    </row>
    <row r="830" spans="1:10">
      <c r="A830" s="284"/>
      <c r="B830" s="282"/>
      <c r="C830" s="282"/>
      <c r="D830" s="282"/>
      <c r="E830" s="282"/>
      <c r="F830" s="285"/>
      <c r="G830" s="286"/>
      <c r="H830" s="286"/>
      <c r="I830" s="286"/>
      <c r="J830" s="286"/>
    </row>
    <row r="831" spans="1:10">
      <c r="A831" s="284"/>
      <c r="B831" s="282"/>
      <c r="C831" s="282"/>
      <c r="D831" s="282"/>
      <c r="E831" s="282"/>
      <c r="F831" s="285"/>
      <c r="G831" s="286"/>
      <c r="H831" s="286"/>
      <c r="I831" s="286"/>
      <c r="J831" s="286"/>
    </row>
    <row r="832" spans="1:10">
      <c r="A832" s="284"/>
      <c r="B832" s="282"/>
      <c r="C832" s="282"/>
      <c r="D832" s="282"/>
      <c r="E832" s="282"/>
      <c r="F832" s="285"/>
      <c r="G832" s="286"/>
      <c r="H832" s="286"/>
      <c r="I832" s="286"/>
      <c r="J832" s="286"/>
    </row>
    <row r="833" spans="1:10">
      <c r="A833" s="284"/>
      <c r="B833" s="282"/>
      <c r="C833" s="282"/>
      <c r="D833" s="282"/>
      <c r="E833" s="282"/>
      <c r="F833" s="285"/>
      <c r="G833" s="286"/>
      <c r="H833" s="286"/>
      <c r="I833" s="286"/>
      <c r="J833" s="286"/>
    </row>
    <row r="834" spans="1:10">
      <c r="A834" s="284"/>
      <c r="B834" s="282"/>
      <c r="C834" s="282"/>
      <c r="D834" s="282"/>
      <c r="E834" s="282"/>
      <c r="F834" s="285"/>
      <c r="G834" s="286"/>
      <c r="H834" s="286"/>
      <c r="I834" s="286"/>
      <c r="J834" s="286"/>
    </row>
    <row r="835" spans="1:10">
      <c r="A835" s="284"/>
      <c r="B835" s="282"/>
      <c r="C835" s="282"/>
      <c r="D835" s="282"/>
      <c r="E835" s="282"/>
      <c r="F835" s="285"/>
      <c r="G835" s="286"/>
      <c r="H835" s="286"/>
      <c r="I835" s="286"/>
      <c r="J835" s="286"/>
    </row>
    <row r="836" spans="1:10">
      <c r="A836" s="284"/>
      <c r="B836" s="282"/>
      <c r="C836" s="282"/>
      <c r="D836" s="282"/>
      <c r="E836" s="282"/>
      <c r="F836" s="285"/>
      <c r="G836" s="286"/>
      <c r="H836" s="286"/>
      <c r="I836" s="286"/>
      <c r="J836" s="286"/>
    </row>
    <row r="837" spans="1:10">
      <c r="A837" s="284"/>
      <c r="B837" s="282"/>
      <c r="C837" s="282"/>
      <c r="D837" s="282"/>
      <c r="E837" s="282"/>
      <c r="F837" s="285"/>
      <c r="G837" s="286"/>
      <c r="H837" s="286"/>
      <c r="I837" s="286"/>
      <c r="J837" s="286"/>
    </row>
    <row r="838" spans="1:10">
      <c r="A838" s="284"/>
      <c r="B838" s="282"/>
      <c r="C838" s="282"/>
      <c r="D838" s="282"/>
      <c r="E838" s="282"/>
      <c r="F838" s="285"/>
      <c r="G838" s="286"/>
      <c r="H838" s="286"/>
      <c r="I838" s="286"/>
      <c r="J838" s="286"/>
    </row>
    <row r="839" spans="1:10">
      <c r="A839" s="284"/>
      <c r="B839" s="282"/>
      <c r="C839" s="282"/>
      <c r="D839" s="282"/>
      <c r="E839" s="282"/>
      <c r="F839" s="285"/>
      <c r="G839" s="286"/>
      <c r="H839" s="286"/>
      <c r="I839" s="286"/>
      <c r="J839" s="286"/>
    </row>
    <row r="840" spans="1:10">
      <c r="A840" s="284"/>
      <c r="B840" s="282"/>
      <c r="C840" s="282"/>
      <c r="D840" s="282"/>
      <c r="E840" s="282"/>
      <c r="F840" s="285"/>
      <c r="G840" s="286"/>
      <c r="H840" s="286"/>
      <c r="I840" s="286"/>
      <c r="J840" s="286"/>
    </row>
    <row r="841" spans="1:10">
      <c r="A841" s="284"/>
      <c r="B841" s="282"/>
      <c r="C841" s="282"/>
      <c r="D841" s="282"/>
      <c r="E841" s="282"/>
      <c r="F841" s="285"/>
      <c r="G841" s="286"/>
      <c r="H841" s="286"/>
      <c r="I841" s="286"/>
      <c r="J841" s="286"/>
    </row>
    <row r="842" spans="1:10">
      <c r="A842" s="284"/>
      <c r="B842" s="282"/>
      <c r="C842" s="282"/>
      <c r="D842" s="282"/>
      <c r="E842" s="282"/>
      <c r="F842" s="285"/>
      <c r="G842" s="286"/>
      <c r="H842" s="286"/>
      <c r="I842" s="286"/>
      <c r="J842" s="286"/>
    </row>
    <row r="843" spans="1:10">
      <c r="A843" s="284"/>
      <c r="B843" s="282"/>
      <c r="C843" s="282"/>
      <c r="D843" s="282"/>
      <c r="E843" s="282"/>
      <c r="F843" s="285"/>
      <c r="G843" s="286"/>
      <c r="H843" s="286"/>
      <c r="I843" s="286"/>
      <c r="J843" s="286"/>
    </row>
    <row r="844" spans="1:10">
      <c r="A844" s="284"/>
      <c r="B844" s="282"/>
      <c r="C844" s="282"/>
      <c r="D844" s="282"/>
      <c r="E844" s="282"/>
      <c r="F844" s="285"/>
      <c r="G844" s="286"/>
      <c r="H844" s="286"/>
      <c r="I844" s="286"/>
      <c r="J844" s="286"/>
    </row>
    <row r="845" spans="1:10">
      <c r="A845" s="284"/>
      <c r="B845" s="282"/>
      <c r="C845" s="282"/>
      <c r="D845" s="282"/>
      <c r="E845" s="282"/>
      <c r="F845" s="285"/>
      <c r="G845" s="286"/>
      <c r="H845" s="286"/>
      <c r="I845" s="286"/>
      <c r="J845" s="286"/>
    </row>
    <row r="846" spans="1:10">
      <c r="A846" s="284"/>
      <c r="B846" s="282"/>
      <c r="C846" s="282"/>
      <c r="D846" s="282"/>
      <c r="E846" s="282"/>
      <c r="F846" s="285"/>
      <c r="G846" s="286"/>
      <c r="H846" s="286"/>
      <c r="I846" s="286"/>
      <c r="J846" s="286"/>
    </row>
    <row r="847" spans="1:10">
      <c r="A847" s="284"/>
      <c r="B847" s="282"/>
      <c r="C847" s="282"/>
      <c r="D847" s="282"/>
      <c r="E847" s="282"/>
      <c r="F847" s="285"/>
      <c r="G847" s="286"/>
      <c r="H847" s="286"/>
      <c r="I847" s="286"/>
      <c r="J847" s="286"/>
    </row>
    <row r="848" spans="1:10">
      <c r="A848" s="284"/>
      <c r="B848" s="282"/>
      <c r="C848" s="282"/>
      <c r="D848" s="282"/>
      <c r="E848" s="282"/>
      <c r="F848" s="285"/>
      <c r="G848" s="286"/>
      <c r="H848" s="286"/>
      <c r="I848" s="286"/>
      <c r="J848" s="286"/>
    </row>
    <row r="849" spans="1:10">
      <c r="A849" s="284"/>
      <c r="B849" s="282"/>
      <c r="C849" s="282"/>
      <c r="D849" s="282"/>
      <c r="E849" s="282"/>
      <c r="F849" s="285"/>
      <c r="G849" s="286"/>
      <c r="H849" s="286"/>
      <c r="I849" s="286"/>
      <c r="J849" s="286"/>
    </row>
    <row r="850" spans="1:10">
      <c r="A850" s="284"/>
      <c r="B850" s="282"/>
      <c r="C850" s="282"/>
      <c r="D850" s="282"/>
      <c r="E850" s="282"/>
      <c r="F850" s="285"/>
      <c r="G850" s="286"/>
      <c r="H850" s="286"/>
      <c r="I850" s="286"/>
      <c r="J850" s="286"/>
    </row>
    <row r="851" spans="1:10">
      <c r="A851" s="284"/>
      <c r="B851" s="282"/>
      <c r="C851" s="282"/>
      <c r="D851" s="282"/>
      <c r="E851" s="282"/>
      <c r="F851" s="285"/>
      <c r="G851" s="286"/>
      <c r="H851" s="286"/>
      <c r="I851" s="286"/>
      <c r="J851" s="286"/>
    </row>
    <row r="852" spans="1:10">
      <c r="A852" s="284"/>
      <c r="B852" s="282"/>
      <c r="C852" s="282"/>
      <c r="D852" s="282"/>
      <c r="E852" s="282"/>
      <c r="F852" s="285"/>
      <c r="G852" s="286"/>
      <c r="H852" s="286"/>
      <c r="I852" s="286"/>
      <c r="J852" s="286"/>
    </row>
    <row r="853" spans="1:10">
      <c r="A853" s="284"/>
      <c r="B853" s="282"/>
      <c r="C853" s="282"/>
      <c r="D853" s="282"/>
      <c r="E853" s="282"/>
      <c r="F853" s="285"/>
      <c r="G853" s="286"/>
      <c r="H853" s="286"/>
      <c r="I853" s="286"/>
      <c r="J853" s="286"/>
    </row>
    <row r="854" spans="1:10">
      <c r="A854" s="284"/>
      <c r="B854" s="282"/>
      <c r="C854" s="282"/>
      <c r="D854" s="282"/>
      <c r="E854" s="282"/>
      <c r="F854" s="285"/>
      <c r="G854" s="286"/>
      <c r="H854" s="286"/>
      <c r="I854" s="286"/>
      <c r="J854" s="286"/>
    </row>
    <row r="855" spans="1:10">
      <c r="A855" s="284"/>
      <c r="B855" s="282"/>
      <c r="C855" s="282"/>
      <c r="D855" s="282"/>
      <c r="E855" s="282"/>
      <c r="F855" s="285"/>
      <c r="G855" s="286"/>
      <c r="H855" s="286"/>
      <c r="I855" s="286"/>
      <c r="J855" s="286"/>
    </row>
    <row r="856" spans="1:10">
      <c r="A856" s="284"/>
      <c r="B856" s="282"/>
      <c r="C856" s="282"/>
      <c r="D856" s="282"/>
      <c r="E856" s="282"/>
      <c r="F856" s="285"/>
      <c r="G856" s="286"/>
      <c r="H856" s="286"/>
      <c r="I856" s="286"/>
      <c r="J856" s="286"/>
    </row>
    <row r="857" spans="1:10">
      <c r="A857" s="284"/>
      <c r="B857" s="282"/>
      <c r="C857" s="282"/>
      <c r="D857" s="282"/>
      <c r="E857" s="282"/>
      <c r="F857" s="285"/>
      <c r="G857" s="286"/>
      <c r="H857" s="286"/>
      <c r="I857" s="286"/>
      <c r="J857" s="286"/>
    </row>
    <row r="858" spans="1:10">
      <c r="A858" s="284"/>
      <c r="B858" s="282"/>
      <c r="C858" s="282"/>
      <c r="D858" s="282"/>
      <c r="E858" s="282"/>
      <c r="F858" s="285"/>
      <c r="G858" s="286"/>
      <c r="H858" s="286"/>
      <c r="I858" s="286"/>
      <c r="J858" s="286"/>
    </row>
    <row r="859" spans="1:10">
      <c r="A859" s="284"/>
      <c r="B859" s="282"/>
      <c r="C859" s="282"/>
      <c r="D859" s="282"/>
      <c r="E859" s="282"/>
      <c r="F859" s="285"/>
      <c r="G859" s="286"/>
      <c r="H859" s="286"/>
      <c r="I859" s="286"/>
      <c r="J859" s="286"/>
    </row>
    <row r="860" spans="1:10">
      <c r="A860" s="284"/>
      <c r="B860" s="282"/>
      <c r="C860" s="282"/>
      <c r="D860" s="282"/>
      <c r="E860" s="282"/>
      <c r="F860" s="285"/>
      <c r="G860" s="286"/>
      <c r="H860" s="286"/>
      <c r="I860" s="286"/>
      <c r="J860" s="286"/>
    </row>
    <row r="861" spans="1:10">
      <c r="A861" s="284"/>
      <c r="B861" s="282"/>
      <c r="C861" s="282"/>
      <c r="D861" s="282"/>
      <c r="E861" s="282"/>
      <c r="F861" s="285"/>
      <c r="G861" s="286"/>
      <c r="H861" s="286"/>
      <c r="I861" s="286"/>
      <c r="J861" s="286"/>
    </row>
    <row r="862" spans="1:10">
      <c r="A862" s="284"/>
      <c r="B862" s="282"/>
      <c r="C862" s="282"/>
      <c r="D862" s="282"/>
      <c r="E862" s="282"/>
      <c r="F862" s="285"/>
      <c r="G862" s="286"/>
      <c r="H862" s="286"/>
      <c r="I862" s="286"/>
      <c r="J862" s="286"/>
    </row>
    <row r="863" spans="1:10">
      <c r="A863" s="284"/>
      <c r="B863" s="282"/>
      <c r="C863" s="282"/>
      <c r="D863" s="282"/>
      <c r="E863" s="282"/>
      <c r="F863" s="285"/>
      <c r="G863" s="286"/>
      <c r="H863" s="286"/>
      <c r="I863" s="286"/>
      <c r="J863" s="286"/>
    </row>
    <row r="864" spans="1:10">
      <c r="A864" s="284"/>
      <c r="B864" s="282"/>
      <c r="C864" s="282"/>
      <c r="D864" s="282"/>
      <c r="E864" s="282"/>
      <c r="F864" s="285"/>
      <c r="G864" s="286"/>
      <c r="H864" s="286"/>
      <c r="I864" s="286"/>
      <c r="J864" s="286"/>
    </row>
    <row r="865" spans="1:10">
      <c r="A865" s="284"/>
      <c r="B865" s="282"/>
      <c r="C865" s="282"/>
      <c r="D865" s="282"/>
      <c r="E865" s="282"/>
      <c r="F865" s="285"/>
      <c r="G865" s="286"/>
      <c r="H865" s="286"/>
      <c r="I865" s="286"/>
      <c r="J865" s="286"/>
    </row>
    <row r="866" spans="1:10">
      <c r="A866" s="284"/>
      <c r="B866" s="282"/>
      <c r="C866" s="282"/>
      <c r="D866" s="282"/>
      <c r="E866" s="282"/>
      <c r="F866" s="285"/>
      <c r="G866" s="286"/>
      <c r="H866" s="286"/>
      <c r="I866" s="286"/>
      <c r="J866" s="286"/>
    </row>
    <row r="867" spans="1:10">
      <c r="A867" s="284"/>
      <c r="B867" s="282"/>
      <c r="C867" s="282"/>
      <c r="D867" s="282"/>
      <c r="E867" s="282"/>
      <c r="F867" s="285"/>
      <c r="G867" s="286"/>
      <c r="H867" s="286"/>
      <c r="I867" s="286"/>
      <c r="J867" s="286"/>
    </row>
    <row r="868" spans="1:10">
      <c r="A868" s="284"/>
      <c r="B868" s="282"/>
      <c r="C868" s="282"/>
      <c r="D868" s="282"/>
      <c r="E868" s="282"/>
      <c r="F868" s="285"/>
      <c r="G868" s="286"/>
      <c r="H868" s="286"/>
      <c r="I868" s="286"/>
      <c r="J868" s="286"/>
    </row>
    <row r="869" spans="1:10">
      <c r="A869" s="284"/>
      <c r="B869" s="282"/>
      <c r="C869" s="282"/>
      <c r="D869" s="282"/>
      <c r="E869" s="282"/>
      <c r="F869" s="285"/>
      <c r="G869" s="286"/>
      <c r="H869" s="286"/>
      <c r="I869" s="286"/>
      <c r="J869" s="286"/>
    </row>
    <row r="870" spans="1:10">
      <c r="A870" s="284"/>
      <c r="B870" s="282"/>
      <c r="C870" s="282"/>
      <c r="D870" s="282"/>
      <c r="E870" s="282"/>
      <c r="F870" s="285"/>
      <c r="G870" s="286"/>
      <c r="H870" s="286"/>
      <c r="I870" s="286"/>
      <c r="J870" s="286"/>
    </row>
    <row r="871" spans="1:10">
      <c r="A871" s="284"/>
      <c r="B871" s="282"/>
      <c r="C871" s="282"/>
      <c r="D871" s="282"/>
      <c r="E871" s="282"/>
      <c r="F871" s="285"/>
      <c r="G871" s="286"/>
      <c r="H871" s="286"/>
      <c r="I871" s="286"/>
      <c r="J871" s="286"/>
    </row>
    <row r="872" spans="1:10">
      <c r="A872" s="284"/>
      <c r="B872" s="282"/>
      <c r="C872" s="282"/>
      <c r="D872" s="282"/>
      <c r="E872" s="282"/>
      <c r="F872" s="285"/>
      <c r="G872" s="286"/>
      <c r="H872" s="286"/>
      <c r="I872" s="286"/>
      <c r="J872" s="286"/>
    </row>
    <row r="873" spans="1:10">
      <c r="A873" s="284"/>
      <c r="B873" s="282"/>
      <c r="C873" s="282"/>
      <c r="D873" s="282"/>
      <c r="E873" s="282"/>
      <c r="F873" s="285"/>
      <c r="G873" s="286"/>
      <c r="H873" s="286"/>
      <c r="I873" s="286"/>
      <c r="J873" s="286"/>
    </row>
    <row r="874" spans="1:10">
      <c r="A874" s="284"/>
      <c r="B874" s="282"/>
      <c r="C874" s="282"/>
      <c r="D874" s="282"/>
      <c r="E874" s="282"/>
      <c r="F874" s="285"/>
      <c r="G874" s="286"/>
      <c r="H874" s="286"/>
      <c r="I874" s="286"/>
      <c r="J874" s="286"/>
    </row>
    <row r="875" spans="1:10">
      <c r="A875" s="284"/>
      <c r="B875" s="282"/>
      <c r="C875" s="282"/>
      <c r="D875" s="282"/>
      <c r="E875" s="282"/>
      <c r="F875" s="285"/>
      <c r="G875" s="286"/>
      <c r="H875" s="286"/>
      <c r="I875" s="286"/>
      <c r="J875" s="286"/>
    </row>
    <row r="876" spans="1:10">
      <c r="A876" s="284"/>
      <c r="B876" s="282"/>
      <c r="C876" s="282"/>
      <c r="D876" s="282"/>
      <c r="E876" s="282"/>
      <c r="F876" s="285"/>
      <c r="G876" s="286"/>
      <c r="H876" s="286"/>
      <c r="I876" s="286"/>
      <c r="J876" s="286"/>
    </row>
    <row r="877" spans="1:10">
      <c r="A877" s="284"/>
      <c r="B877" s="282"/>
      <c r="C877" s="282"/>
      <c r="D877" s="282"/>
      <c r="E877" s="282"/>
      <c r="F877" s="285"/>
      <c r="G877" s="286"/>
      <c r="H877" s="286"/>
      <c r="I877" s="286"/>
      <c r="J877" s="286"/>
    </row>
    <row r="878" spans="1:10">
      <c r="A878" s="284"/>
      <c r="B878" s="282"/>
      <c r="C878" s="282"/>
      <c r="D878" s="282"/>
      <c r="E878" s="282"/>
      <c r="F878" s="285"/>
      <c r="G878" s="286"/>
      <c r="H878" s="286"/>
      <c r="I878" s="286"/>
      <c r="J878" s="286"/>
    </row>
    <row r="879" spans="1:10">
      <c r="A879" s="284"/>
      <c r="B879" s="282"/>
      <c r="C879" s="282"/>
      <c r="D879" s="282"/>
      <c r="E879" s="282"/>
      <c r="F879" s="285"/>
      <c r="G879" s="286"/>
      <c r="H879" s="286"/>
      <c r="I879" s="286"/>
      <c r="J879" s="286"/>
    </row>
    <row r="880" spans="1:10">
      <c r="A880" s="284"/>
      <c r="B880" s="282"/>
      <c r="C880" s="282"/>
      <c r="D880" s="282"/>
      <c r="E880" s="282"/>
      <c r="F880" s="285"/>
      <c r="G880" s="286"/>
      <c r="H880" s="286"/>
      <c r="I880" s="286"/>
      <c r="J880" s="286"/>
    </row>
    <row r="881" spans="1:10">
      <c r="A881" s="284"/>
      <c r="B881" s="282"/>
      <c r="C881" s="282"/>
      <c r="D881" s="282"/>
      <c r="E881" s="282"/>
      <c r="F881" s="285"/>
      <c r="G881" s="286"/>
      <c r="H881" s="286"/>
      <c r="I881" s="286"/>
      <c r="J881" s="286"/>
    </row>
    <row r="882" spans="1:10">
      <c r="A882" s="284"/>
      <c r="B882" s="282"/>
      <c r="C882" s="282"/>
      <c r="D882" s="282"/>
      <c r="E882" s="282"/>
      <c r="F882" s="285"/>
      <c r="G882" s="286"/>
      <c r="H882" s="286"/>
      <c r="I882" s="286"/>
      <c r="J882" s="286"/>
    </row>
    <row r="883" spans="1:10">
      <c r="A883" s="284"/>
      <c r="B883" s="282"/>
      <c r="C883" s="282"/>
      <c r="D883" s="282"/>
      <c r="E883" s="282"/>
      <c r="F883" s="285"/>
      <c r="G883" s="286"/>
      <c r="H883" s="286"/>
      <c r="I883" s="286"/>
      <c r="J883" s="286"/>
    </row>
    <row r="884" spans="1:10">
      <c r="A884" s="284"/>
      <c r="B884" s="282"/>
      <c r="C884" s="282"/>
      <c r="D884" s="282"/>
      <c r="E884" s="282"/>
      <c r="F884" s="285"/>
      <c r="G884" s="286"/>
      <c r="H884" s="286"/>
      <c r="I884" s="286"/>
      <c r="J884" s="286"/>
    </row>
    <row r="885" spans="1:10">
      <c r="A885" s="284"/>
      <c r="B885" s="282"/>
      <c r="C885" s="282"/>
      <c r="D885" s="282"/>
      <c r="E885" s="282"/>
      <c r="F885" s="285"/>
      <c r="G885" s="286"/>
      <c r="H885" s="286"/>
      <c r="I885" s="286"/>
      <c r="J885" s="286"/>
    </row>
    <row r="886" spans="1:10">
      <c r="A886" s="284"/>
      <c r="B886" s="282"/>
      <c r="C886" s="282"/>
      <c r="D886" s="282"/>
      <c r="E886" s="282"/>
      <c r="F886" s="285"/>
      <c r="G886" s="286"/>
      <c r="H886" s="286"/>
      <c r="I886" s="286"/>
      <c r="J886" s="286"/>
    </row>
    <row r="887" spans="1:10">
      <c r="A887" s="284"/>
      <c r="B887" s="282"/>
      <c r="C887" s="282"/>
      <c r="D887" s="282"/>
      <c r="E887" s="282"/>
      <c r="F887" s="285"/>
      <c r="G887" s="286"/>
      <c r="H887" s="286"/>
      <c r="I887" s="286"/>
      <c r="J887" s="286"/>
    </row>
    <row r="888" spans="1:10">
      <c r="A888" s="284"/>
      <c r="B888" s="282"/>
      <c r="C888" s="282"/>
      <c r="D888" s="282"/>
      <c r="E888" s="282"/>
      <c r="F888" s="285"/>
      <c r="G888" s="286"/>
      <c r="H888" s="286"/>
      <c r="I888" s="286"/>
      <c r="J888" s="286"/>
    </row>
    <row r="889" spans="1:10">
      <c r="A889" s="284"/>
      <c r="B889" s="282"/>
      <c r="C889" s="282"/>
      <c r="D889" s="282"/>
      <c r="E889" s="282"/>
      <c r="F889" s="285"/>
      <c r="G889" s="286"/>
      <c r="H889" s="286"/>
      <c r="I889" s="286"/>
      <c r="J889" s="286"/>
    </row>
    <row r="890" spans="1:10">
      <c r="A890" s="284"/>
      <c r="B890" s="282"/>
      <c r="C890" s="282"/>
      <c r="D890" s="282"/>
      <c r="E890" s="282"/>
      <c r="F890" s="285"/>
      <c r="G890" s="286"/>
      <c r="H890" s="286"/>
      <c r="I890" s="286"/>
      <c r="J890" s="286"/>
    </row>
    <row r="891" spans="1:10">
      <c r="A891" s="284"/>
      <c r="B891" s="282"/>
      <c r="C891" s="282"/>
      <c r="D891" s="282"/>
      <c r="E891" s="282"/>
      <c r="F891" s="285"/>
      <c r="G891" s="286"/>
      <c r="H891" s="286"/>
      <c r="I891" s="286"/>
      <c r="J891" s="286"/>
    </row>
    <row r="892" spans="1:10">
      <c r="A892" s="284"/>
      <c r="B892" s="282"/>
      <c r="C892" s="282"/>
      <c r="D892" s="282"/>
      <c r="E892" s="282"/>
      <c r="F892" s="285"/>
      <c r="G892" s="286"/>
      <c r="H892" s="286"/>
      <c r="I892" s="286"/>
      <c r="J892" s="286"/>
    </row>
    <row r="893" spans="1:10">
      <c r="A893" s="284"/>
      <c r="B893" s="282"/>
      <c r="C893" s="282"/>
      <c r="D893" s="282"/>
      <c r="E893" s="282"/>
      <c r="F893" s="285"/>
      <c r="G893" s="286"/>
      <c r="H893" s="286"/>
      <c r="I893" s="286"/>
      <c r="J893" s="286"/>
    </row>
    <row r="894" spans="1:10">
      <c r="A894" s="284"/>
      <c r="B894" s="282"/>
      <c r="C894" s="282"/>
      <c r="D894" s="282"/>
      <c r="E894" s="282"/>
      <c r="F894" s="285"/>
      <c r="G894" s="286"/>
      <c r="H894" s="286"/>
      <c r="I894" s="286"/>
      <c r="J894" s="286"/>
    </row>
    <row r="895" spans="1:10">
      <c r="A895" s="284"/>
      <c r="B895" s="282"/>
      <c r="C895" s="282"/>
      <c r="D895" s="282"/>
      <c r="E895" s="282"/>
      <c r="F895" s="285"/>
      <c r="G895" s="286"/>
      <c r="H895" s="286"/>
      <c r="I895" s="286"/>
      <c r="J895" s="286"/>
    </row>
    <row r="896" spans="1:10">
      <c r="A896" s="284"/>
      <c r="B896" s="282"/>
      <c r="C896" s="282"/>
      <c r="D896" s="282"/>
      <c r="E896" s="282"/>
      <c r="F896" s="285"/>
      <c r="G896" s="286"/>
      <c r="H896" s="286"/>
      <c r="I896" s="286"/>
      <c r="J896" s="286"/>
    </row>
    <row r="897" spans="1:10">
      <c r="A897" s="284"/>
      <c r="B897" s="282"/>
      <c r="C897" s="282"/>
      <c r="D897" s="282"/>
      <c r="E897" s="282"/>
      <c r="F897" s="285"/>
      <c r="G897" s="286"/>
      <c r="H897" s="286"/>
      <c r="I897" s="286"/>
      <c r="J897" s="286"/>
    </row>
    <row r="898" spans="1:10">
      <c r="A898" s="284"/>
      <c r="B898" s="282"/>
      <c r="C898" s="282"/>
      <c r="D898" s="282"/>
      <c r="E898" s="282"/>
      <c r="F898" s="285"/>
      <c r="G898" s="286"/>
      <c r="H898" s="286"/>
      <c r="I898" s="286"/>
      <c r="J898" s="286"/>
    </row>
    <row r="899" spans="1:10">
      <c r="A899" s="284"/>
      <c r="B899" s="282"/>
      <c r="C899" s="282"/>
      <c r="D899" s="282"/>
      <c r="E899" s="282"/>
      <c r="F899" s="285"/>
      <c r="G899" s="286"/>
      <c r="H899" s="286"/>
      <c r="I899" s="286"/>
      <c r="J899" s="286"/>
    </row>
    <row r="900" spans="1:10">
      <c r="A900" s="284"/>
      <c r="B900" s="282"/>
      <c r="C900" s="282"/>
      <c r="D900" s="282"/>
      <c r="E900" s="282"/>
      <c r="F900" s="285"/>
      <c r="G900" s="286"/>
      <c r="H900" s="286"/>
      <c r="I900" s="286"/>
      <c r="J900" s="286"/>
    </row>
    <row r="901" spans="1:10">
      <c r="A901" s="284"/>
      <c r="B901" s="282"/>
      <c r="C901" s="282"/>
      <c r="D901" s="282"/>
      <c r="E901" s="282"/>
      <c r="F901" s="285"/>
      <c r="G901" s="286"/>
      <c r="H901" s="286"/>
      <c r="I901" s="286"/>
      <c r="J901" s="286"/>
    </row>
    <row r="902" spans="1:10">
      <c r="A902" s="284"/>
      <c r="B902" s="282"/>
      <c r="C902" s="282"/>
      <c r="D902" s="282"/>
      <c r="E902" s="282"/>
      <c r="F902" s="285"/>
      <c r="G902" s="286"/>
      <c r="H902" s="286"/>
      <c r="I902" s="286"/>
      <c r="J902" s="286"/>
    </row>
    <row r="903" spans="1:10">
      <c r="A903" s="284"/>
      <c r="B903" s="282"/>
      <c r="C903" s="282"/>
      <c r="D903" s="282"/>
      <c r="E903" s="282"/>
      <c r="F903" s="285"/>
      <c r="G903" s="286"/>
      <c r="H903" s="286"/>
      <c r="I903" s="286"/>
      <c r="J903" s="286"/>
    </row>
    <row r="904" spans="1:10">
      <c r="A904" s="284"/>
      <c r="B904" s="282"/>
      <c r="C904" s="282"/>
      <c r="D904" s="282"/>
      <c r="E904" s="282"/>
      <c r="F904" s="285"/>
      <c r="G904" s="286"/>
      <c r="H904" s="286"/>
      <c r="I904" s="286"/>
      <c r="J904" s="286"/>
    </row>
    <row r="905" spans="1:10">
      <c r="A905" s="284"/>
      <c r="B905" s="282"/>
      <c r="C905" s="282"/>
      <c r="D905" s="282"/>
      <c r="E905" s="282"/>
      <c r="F905" s="285"/>
      <c r="G905" s="286"/>
      <c r="H905" s="286"/>
      <c r="I905" s="286"/>
      <c r="J905" s="286"/>
    </row>
    <row r="906" spans="1:10">
      <c r="A906" s="284"/>
      <c r="B906" s="282"/>
      <c r="C906" s="282"/>
      <c r="D906" s="282"/>
      <c r="E906" s="282"/>
      <c r="F906" s="285"/>
      <c r="G906" s="286"/>
      <c r="H906" s="286"/>
      <c r="I906" s="286"/>
      <c r="J906" s="286"/>
    </row>
    <row r="907" spans="1:10">
      <c r="A907" s="284"/>
      <c r="B907" s="282"/>
      <c r="C907" s="282"/>
      <c r="D907" s="282"/>
      <c r="E907" s="282"/>
      <c r="F907" s="285"/>
      <c r="G907" s="286"/>
      <c r="H907" s="286"/>
      <c r="I907" s="286"/>
      <c r="J907" s="286"/>
    </row>
    <row r="908" spans="1:10">
      <c r="A908" s="284"/>
      <c r="B908" s="282"/>
      <c r="C908" s="282"/>
      <c r="D908" s="282"/>
      <c r="E908" s="282"/>
      <c r="F908" s="285"/>
      <c r="G908" s="286"/>
      <c r="H908" s="286"/>
      <c r="I908" s="286"/>
      <c r="J908" s="286"/>
    </row>
    <row r="909" spans="1:10">
      <c r="A909" s="284"/>
      <c r="B909" s="282"/>
      <c r="C909" s="282"/>
      <c r="D909" s="282"/>
      <c r="E909" s="282"/>
      <c r="F909" s="285"/>
      <c r="G909" s="286"/>
      <c r="H909" s="286"/>
      <c r="I909" s="286"/>
      <c r="J909" s="286"/>
    </row>
    <row r="910" spans="1:10">
      <c r="A910" s="284"/>
      <c r="B910" s="282"/>
      <c r="C910" s="282"/>
      <c r="D910" s="282"/>
      <c r="E910" s="282"/>
      <c r="F910" s="285"/>
      <c r="G910" s="286"/>
      <c r="H910" s="286"/>
      <c r="I910" s="286"/>
      <c r="J910" s="286"/>
    </row>
    <row r="911" spans="1:10">
      <c r="A911" s="284"/>
      <c r="B911" s="282"/>
      <c r="C911" s="282"/>
      <c r="D911" s="282"/>
      <c r="E911" s="282"/>
      <c r="F911" s="285"/>
      <c r="G911" s="286"/>
      <c r="H911" s="286"/>
      <c r="I911" s="286"/>
      <c r="J911" s="286"/>
    </row>
    <row r="912" spans="1:10">
      <c r="A912" s="284"/>
      <c r="B912" s="282"/>
      <c r="C912" s="282"/>
      <c r="D912" s="282"/>
      <c r="E912" s="282"/>
      <c r="F912" s="285"/>
      <c r="G912" s="286"/>
      <c r="H912" s="286"/>
      <c r="I912" s="286"/>
      <c r="J912" s="286"/>
    </row>
    <row r="913" spans="1:10">
      <c r="A913" s="284"/>
      <c r="B913" s="282"/>
      <c r="C913" s="282"/>
      <c r="D913" s="282"/>
      <c r="E913" s="282"/>
      <c r="F913" s="285"/>
      <c r="G913" s="286"/>
      <c r="H913" s="286"/>
      <c r="I913" s="286"/>
      <c r="J913" s="286"/>
    </row>
    <row r="914" spans="1:10">
      <c r="A914" s="284"/>
      <c r="B914" s="282"/>
      <c r="C914" s="282"/>
      <c r="D914" s="282"/>
      <c r="E914" s="282"/>
      <c r="F914" s="285"/>
      <c r="G914" s="286"/>
      <c r="H914" s="286"/>
      <c r="I914" s="286"/>
      <c r="J914" s="286"/>
    </row>
    <row r="915" spans="1:10">
      <c r="A915" s="284"/>
      <c r="B915" s="282"/>
      <c r="C915" s="282"/>
      <c r="D915" s="282"/>
      <c r="E915" s="282"/>
      <c r="F915" s="285"/>
      <c r="G915" s="286"/>
      <c r="H915" s="286"/>
      <c r="I915" s="286"/>
      <c r="J915" s="286"/>
    </row>
    <row r="916" spans="1:10">
      <c r="A916" s="284"/>
      <c r="B916" s="282"/>
      <c r="C916" s="282"/>
      <c r="D916" s="282"/>
      <c r="E916" s="282"/>
      <c r="F916" s="285"/>
      <c r="G916" s="286"/>
      <c r="H916" s="286"/>
      <c r="I916" s="286"/>
      <c r="J916" s="286"/>
    </row>
    <row r="917" spans="1:10">
      <c r="A917" s="284"/>
      <c r="B917" s="282"/>
      <c r="C917" s="282"/>
      <c r="D917" s="282"/>
      <c r="E917" s="282"/>
      <c r="F917" s="285"/>
      <c r="G917" s="286"/>
      <c r="H917" s="286"/>
      <c r="I917" s="286"/>
      <c r="J917" s="286"/>
    </row>
    <row r="918" spans="1:10">
      <c r="A918" s="284"/>
      <c r="B918" s="282"/>
      <c r="C918" s="282"/>
      <c r="D918" s="282"/>
      <c r="E918" s="282"/>
      <c r="F918" s="285"/>
      <c r="G918" s="286"/>
      <c r="H918" s="286"/>
      <c r="I918" s="286"/>
      <c r="J918" s="286"/>
    </row>
    <row r="919" spans="1:10">
      <c r="A919" s="284"/>
      <c r="B919" s="282"/>
      <c r="C919" s="282"/>
      <c r="D919" s="282"/>
      <c r="E919" s="282"/>
      <c r="F919" s="285"/>
      <c r="G919" s="286"/>
      <c r="H919" s="286"/>
      <c r="I919" s="286"/>
      <c r="J919" s="286"/>
    </row>
    <row r="920" spans="1:10">
      <c r="A920" s="284"/>
      <c r="B920" s="282"/>
      <c r="C920" s="282"/>
      <c r="D920" s="282"/>
      <c r="E920" s="282"/>
      <c r="F920" s="285"/>
      <c r="G920" s="286"/>
      <c r="H920" s="286"/>
      <c r="I920" s="286"/>
      <c r="J920" s="286"/>
    </row>
    <row r="921" spans="1:10">
      <c r="A921" s="284"/>
      <c r="B921" s="282"/>
      <c r="C921" s="282"/>
      <c r="D921" s="282"/>
      <c r="E921" s="282"/>
      <c r="F921" s="285"/>
      <c r="G921" s="286"/>
      <c r="H921" s="286"/>
      <c r="I921" s="286"/>
      <c r="J921" s="286"/>
    </row>
    <row r="922" spans="1:10">
      <c r="A922" s="284"/>
      <c r="B922" s="282"/>
      <c r="C922" s="282"/>
      <c r="D922" s="282"/>
      <c r="E922" s="282"/>
      <c r="F922" s="285"/>
      <c r="G922" s="286"/>
      <c r="H922" s="286"/>
      <c r="I922" s="286"/>
      <c r="J922" s="286"/>
    </row>
    <row r="923" spans="1:10">
      <c r="A923" s="284"/>
      <c r="B923" s="282"/>
      <c r="C923" s="282"/>
      <c r="D923" s="282"/>
      <c r="E923" s="282"/>
      <c r="F923" s="285"/>
      <c r="G923" s="286"/>
      <c r="H923" s="286"/>
      <c r="I923" s="286"/>
      <c r="J923" s="286"/>
    </row>
    <row r="924" spans="1:10">
      <c r="A924" s="284"/>
      <c r="B924" s="282"/>
      <c r="C924" s="282"/>
      <c r="D924" s="282"/>
      <c r="E924" s="282"/>
      <c r="F924" s="285"/>
      <c r="G924" s="286"/>
      <c r="H924" s="286"/>
      <c r="I924" s="286"/>
      <c r="J924" s="286"/>
    </row>
    <row r="925" spans="1:10">
      <c r="A925" s="284"/>
      <c r="B925" s="282"/>
      <c r="C925" s="282"/>
      <c r="D925" s="282"/>
      <c r="E925" s="282"/>
      <c r="F925" s="285"/>
      <c r="G925" s="286"/>
      <c r="H925" s="286"/>
      <c r="I925" s="286"/>
      <c r="J925" s="286"/>
    </row>
    <row r="926" spans="1:10">
      <c r="A926" s="284"/>
      <c r="B926" s="282"/>
      <c r="C926" s="282"/>
      <c r="D926" s="282"/>
      <c r="E926" s="282"/>
      <c r="F926" s="285"/>
      <c r="G926" s="286"/>
      <c r="H926" s="286"/>
      <c r="I926" s="286"/>
      <c r="J926" s="286"/>
    </row>
    <row r="927" spans="1:10">
      <c r="A927" s="284"/>
      <c r="B927" s="282"/>
      <c r="C927" s="282"/>
      <c r="D927" s="282"/>
      <c r="E927" s="282"/>
      <c r="F927" s="285"/>
      <c r="G927" s="286"/>
      <c r="H927" s="286"/>
      <c r="I927" s="286"/>
      <c r="J927" s="286"/>
    </row>
    <row r="928" spans="1:10">
      <c r="A928" s="284"/>
      <c r="B928" s="282"/>
      <c r="C928" s="282"/>
      <c r="D928" s="282"/>
      <c r="E928" s="282"/>
      <c r="F928" s="285"/>
      <c r="G928" s="286"/>
      <c r="H928" s="286"/>
      <c r="I928" s="286"/>
      <c r="J928" s="286"/>
    </row>
    <row r="929" spans="1:10">
      <c r="A929" s="284"/>
      <c r="B929" s="282"/>
      <c r="C929" s="282"/>
      <c r="D929" s="282"/>
      <c r="E929" s="282"/>
      <c r="F929" s="285"/>
      <c r="G929" s="286"/>
      <c r="H929" s="286"/>
      <c r="I929" s="286"/>
      <c r="J929" s="286"/>
    </row>
    <row r="930" spans="1:10">
      <c r="A930" s="284"/>
      <c r="B930" s="282"/>
      <c r="C930" s="282"/>
      <c r="D930" s="282"/>
      <c r="E930" s="282"/>
      <c r="F930" s="285"/>
      <c r="G930" s="286"/>
      <c r="H930" s="286"/>
      <c r="I930" s="286"/>
      <c r="J930" s="286"/>
    </row>
    <row r="931" spans="1:10">
      <c r="A931" s="284"/>
      <c r="B931" s="282"/>
      <c r="C931" s="282"/>
      <c r="D931" s="282"/>
      <c r="E931" s="282"/>
      <c r="F931" s="285"/>
      <c r="G931" s="286"/>
      <c r="H931" s="286"/>
      <c r="I931" s="286"/>
      <c r="J931" s="286"/>
    </row>
    <row r="932" spans="1:10">
      <c r="A932" s="284"/>
      <c r="B932" s="282"/>
      <c r="C932" s="282"/>
      <c r="D932" s="282"/>
      <c r="E932" s="282"/>
      <c r="F932" s="285"/>
      <c r="G932" s="286"/>
      <c r="H932" s="286"/>
      <c r="I932" s="286"/>
      <c r="J932" s="286"/>
    </row>
    <row r="933" spans="1:10">
      <c r="A933" s="284"/>
      <c r="B933" s="282"/>
      <c r="C933" s="282"/>
      <c r="D933" s="282"/>
      <c r="E933" s="282"/>
      <c r="F933" s="285"/>
      <c r="G933" s="286"/>
      <c r="H933" s="286"/>
      <c r="I933" s="286"/>
      <c r="J933" s="286"/>
    </row>
    <row r="934" spans="1:10">
      <c r="A934" s="284"/>
      <c r="B934" s="282"/>
      <c r="C934" s="282"/>
      <c r="D934" s="282"/>
      <c r="E934" s="282"/>
      <c r="F934" s="285"/>
      <c r="G934" s="286"/>
      <c r="H934" s="286"/>
      <c r="I934" s="286"/>
      <c r="J934" s="286"/>
    </row>
    <row r="935" spans="1:10">
      <c r="A935" s="284"/>
      <c r="B935" s="282"/>
      <c r="C935" s="282"/>
      <c r="D935" s="282"/>
      <c r="E935" s="282"/>
      <c r="F935" s="285"/>
      <c r="G935" s="286"/>
      <c r="H935" s="286"/>
      <c r="I935" s="286"/>
      <c r="J935" s="286"/>
    </row>
    <row r="936" spans="1:10">
      <c r="A936" s="284"/>
      <c r="B936" s="282"/>
      <c r="C936" s="282"/>
      <c r="D936" s="282"/>
      <c r="E936" s="282"/>
      <c r="F936" s="285"/>
      <c r="G936" s="286"/>
      <c r="H936" s="286"/>
      <c r="I936" s="286"/>
      <c r="J936" s="286"/>
    </row>
    <row r="937" spans="1:10">
      <c r="A937" s="284"/>
      <c r="B937" s="282"/>
      <c r="C937" s="282"/>
      <c r="D937" s="282"/>
      <c r="E937" s="282"/>
      <c r="F937" s="285"/>
      <c r="G937" s="286"/>
      <c r="H937" s="286"/>
      <c r="I937" s="286"/>
      <c r="J937" s="286"/>
    </row>
    <row r="938" spans="1:10">
      <c r="A938" s="284"/>
      <c r="B938" s="282"/>
      <c r="C938" s="282"/>
      <c r="D938" s="282"/>
      <c r="E938" s="282"/>
      <c r="F938" s="285"/>
      <c r="G938" s="286"/>
      <c r="H938" s="286"/>
      <c r="I938" s="286"/>
      <c r="J938" s="286"/>
    </row>
    <row r="939" spans="1:10">
      <c r="A939" s="284"/>
      <c r="B939" s="282"/>
      <c r="C939" s="282"/>
      <c r="D939" s="282"/>
      <c r="E939" s="282"/>
      <c r="F939" s="285"/>
      <c r="G939" s="286"/>
      <c r="H939" s="286"/>
      <c r="I939" s="286"/>
      <c r="J939" s="286"/>
    </row>
    <row r="940" spans="1:10">
      <c r="A940" s="284"/>
      <c r="B940" s="282"/>
      <c r="C940" s="282"/>
      <c r="D940" s="282"/>
      <c r="E940" s="282"/>
      <c r="F940" s="285"/>
      <c r="G940" s="286"/>
      <c r="H940" s="286"/>
      <c r="I940" s="286"/>
      <c r="J940" s="286"/>
    </row>
    <row r="941" spans="1:10">
      <c r="A941" s="284"/>
      <c r="B941" s="282"/>
      <c r="C941" s="282"/>
      <c r="D941" s="282"/>
      <c r="E941" s="282"/>
      <c r="F941" s="285"/>
      <c r="G941" s="286"/>
      <c r="H941" s="286"/>
      <c r="I941" s="286"/>
      <c r="J941" s="286"/>
    </row>
    <row r="942" spans="1:10">
      <c r="A942" s="284"/>
      <c r="B942" s="282"/>
      <c r="C942" s="282"/>
      <c r="D942" s="282"/>
      <c r="E942" s="282"/>
      <c r="F942" s="285"/>
      <c r="G942" s="286"/>
      <c r="H942" s="286"/>
      <c r="I942" s="286"/>
      <c r="J942" s="286"/>
    </row>
    <row r="943" spans="1:10">
      <c r="A943" s="284"/>
      <c r="B943" s="282"/>
      <c r="C943" s="282"/>
      <c r="D943" s="282"/>
      <c r="E943" s="282"/>
      <c r="F943" s="285"/>
      <c r="G943" s="286"/>
      <c r="H943" s="286"/>
      <c r="I943" s="286"/>
      <c r="J943" s="286"/>
    </row>
    <row r="944" spans="1:10">
      <c r="A944" s="284"/>
      <c r="B944" s="282"/>
      <c r="C944" s="282"/>
      <c r="D944" s="282"/>
      <c r="E944" s="282"/>
      <c r="F944" s="285"/>
      <c r="G944" s="286"/>
      <c r="H944" s="286"/>
      <c r="I944" s="286"/>
      <c r="J944" s="286"/>
    </row>
    <row r="945" spans="1:10">
      <c r="A945" s="284"/>
      <c r="B945" s="282"/>
      <c r="C945" s="282"/>
      <c r="D945" s="282"/>
      <c r="E945" s="282"/>
      <c r="F945" s="285"/>
      <c r="G945" s="286"/>
      <c r="H945" s="286"/>
      <c r="I945" s="286"/>
      <c r="J945" s="286"/>
    </row>
    <row r="946" spans="1:10">
      <c r="A946" s="284"/>
      <c r="B946" s="282"/>
      <c r="C946" s="282"/>
      <c r="D946" s="282"/>
      <c r="E946" s="282"/>
      <c r="F946" s="285"/>
      <c r="G946" s="286"/>
      <c r="H946" s="286"/>
      <c r="I946" s="286"/>
      <c r="J946" s="286"/>
    </row>
    <row r="947" spans="1:10">
      <c r="A947" s="284"/>
      <c r="B947" s="282"/>
      <c r="C947" s="282"/>
      <c r="D947" s="282"/>
      <c r="E947" s="282"/>
      <c r="F947" s="285"/>
      <c r="G947" s="286"/>
      <c r="H947" s="286"/>
      <c r="I947" s="286"/>
      <c r="J947" s="286"/>
    </row>
    <row r="948" spans="1:10">
      <c r="A948" s="284"/>
      <c r="B948" s="282"/>
      <c r="C948" s="282"/>
      <c r="D948" s="282"/>
      <c r="E948" s="282"/>
      <c r="F948" s="285"/>
      <c r="G948" s="286"/>
      <c r="H948" s="286"/>
      <c r="I948" s="286"/>
      <c r="J948" s="286"/>
    </row>
    <row r="949" spans="1:10">
      <c r="A949" s="284"/>
      <c r="B949" s="282"/>
      <c r="C949" s="282"/>
      <c r="D949" s="282"/>
      <c r="E949" s="282"/>
      <c r="F949" s="285"/>
      <c r="G949" s="286"/>
      <c r="H949" s="286"/>
      <c r="I949" s="286"/>
      <c r="J949" s="286"/>
    </row>
    <row r="950" spans="1:10">
      <c r="A950" s="284"/>
      <c r="B950" s="282"/>
      <c r="C950" s="282"/>
      <c r="D950" s="282"/>
      <c r="E950" s="282"/>
      <c r="F950" s="285"/>
      <c r="G950" s="286"/>
      <c r="H950" s="286"/>
      <c r="I950" s="286"/>
      <c r="J950" s="286"/>
    </row>
    <row r="951" spans="1:10">
      <c r="A951" s="284"/>
      <c r="B951" s="282"/>
      <c r="C951" s="282"/>
      <c r="D951" s="282"/>
      <c r="E951" s="282"/>
      <c r="F951" s="285"/>
      <c r="G951" s="286"/>
      <c r="H951" s="286"/>
      <c r="I951" s="286"/>
      <c r="J951" s="286"/>
    </row>
    <row r="952" spans="1:10">
      <c r="A952" s="284"/>
      <c r="B952" s="282"/>
      <c r="C952" s="282"/>
      <c r="D952" s="282"/>
      <c r="E952" s="282"/>
      <c r="F952" s="285"/>
      <c r="G952" s="286"/>
      <c r="H952" s="286"/>
      <c r="I952" s="286"/>
      <c r="J952" s="286"/>
    </row>
    <row r="953" spans="1:10">
      <c r="A953" s="284"/>
      <c r="B953" s="282"/>
      <c r="C953" s="282"/>
      <c r="D953" s="282"/>
      <c r="E953" s="282"/>
      <c r="F953" s="285"/>
      <c r="G953" s="286"/>
      <c r="H953" s="286"/>
      <c r="I953" s="286"/>
      <c r="J953" s="286"/>
    </row>
    <row r="954" spans="1:10">
      <c r="A954" s="284"/>
      <c r="B954" s="282"/>
      <c r="C954" s="282"/>
      <c r="D954" s="282"/>
      <c r="E954" s="282"/>
      <c r="F954" s="285"/>
      <c r="G954" s="286"/>
      <c r="H954" s="286"/>
      <c r="I954" s="286"/>
      <c r="J954" s="286"/>
    </row>
    <row r="955" spans="1:10">
      <c r="A955" s="284"/>
      <c r="B955" s="282"/>
      <c r="C955" s="282"/>
      <c r="D955" s="282"/>
      <c r="E955" s="282"/>
      <c r="F955" s="285"/>
      <c r="G955" s="286"/>
      <c r="H955" s="286"/>
      <c r="I955" s="286"/>
      <c r="J955" s="286"/>
    </row>
    <row r="956" spans="1:10">
      <c r="A956" s="284"/>
      <c r="B956" s="282"/>
      <c r="C956" s="282"/>
      <c r="D956" s="282"/>
      <c r="E956" s="282"/>
      <c r="F956" s="285"/>
      <c r="G956" s="286"/>
      <c r="H956" s="286"/>
      <c r="I956" s="286"/>
      <c r="J956" s="286"/>
    </row>
    <row r="957" spans="1:10">
      <c r="A957" s="284"/>
      <c r="B957" s="282"/>
      <c r="C957" s="282"/>
      <c r="D957" s="282"/>
      <c r="E957" s="282"/>
      <c r="F957" s="285"/>
      <c r="G957" s="286"/>
      <c r="H957" s="286"/>
      <c r="I957" s="286"/>
      <c r="J957" s="286"/>
    </row>
    <row r="958" spans="1:10">
      <c r="A958" s="284"/>
      <c r="B958" s="282"/>
      <c r="C958" s="282"/>
      <c r="D958" s="282"/>
      <c r="E958" s="282"/>
      <c r="F958" s="285"/>
      <c r="G958" s="286"/>
      <c r="H958" s="286"/>
      <c r="I958" s="286"/>
      <c r="J958" s="286"/>
    </row>
    <row r="959" spans="1:10">
      <c r="A959" s="284"/>
      <c r="B959" s="282"/>
      <c r="C959" s="282"/>
      <c r="D959" s="282"/>
      <c r="E959" s="282"/>
      <c r="F959" s="285"/>
      <c r="G959" s="286"/>
      <c r="H959" s="286"/>
      <c r="I959" s="286"/>
      <c r="J959" s="286"/>
    </row>
    <row r="960" spans="1:10">
      <c r="A960" s="284"/>
      <c r="B960" s="282"/>
      <c r="C960" s="282"/>
      <c r="D960" s="282"/>
      <c r="E960" s="282"/>
      <c r="F960" s="285"/>
      <c r="G960" s="286"/>
      <c r="H960" s="286"/>
      <c r="I960" s="286"/>
      <c r="J960" s="286"/>
    </row>
    <row r="961" spans="1:10">
      <c r="A961" s="284"/>
      <c r="B961" s="282"/>
      <c r="C961" s="282"/>
      <c r="D961" s="282"/>
      <c r="E961" s="282"/>
      <c r="F961" s="285"/>
      <c r="G961" s="286"/>
      <c r="H961" s="286"/>
      <c r="I961" s="286"/>
      <c r="J961" s="286"/>
    </row>
    <row r="962" spans="1:10">
      <c r="A962" s="284"/>
      <c r="B962" s="282"/>
      <c r="C962" s="282"/>
      <c r="D962" s="282"/>
      <c r="E962" s="282"/>
      <c r="F962" s="285"/>
      <c r="G962" s="286"/>
      <c r="H962" s="286"/>
      <c r="I962" s="286"/>
      <c r="J962" s="286"/>
    </row>
    <row r="963" spans="1:10">
      <c r="A963" s="284"/>
      <c r="B963" s="282"/>
      <c r="C963" s="282"/>
      <c r="D963" s="282"/>
      <c r="E963" s="282"/>
      <c r="F963" s="285"/>
      <c r="G963" s="286"/>
      <c r="H963" s="286"/>
      <c r="I963" s="286"/>
      <c r="J963" s="286"/>
    </row>
    <row r="964" spans="1:10">
      <c r="A964" s="284"/>
      <c r="B964" s="282"/>
      <c r="C964" s="282"/>
      <c r="D964" s="282"/>
      <c r="E964" s="282"/>
      <c r="F964" s="285"/>
      <c r="G964" s="286"/>
      <c r="H964" s="286"/>
      <c r="I964" s="286"/>
      <c r="J964" s="286"/>
    </row>
    <row r="965" spans="1:10">
      <c r="A965" s="284"/>
      <c r="B965" s="282"/>
      <c r="C965" s="282"/>
      <c r="D965" s="282"/>
      <c r="E965" s="282"/>
      <c r="F965" s="285"/>
      <c r="G965" s="286"/>
      <c r="H965" s="286"/>
      <c r="I965" s="286"/>
      <c r="J965" s="286"/>
    </row>
    <row r="966" spans="1:10">
      <c r="A966" s="284"/>
      <c r="B966" s="282"/>
      <c r="C966" s="282"/>
      <c r="D966" s="282"/>
      <c r="E966" s="282"/>
      <c r="F966" s="285"/>
      <c r="G966" s="286"/>
      <c r="H966" s="286"/>
      <c r="I966" s="286"/>
      <c r="J966" s="286"/>
    </row>
    <row r="967" spans="1:10">
      <c r="A967" s="284"/>
      <c r="B967" s="282"/>
      <c r="C967" s="282"/>
      <c r="D967" s="282"/>
      <c r="E967" s="282"/>
      <c r="F967" s="285"/>
      <c r="G967" s="286"/>
      <c r="H967" s="286"/>
      <c r="I967" s="286"/>
      <c r="J967" s="286"/>
    </row>
    <row r="968" spans="1:10">
      <c r="A968" s="284"/>
      <c r="B968" s="282"/>
      <c r="C968" s="282"/>
      <c r="D968" s="282"/>
      <c r="E968" s="282"/>
      <c r="F968" s="285"/>
      <c r="G968" s="286"/>
      <c r="H968" s="286"/>
      <c r="I968" s="286"/>
      <c r="J968" s="286"/>
    </row>
    <row r="969" spans="1:10">
      <c r="A969" s="284"/>
      <c r="B969" s="282"/>
      <c r="C969" s="282"/>
      <c r="D969" s="282"/>
      <c r="E969" s="282"/>
      <c r="F969" s="285"/>
      <c r="G969" s="286"/>
      <c r="H969" s="286"/>
      <c r="I969" s="286"/>
      <c r="J969" s="286"/>
    </row>
    <row r="970" spans="1:10">
      <c r="A970" s="284"/>
      <c r="B970" s="282"/>
      <c r="C970" s="282"/>
      <c r="D970" s="282"/>
      <c r="E970" s="282"/>
      <c r="F970" s="285"/>
      <c r="G970" s="286"/>
      <c r="H970" s="286"/>
      <c r="I970" s="286"/>
      <c r="J970" s="286"/>
    </row>
    <row r="971" spans="1:10">
      <c r="A971" s="284"/>
      <c r="B971" s="282"/>
      <c r="C971" s="282"/>
      <c r="D971" s="282"/>
      <c r="E971" s="282"/>
      <c r="F971" s="285"/>
      <c r="G971" s="286"/>
      <c r="H971" s="286"/>
      <c r="I971" s="286"/>
      <c r="J971" s="286"/>
    </row>
    <row r="972" spans="1:10">
      <c r="A972" s="284"/>
      <c r="B972" s="282"/>
      <c r="C972" s="282"/>
      <c r="D972" s="282"/>
      <c r="E972" s="282"/>
      <c r="F972" s="285"/>
      <c r="G972" s="286"/>
      <c r="H972" s="286"/>
      <c r="I972" s="286"/>
      <c r="J972" s="286"/>
    </row>
    <row r="973" spans="1:10">
      <c r="A973" s="284"/>
      <c r="B973" s="282"/>
      <c r="C973" s="282"/>
      <c r="D973" s="282"/>
      <c r="E973" s="282"/>
      <c r="F973" s="285"/>
      <c r="G973" s="286"/>
      <c r="H973" s="286"/>
      <c r="I973" s="286"/>
      <c r="J973" s="286"/>
    </row>
    <row r="974" spans="1:10">
      <c r="A974" s="284"/>
      <c r="B974" s="282"/>
      <c r="C974" s="282"/>
      <c r="D974" s="282"/>
      <c r="E974" s="282"/>
      <c r="F974" s="285"/>
      <c r="G974" s="286"/>
      <c r="H974" s="286"/>
      <c r="I974" s="286"/>
      <c r="J974" s="286"/>
    </row>
    <row r="975" spans="1:10">
      <c r="A975" s="284"/>
      <c r="B975" s="282"/>
      <c r="C975" s="282"/>
      <c r="D975" s="282"/>
      <c r="E975" s="282"/>
      <c r="F975" s="285"/>
      <c r="G975" s="286"/>
      <c r="H975" s="286"/>
      <c r="I975" s="286"/>
      <c r="J975" s="286"/>
    </row>
    <row r="976" spans="1:10">
      <c r="A976" s="284"/>
      <c r="B976" s="282"/>
      <c r="C976" s="282"/>
      <c r="D976" s="282"/>
      <c r="E976" s="282"/>
      <c r="F976" s="285"/>
      <c r="G976" s="286"/>
      <c r="H976" s="286"/>
      <c r="I976" s="286"/>
      <c r="J976" s="286"/>
    </row>
    <row r="977" spans="1:10">
      <c r="A977" s="284"/>
      <c r="B977" s="282"/>
      <c r="C977" s="282"/>
      <c r="D977" s="282"/>
      <c r="E977" s="282"/>
      <c r="F977" s="285"/>
      <c r="G977" s="286"/>
      <c r="H977" s="286"/>
      <c r="I977" s="286"/>
      <c r="J977" s="286"/>
    </row>
    <row r="978" spans="1:10">
      <c r="A978" s="284"/>
      <c r="B978" s="282"/>
      <c r="C978" s="282"/>
      <c r="D978" s="282"/>
      <c r="E978" s="282"/>
      <c r="F978" s="285"/>
      <c r="G978" s="286"/>
      <c r="H978" s="286"/>
      <c r="I978" s="286"/>
      <c r="J978" s="286"/>
    </row>
    <row r="979" spans="1:10">
      <c r="A979" s="284"/>
      <c r="B979" s="282"/>
      <c r="C979" s="282"/>
      <c r="D979" s="282"/>
      <c r="E979" s="282"/>
      <c r="F979" s="285"/>
      <c r="G979" s="286"/>
      <c r="H979" s="286"/>
      <c r="I979" s="286"/>
      <c r="J979" s="286"/>
    </row>
    <row r="980" spans="1:10">
      <c r="A980" s="284"/>
      <c r="B980" s="282"/>
      <c r="C980" s="282"/>
      <c r="D980" s="282"/>
      <c r="E980" s="282"/>
      <c r="F980" s="285"/>
      <c r="G980" s="286"/>
      <c r="H980" s="286"/>
      <c r="I980" s="286"/>
      <c r="J980" s="286"/>
    </row>
    <row r="981" spans="1:10">
      <c r="A981" s="284"/>
      <c r="B981" s="282"/>
      <c r="C981" s="282"/>
      <c r="D981" s="282"/>
      <c r="E981" s="282"/>
      <c r="F981" s="285"/>
      <c r="G981" s="286"/>
      <c r="H981" s="286"/>
      <c r="I981" s="286"/>
      <c r="J981" s="286"/>
    </row>
    <row r="982" spans="1:10">
      <c r="A982" s="284"/>
      <c r="B982" s="282"/>
      <c r="C982" s="282"/>
      <c r="D982" s="282"/>
      <c r="E982" s="282"/>
      <c r="F982" s="285"/>
      <c r="G982" s="286"/>
      <c r="H982" s="286"/>
      <c r="I982" s="286"/>
      <c r="J982" s="286"/>
    </row>
    <row r="983" spans="1:10">
      <c r="A983" s="284"/>
      <c r="B983" s="282"/>
      <c r="C983" s="282"/>
      <c r="D983" s="282"/>
      <c r="E983" s="282"/>
      <c r="F983" s="285"/>
      <c r="G983" s="286"/>
      <c r="H983" s="286"/>
      <c r="I983" s="286"/>
      <c r="J983" s="286"/>
    </row>
    <row r="984" spans="1:10">
      <c r="A984" s="284"/>
      <c r="B984" s="282"/>
      <c r="C984" s="282"/>
      <c r="D984" s="282"/>
      <c r="E984" s="282"/>
      <c r="F984" s="285"/>
      <c r="G984" s="286"/>
      <c r="H984" s="286"/>
      <c r="I984" s="286"/>
      <c r="J984" s="286"/>
    </row>
    <row r="985" spans="1:10">
      <c r="A985" s="284"/>
      <c r="B985" s="282"/>
      <c r="C985" s="282"/>
      <c r="D985" s="282"/>
      <c r="E985" s="282"/>
      <c r="F985" s="285"/>
      <c r="G985" s="286"/>
      <c r="H985" s="286"/>
      <c r="I985" s="286"/>
      <c r="J985" s="286"/>
    </row>
    <row r="986" spans="1:10">
      <c r="A986" s="284"/>
      <c r="B986" s="282"/>
      <c r="C986" s="282"/>
      <c r="D986" s="282"/>
      <c r="E986" s="282"/>
      <c r="F986" s="285"/>
      <c r="G986" s="286"/>
      <c r="H986" s="286"/>
      <c r="I986" s="286"/>
      <c r="J986" s="286"/>
    </row>
    <row r="987" spans="1:10">
      <c r="A987" s="284"/>
      <c r="B987" s="282"/>
      <c r="C987" s="282"/>
      <c r="D987" s="282"/>
      <c r="E987" s="282"/>
      <c r="F987" s="285"/>
      <c r="G987" s="286"/>
      <c r="H987" s="286"/>
      <c r="I987" s="286"/>
      <c r="J987" s="286"/>
    </row>
    <row r="988" spans="1:10">
      <c r="A988" s="284"/>
      <c r="B988" s="282"/>
      <c r="C988" s="282"/>
      <c r="D988" s="282"/>
      <c r="E988" s="282"/>
      <c r="F988" s="285"/>
      <c r="G988" s="286"/>
      <c r="H988" s="286"/>
      <c r="I988" s="286"/>
      <c r="J988" s="286"/>
    </row>
    <row r="989" spans="1:10">
      <c r="A989" s="284"/>
      <c r="B989" s="282"/>
      <c r="C989" s="282"/>
      <c r="D989" s="282"/>
      <c r="E989" s="282"/>
      <c r="F989" s="285"/>
      <c r="G989" s="286"/>
      <c r="H989" s="286"/>
      <c r="I989" s="286"/>
      <c r="J989" s="286"/>
    </row>
    <row r="990" spans="1:10">
      <c r="A990" s="284"/>
      <c r="B990" s="282"/>
      <c r="C990" s="282"/>
      <c r="D990" s="282"/>
      <c r="E990" s="282"/>
      <c r="F990" s="285"/>
      <c r="G990" s="286"/>
      <c r="H990" s="286"/>
      <c r="I990" s="286"/>
      <c r="J990" s="286"/>
    </row>
    <row r="991" spans="1:10">
      <c r="A991" s="284"/>
      <c r="B991" s="282"/>
      <c r="C991" s="282"/>
      <c r="D991" s="282"/>
      <c r="E991" s="282"/>
      <c r="F991" s="285"/>
      <c r="G991" s="286"/>
      <c r="H991" s="286"/>
      <c r="I991" s="286"/>
      <c r="J991" s="286"/>
    </row>
    <row r="992" spans="1:10">
      <c r="A992" s="284"/>
      <c r="B992" s="282"/>
      <c r="C992" s="282"/>
      <c r="D992" s="282"/>
      <c r="E992" s="282"/>
      <c r="F992" s="285"/>
      <c r="G992" s="286"/>
      <c r="H992" s="286"/>
      <c r="I992" s="286"/>
      <c r="J992" s="286"/>
    </row>
    <row r="993" spans="1:10">
      <c r="A993" s="284"/>
      <c r="B993" s="282"/>
      <c r="C993" s="282"/>
      <c r="D993" s="282"/>
      <c r="E993" s="282"/>
      <c r="F993" s="285"/>
      <c r="G993" s="286"/>
      <c r="H993" s="286"/>
      <c r="I993" s="286"/>
      <c r="J993" s="286"/>
    </row>
    <row r="994" spans="1:10">
      <c r="A994" s="284"/>
      <c r="B994" s="282"/>
      <c r="C994" s="282"/>
      <c r="D994" s="282"/>
      <c r="E994" s="282"/>
      <c r="F994" s="285"/>
      <c r="G994" s="286"/>
      <c r="H994" s="286"/>
      <c r="I994" s="286"/>
      <c r="J994" s="286"/>
    </row>
    <row r="995" spans="1:10">
      <c r="A995" s="284"/>
      <c r="B995" s="282"/>
      <c r="C995" s="282"/>
      <c r="D995" s="282"/>
      <c r="E995" s="282"/>
      <c r="F995" s="285"/>
      <c r="G995" s="286"/>
      <c r="H995" s="286"/>
      <c r="I995" s="286"/>
      <c r="J995" s="286"/>
    </row>
    <row r="996" spans="1:10">
      <c r="A996" s="284"/>
      <c r="B996" s="282"/>
      <c r="C996" s="282"/>
      <c r="D996" s="282"/>
      <c r="E996" s="282"/>
      <c r="F996" s="285"/>
      <c r="G996" s="286"/>
      <c r="H996" s="286"/>
      <c r="I996" s="286"/>
      <c r="J996" s="286"/>
    </row>
    <row r="997" spans="1:10">
      <c r="A997" s="284"/>
      <c r="B997" s="282"/>
      <c r="C997" s="282"/>
      <c r="D997" s="282"/>
      <c r="E997" s="282"/>
      <c r="F997" s="285"/>
      <c r="G997" s="286"/>
      <c r="H997" s="286"/>
      <c r="I997" s="286"/>
      <c r="J997" s="286"/>
    </row>
    <row r="998" spans="1:10">
      <c r="A998" s="284"/>
      <c r="B998" s="282"/>
      <c r="C998" s="282"/>
      <c r="D998" s="282"/>
      <c r="E998" s="282"/>
      <c r="F998" s="285"/>
      <c r="G998" s="286"/>
      <c r="H998" s="286"/>
      <c r="I998" s="286"/>
      <c r="J998" s="286"/>
    </row>
    <row r="999" spans="1:10">
      <c r="A999" s="284"/>
      <c r="B999" s="282"/>
      <c r="C999" s="282"/>
      <c r="D999" s="282"/>
      <c r="E999" s="282"/>
      <c r="F999" s="285"/>
      <c r="G999" s="286"/>
      <c r="H999" s="286"/>
      <c r="I999" s="286"/>
      <c r="J999" s="286"/>
    </row>
    <row r="1000" spans="1:10">
      <c r="A1000" s="284"/>
      <c r="B1000" s="282"/>
      <c r="C1000" s="282"/>
      <c r="D1000" s="282"/>
      <c r="E1000" s="282"/>
      <c r="F1000" s="285"/>
      <c r="G1000" s="286"/>
      <c r="H1000" s="286"/>
      <c r="I1000" s="286"/>
      <c r="J1000" s="286"/>
    </row>
    <row r="1001" spans="1:10">
      <c r="A1001" s="284"/>
      <c r="B1001" s="282"/>
      <c r="C1001" s="282"/>
      <c r="D1001" s="282"/>
      <c r="E1001" s="282"/>
      <c r="F1001" s="285"/>
      <c r="G1001" s="286"/>
      <c r="H1001" s="286"/>
      <c r="I1001" s="286"/>
      <c r="J1001" s="286"/>
    </row>
    <row r="1002" spans="1:10">
      <c r="A1002" s="284"/>
      <c r="B1002" s="282"/>
      <c r="C1002" s="282"/>
      <c r="D1002" s="282"/>
      <c r="E1002" s="282"/>
      <c r="F1002" s="285"/>
      <c r="G1002" s="286"/>
      <c r="H1002" s="286"/>
      <c r="I1002" s="286"/>
      <c r="J1002" s="286"/>
    </row>
    <row r="1003" spans="1:10">
      <c r="A1003" s="284"/>
      <c r="B1003" s="282"/>
      <c r="C1003" s="282"/>
      <c r="D1003" s="282"/>
      <c r="E1003" s="282"/>
      <c r="F1003" s="285"/>
      <c r="G1003" s="286"/>
      <c r="H1003" s="286"/>
      <c r="I1003" s="286"/>
      <c r="J1003" s="286"/>
    </row>
    <row r="1004" spans="1:10">
      <c r="A1004" s="284"/>
      <c r="B1004" s="282"/>
      <c r="C1004" s="282"/>
      <c r="D1004" s="282"/>
      <c r="E1004" s="282"/>
      <c r="F1004" s="285"/>
      <c r="G1004" s="286"/>
      <c r="H1004" s="286"/>
      <c r="I1004" s="286"/>
      <c r="J1004" s="286"/>
    </row>
    <row r="1005" spans="1:10">
      <c r="A1005" s="284"/>
      <c r="B1005" s="282"/>
      <c r="C1005" s="282"/>
      <c r="D1005" s="282"/>
      <c r="E1005" s="282"/>
      <c r="F1005" s="285"/>
      <c r="G1005" s="286"/>
      <c r="H1005" s="286"/>
      <c r="I1005" s="286"/>
      <c r="J1005" s="286"/>
    </row>
    <row r="1006" spans="1:10">
      <c r="A1006" s="284"/>
      <c r="B1006" s="282"/>
      <c r="C1006" s="282"/>
      <c r="D1006" s="282"/>
      <c r="E1006" s="282"/>
      <c r="F1006" s="285"/>
      <c r="G1006" s="286"/>
      <c r="H1006" s="286"/>
      <c r="I1006" s="286"/>
      <c r="J1006" s="286"/>
    </row>
    <row r="1007" spans="1:10">
      <c r="A1007" s="284"/>
      <c r="B1007" s="282"/>
      <c r="C1007" s="282"/>
      <c r="D1007" s="282"/>
      <c r="E1007" s="282"/>
      <c r="F1007" s="285"/>
      <c r="G1007" s="286"/>
      <c r="H1007" s="286"/>
      <c r="I1007" s="286"/>
      <c r="J1007" s="286"/>
    </row>
    <row r="1008" spans="1:10">
      <c r="A1008" s="284"/>
      <c r="B1008" s="282"/>
      <c r="C1008" s="282"/>
      <c r="D1008" s="282"/>
      <c r="E1008" s="282"/>
      <c r="F1008" s="285"/>
      <c r="G1008" s="286"/>
      <c r="H1008" s="286"/>
      <c r="I1008" s="286"/>
      <c r="J1008" s="286"/>
    </row>
    <row r="1009" spans="1:10">
      <c r="A1009" s="284"/>
      <c r="B1009" s="282"/>
      <c r="C1009" s="282"/>
      <c r="D1009" s="282"/>
      <c r="E1009" s="282"/>
      <c r="F1009" s="285"/>
      <c r="G1009" s="286"/>
      <c r="H1009" s="286"/>
      <c r="I1009" s="286"/>
      <c r="J1009" s="286"/>
    </row>
    <row r="1010" spans="1:10">
      <c r="A1010" s="284"/>
      <c r="B1010" s="282"/>
      <c r="C1010" s="282"/>
      <c r="D1010" s="282"/>
      <c r="E1010" s="282"/>
      <c r="F1010" s="285"/>
      <c r="G1010" s="286"/>
      <c r="H1010" s="286"/>
      <c r="I1010" s="286"/>
      <c r="J1010" s="286"/>
    </row>
    <row r="1011" spans="1:10">
      <c r="A1011" s="284"/>
      <c r="B1011" s="282"/>
      <c r="C1011" s="282"/>
      <c r="D1011" s="282"/>
      <c r="E1011" s="282"/>
      <c r="F1011" s="285"/>
      <c r="G1011" s="286"/>
      <c r="H1011" s="286"/>
      <c r="I1011" s="286"/>
      <c r="J1011" s="286"/>
    </row>
    <row r="1012" spans="1:10">
      <c r="A1012" s="284"/>
      <c r="B1012" s="282"/>
      <c r="C1012" s="282"/>
      <c r="D1012" s="282"/>
      <c r="E1012" s="282"/>
      <c r="F1012" s="285"/>
      <c r="G1012" s="286"/>
      <c r="H1012" s="286"/>
      <c r="I1012" s="286"/>
      <c r="J1012" s="286"/>
    </row>
    <row r="1013" spans="1:10">
      <c r="A1013" s="284"/>
      <c r="B1013" s="282"/>
      <c r="C1013" s="282"/>
      <c r="D1013" s="282"/>
      <c r="E1013" s="282"/>
      <c r="F1013" s="285"/>
      <c r="G1013" s="286"/>
      <c r="H1013" s="286"/>
      <c r="I1013" s="286"/>
      <c r="J1013" s="286"/>
    </row>
    <row r="1014" spans="1:10">
      <c r="A1014" s="284"/>
      <c r="B1014" s="282"/>
      <c r="C1014" s="282"/>
      <c r="D1014" s="282"/>
      <c r="E1014" s="282"/>
      <c r="F1014" s="285"/>
      <c r="G1014" s="286"/>
      <c r="H1014" s="286"/>
      <c r="I1014" s="286"/>
      <c r="J1014" s="286"/>
    </row>
    <row r="1015" spans="1:10">
      <c r="A1015" s="284"/>
      <c r="B1015" s="282"/>
      <c r="C1015" s="282"/>
      <c r="D1015" s="282"/>
      <c r="E1015" s="282"/>
      <c r="F1015" s="285"/>
      <c r="G1015" s="286"/>
      <c r="H1015" s="286"/>
      <c r="I1015" s="286"/>
      <c r="J1015" s="286"/>
    </row>
    <row r="1016" spans="1:10">
      <c r="A1016" s="284"/>
      <c r="B1016" s="282"/>
      <c r="C1016" s="282"/>
      <c r="D1016" s="282"/>
      <c r="E1016" s="282"/>
      <c r="F1016" s="285"/>
      <c r="G1016" s="286"/>
      <c r="H1016" s="286"/>
      <c r="I1016" s="286"/>
      <c r="J1016" s="286"/>
    </row>
    <row r="1017" spans="1:10">
      <c r="A1017" s="284"/>
      <c r="B1017" s="282"/>
      <c r="C1017" s="282"/>
      <c r="D1017" s="282"/>
      <c r="E1017" s="282"/>
      <c r="F1017" s="285"/>
      <c r="G1017" s="286"/>
      <c r="H1017" s="286"/>
      <c r="I1017" s="286"/>
      <c r="J1017" s="286"/>
    </row>
    <row r="1018" spans="1:10">
      <c r="A1018" s="284"/>
      <c r="B1018" s="282"/>
      <c r="C1018" s="282"/>
      <c r="D1018" s="282"/>
      <c r="E1018" s="282"/>
      <c r="F1018" s="285"/>
      <c r="G1018" s="286"/>
      <c r="H1018" s="286"/>
      <c r="I1018" s="286"/>
      <c r="J1018" s="286"/>
    </row>
    <row r="1019" spans="1:10">
      <c r="A1019" s="284"/>
      <c r="B1019" s="282"/>
      <c r="C1019" s="282"/>
      <c r="D1019" s="282"/>
      <c r="E1019" s="282"/>
      <c r="F1019" s="285"/>
      <c r="G1019" s="286"/>
      <c r="H1019" s="286"/>
      <c r="I1019" s="286"/>
      <c r="J1019" s="286"/>
    </row>
    <row r="1020" spans="1:10">
      <c r="A1020" s="284"/>
      <c r="B1020" s="282"/>
      <c r="C1020" s="282"/>
      <c r="D1020" s="282"/>
      <c r="E1020" s="282"/>
      <c r="F1020" s="285"/>
      <c r="G1020" s="286"/>
      <c r="H1020" s="286"/>
      <c r="I1020" s="286"/>
      <c r="J1020" s="286"/>
    </row>
    <row r="1021" spans="1:10">
      <c r="A1021" s="284"/>
      <c r="B1021" s="282"/>
      <c r="C1021" s="282"/>
      <c r="D1021" s="282"/>
      <c r="E1021" s="282"/>
      <c r="F1021" s="285"/>
      <c r="G1021" s="286"/>
      <c r="H1021" s="286"/>
      <c r="I1021" s="286"/>
      <c r="J1021" s="286"/>
    </row>
    <row r="1022" spans="1:10">
      <c r="A1022" s="284"/>
      <c r="B1022" s="282"/>
      <c r="C1022" s="282"/>
      <c r="D1022" s="282"/>
      <c r="E1022" s="282"/>
      <c r="F1022" s="285"/>
      <c r="G1022" s="286"/>
      <c r="H1022" s="286"/>
      <c r="I1022" s="286"/>
      <c r="J1022" s="286"/>
    </row>
    <row r="1023" spans="1:10">
      <c r="A1023" s="284"/>
      <c r="B1023" s="282"/>
      <c r="C1023" s="282"/>
      <c r="D1023" s="282"/>
      <c r="E1023" s="282"/>
      <c r="F1023" s="285"/>
      <c r="G1023" s="286"/>
      <c r="H1023" s="286"/>
      <c r="I1023" s="286"/>
      <c r="J1023" s="286"/>
    </row>
    <row r="1024" spans="1:10">
      <c r="A1024" s="284"/>
      <c r="B1024" s="282"/>
      <c r="C1024" s="282"/>
      <c r="D1024" s="282"/>
      <c r="E1024" s="282"/>
      <c r="F1024" s="285"/>
      <c r="G1024" s="286"/>
      <c r="H1024" s="286"/>
      <c r="I1024" s="286"/>
      <c r="J1024" s="286"/>
    </row>
    <row r="1025" spans="1:10">
      <c r="A1025" s="284"/>
      <c r="B1025" s="282"/>
      <c r="C1025" s="282"/>
      <c r="D1025" s="282"/>
      <c r="E1025" s="282"/>
      <c r="F1025" s="285"/>
      <c r="G1025" s="286"/>
      <c r="H1025" s="286"/>
      <c r="I1025" s="286"/>
      <c r="J1025" s="286"/>
    </row>
    <row r="1026" spans="1:10">
      <c r="A1026" s="284"/>
      <c r="B1026" s="282"/>
      <c r="C1026" s="282"/>
      <c r="D1026" s="282"/>
      <c r="E1026" s="282"/>
      <c r="F1026" s="285"/>
      <c r="G1026" s="286"/>
      <c r="H1026" s="286"/>
      <c r="I1026" s="286"/>
      <c r="J1026" s="286"/>
    </row>
    <row r="1027" spans="1:10">
      <c r="A1027" s="284"/>
      <c r="B1027" s="282"/>
      <c r="C1027" s="282"/>
      <c r="D1027" s="282"/>
      <c r="E1027" s="282"/>
      <c r="F1027" s="285"/>
      <c r="G1027" s="286"/>
      <c r="H1027" s="286"/>
      <c r="I1027" s="286"/>
      <c r="J1027" s="286"/>
    </row>
    <row r="1028" spans="1:10">
      <c r="A1028" s="284"/>
      <c r="B1028" s="282"/>
      <c r="C1028" s="282"/>
      <c r="D1028" s="282"/>
      <c r="E1028" s="282"/>
      <c r="F1028" s="285"/>
      <c r="G1028" s="286"/>
      <c r="H1028" s="286"/>
      <c r="I1028" s="286"/>
      <c r="J1028" s="286"/>
    </row>
    <row r="1029" spans="1:10">
      <c r="A1029" s="284"/>
      <c r="B1029" s="282"/>
      <c r="C1029" s="282"/>
      <c r="D1029" s="282"/>
      <c r="E1029" s="282"/>
      <c r="F1029" s="285"/>
      <c r="G1029" s="286"/>
      <c r="H1029" s="286"/>
      <c r="I1029" s="286"/>
      <c r="J1029" s="286"/>
    </row>
    <row r="1030" spans="1:10">
      <c r="A1030" s="284"/>
      <c r="B1030" s="282"/>
      <c r="C1030" s="282"/>
      <c r="D1030" s="282"/>
      <c r="E1030" s="282"/>
      <c r="F1030" s="285"/>
      <c r="G1030" s="286"/>
      <c r="H1030" s="286"/>
      <c r="I1030" s="286"/>
      <c r="J1030" s="286"/>
    </row>
    <row r="1031" spans="1:10">
      <c r="A1031" s="284"/>
      <c r="B1031" s="282"/>
      <c r="C1031" s="282"/>
      <c r="D1031" s="282"/>
      <c r="E1031" s="282"/>
      <c r="F1031" s="285"/>
      <c r="G1031" s="286"/>
      <c r="H1031" s="286"/>
      <c r="I1031" s="286"/>
      <c r="J1031" s="286"/>
    </row>
    <row r="1032" spans="1:10">
      <c r="A1032" s="284"/>
      <c r="B1032" s="282"/>
      <c r="C1032" s="282"/>
      <c r="D1032" s="282"/>
      <c r="E1032" s="282"/>
      <c r="F1032" s="285"/>
      <c r="G1032" s="286"/>
      <c r="H1032" s="286"/>
      <c r="I1032" s="286"/>
      <c r="J1032" s="286"/>
    </row>
    <row r="1033" spans="1:10">
      <c r="A1033" s="284"/>
      <c r="B1033" s="282"/>
      <c r="C1033" s="282"/>
      <c r="D1033" s="282"/>
      <c r="E1033" s="282"/>
      <c r="F1033" s="285"/>
      <c r="G1033" s="286"/>
      <c r="H1033" s="286"/>
      <c r="I1033" s="286"/>
      <c r="J1033" s="286"/>
    </row>
    <row r="1034" spans="1:10">
      <c r="A1034" s="284"/>
      <c r="B1034" s="282"/>
      <c r="C1034" s="282"/>
      <c r="D1034" s="282"/>
      <c r="E1034" s="282"/>
      <c r="F1034" s="285"/>
      <c r="G1034" s="286"/>
      <c r="H1034" s="286"/>
      <c r="I1034" s="286"/>
      <c r="J1034" s="286"/>
    </row>
    <row r="1035" spans="1:10">
      <c r="A1035" s="284"/>
      <c r="B1035" s="282"/>
      <c r="C1035" s="282"/>
      <c r="D1035" s="282"/>
      <c r="E1035" s="282"/>
      <c r="F1035" s="285"/>
      <c r="G1035" s="286"/>
      <c r="H1035" s="286"/>
      <c r="I1035" s="286"/>
      <c r="J1035" s="286"/>
    </row>
    <row r="1036" spans="1:10">
      <c r="A1036" s="284"/>
      <c r="B1036" s="282"/>
      <c r="C1036" s="282"/>
      <c r="D1036" s="282"/>
      <c r="E1036" s="282"/>
      <c r="F1036" s="285"/>
      <c r="G1036" s="286"/>
      <c r="H1036" s="286"/>
      <c r="I1036" s="286"/>
      <c r="J1036" s="286"/>
    </row>
    <row r="1037" spans="1:10">
      <c r="A1037" s="284"/>
      <c r="B1037" s="282"/>
      <c r="C1037" s="282"/>
      <c r="D1037" s="282"/>
      <c r="E1037" s="282"/>
      <c r="F1037" s="285"/>
      <c r="G1037" s="286"/>
      <c r="H1037" s="286"/>
      <c r="I1037" s="286"/>
      <c r="J1037" s="286"/>
    </row>
    <row r="1038" spans="1:10">
      <c r="A1038" s="284"/>
      <c r="B1038" s="282"/>
      <c r="C1038" s="282"/>
      <c r="D1038" s="282"/>
      <c r="E1038" s="282"/>
      <c r="F1038" s="285"/>
      <c r="G1038" s="286"/>
      <c r="H1038" s="286"/>
      <c r="I1038" s="286"/>
      <c r="J1038" s="286"/>
    </row>
    <row r="1039" spans="1:10">
      <c r="A1039" s="284"/>
      <c r="B1039" s="282"/>
      <c r="C1039" s="282"/>
      <c r="D1039" s="282"/>
      <c r="E1039" s="282"/>
      <c r="F1039" s="285"/>
      <c r="G1039" s="286"/>
      <c r="H1039" s="286"/>
      <c r="I1039" s="286"/>
      <c r="J1039" s="286"/>
    </row>
    <row r="1040" spans="1:10">
      <c r="A1040" s="284"/>
      <c r="B1040" s="282"/>
      <c r="C1040" s="282"/>
      <c r="D1040" s="282"/>
      <c r="E1040" s="282"/>
      <c r="F1040" s="285"/>
      <c r="G1040" s="286"/>
      <c r="H1040" s="286"/>
      <c r="I1040" s="286"/>
      <c r="J1040" s="286"/>
    </row>
    <row r="1041" spans="1:10">
      <c r="A1041" s="284"/>
      <c r="B1041" s="282"/>
      <c r="C1041" s="282"/>
      <c r="D1041" s="282"/>
      <c r="E1041" s="282"/>
      <c r="F1041" s="285"/>
      <c r="G1041" s="286"/>
      <c r="H1041" s="286"/>
      <c r="I1041" s="286"/>
      <c r="J1041" s="286"/>
    </row>
    <row r="1042" spans="1:10">
      <c r="A1042" s="284"/>
      <c r="B1042" s="282"/>
      <c r="C1042" s="282"/>
      <c r="D1042" s="282"/>
      <c r="E1042" s="282"/>
      <c r="F1042" s="285"/>
      <c r="G1042" s="286"/>
      <c r="H1042" s="286"/>
      <c r="I1042" s="286"/>
      <c r="J1042" s="286"/>
    </row>
    <row r="1043" spans="1:10">
      <c r="A1043" s="284"/>
      <c r="B1043" s="282"/>
      <c r="C1043" s="282"/>
      <c r="D1043" s="282"/>
      <c r="E1043" s="282"/>
      <c r="F1043" s="285"/>
      <c r="G1043" s="286"/>
      <c r="H1043" s="286"/>
      <c r="I1043" s="286"/>
      <c r="J1043" s="286"/>
    </row>
    <row r="1044" spans="1:10">
      <c r="A1044" s="284"/>
      <c r="B1044" s="282"/>
      <c r="C1044" s="282"/>
      <c r="D1044" s="282"/>
      <c r="E1044" s="282"/>
      <c r="F1044" s="285"/>
      <c r="G1044" s="286"/>
      <c r="H1044" s="286"/>
      <c r="I1044" s="286"/>
      <c r="J1044" s="286"/>
    </row>
    <row r="1045" spans="1:10">
      <c r="A1045" s="284"/>
      <c r="B1045" s="282"/>
      <c r="C1045" s="282"/>
      <c r="D1045" s="282"/>
      <c r="E1045" s="282"/>
      <c r="F1045" s="285"/>
      <c r="G1045" s="286"/>
      <c r="H1045" s="286"/>
      <c r="I1045" s="286"/>
      <c r="J1045" s="286"/>
    </row>
    <row r="1046" spans="1:10">
      <c r="A1046" s="284"/>
      <c r="B1046" s="282"/>
      <c r="C1046" s="282"/>
      <c r="D1046" s="282"/>
      <c r="E1046" s="282"/>
      <c r="F1046" s="285"/>
      <c r="G1046" s="286"/>
      <c r="H1046" s="286"/>
      <c r="I1046" s="286"/>
      <c r="J1046" s="286"/>
    </row>
    <row r="1047" spans="1:10">
      <c r="A1047" s="284"/>
      <c r="B1047" s="282"/>
      <c r="C1047" s="282"/>
      <c r="D1047" s="282"/>
      <c r="E1047" s="282"/>
      <c r="F1047" s="285"/>
      <c r="G1047" s="286"/>
      <c r="H1047" s="286"/>
      <c r="I1047" s="286"/>
      <c r="J1047" s="286"/>
    </row>
    <row r="1048" spans="1:10">
      <c r="A1048" s="284"/>
      <c r="B1048" s="282"/>
      <c r="C1048" s="282"/>
      <c r="D1048" s="282"/>
      <c r="E1048" s="282"/>
      <c r="F1048" s="285"/>
      <c r="G1048" s="286"/>
      <c r="H1048" s="286"/>
      <c r="I1048" s="286"/>
      <c r="J1048" s="286"/>
    </row>
    <row r="1049" spans="1:10">
      <c r="A1049" s="284"/>
      <c r="B1049" s="282"/>
      <c r="C1049" s="282"/>
      <c r="D1049" s="282"/>
      <c r="E1049" s="282"/>
      <c r="F1049" s="285"/>
      <c r="G1049" s="286"/>
      <c r="H1049" s="286"/>
      <c r="I1049" s="286"/>
      <c r="J1049" s="286"/>
    </row>
    <row r="1050" spans="1:10">
      <c r="A1050" s="284"/>
      <c r="B1050" s="282"/>
      <c r="C1050" s="282"/>
      <c r="D1050" s="282"/>
      <c r="E1050" s="282"/>
      <c r="F1050" s="285"/>
      <c r="G1050" s="286"/>
      <c r="H1050" s="286"/>
      <c r="I1050" s="286"/>
      <c r="J1050" s="286"/>
    </row>
    <row r="1051" spans="1:10">
      <c r="A1051" s="284"/>
      <c r="B1051" s="282"/>
      <c r="C1051" s="282"/>
      <c r="D1051" s="282"/>
      <c r="E1051" s="282"/>
      <c r="F1051" s="285"/>
      <c r="G1051" s="286"/>
      <c r="H1051" s="286"/>
      <c r="I1051" s="286"/>
      <c r="J1051" s="286"/>
    </row>
    <row r="1052" spans="1:10">
      <c r="A1052" s="284"/>
      <c r="B1052" s="282"/>
      <c r="C1052" s="282"/>
      <c r="D1052" s="282"/>
      <c r="E1052" s="282"/>
      <c r="F1052" s="285"/>
      <c r="G1052" s="286"/>
      <c r="H1052" s="286"/>
      <c r="I1052" s="286"/>
      <c r="J1052" s="286"/>
    </row>
    <row r="1053" spans="1:10">
      <c r="A1053" s="284"/>
      <c r="B1053" s="282"/>
      <c r="C1053" s="282"/>
      <c r="D1053" s="282"/>
      <c r="E1053" s="282"/>
      <c r="F1053" s="285"/>
      <c r="G1053" s="286"/>
      <c r="H1053" s="286"/>
      <c r="I1053" s="286"/>
      <c r="J1053" s="286"/>
    </row>
    <row r="1054" spans="1:10">
      <c r="A1054" s="284"/>
      <c r="B1054" s="282"/>
      <c r="C1054" s="282"/>
      <c r="D1054" s="282"/>
      <c r="E1054" s="282"/>
      <c r="F1054" s="285"/>
      <c r="G1054" s="286"/>
      <c r="H1054" s="286"/>
      <c r="I1054" s="286"/>
      <c r="J1054" s="286"/>
    </row>
    <row r="1055" spans="1:10">
      <c r="A1055" s="284"/>
      <c r="B1055" s="282"/>
      <c r="C1055" s="282"/>
      <c r="D1055" s="282"/>
      <c r="E1055" s="282"/>
      <c r="F1055" s="285"/>
      <c r="G1055" s="286"/>
      <c r="H1055" s="286"/>
      <c r="I1055" s="286"/>
      <c r="J1055" s="286"/>
    </row>
    <row r="1056" spans="1:10">
      <c r="A1056" s="284"/>
      <c r="B1056" s="282"/>
      <c r="C1056" s="282"/>
      <c r="D1056" s="282"/>
      <c r="E1056" s="282"/>
      <c r="F1056" s="285"/>
      <c r="G1056" s="286"/>
      <c r="H1056" s="286"/>
      <c r="I1056" s="286"/>
      <c r="J1056" s="286"/>
    </row>
    <row r="1057" spans="1:10">
      <c r="A1057" s="284"/>
      <c r="B1057" s="282"/>
      <c r="C1057" s="282"/>
      <c r="D1057" s="282"/>
      <c r="E1057" s="282"/>
      <c r="F1057" s="285"/>
      <c r="G1057" s="286"/>
      <c r="H1057" s="286"/>
      <c r="I1057" s="286"/>
      <c r="J1057" s="286"/>
    </row>
    <row r="1058" spans="1:10">
      <c r="A1058" s="284"/>
      <c r="B1058" s="282"/>
      <c r="C1058" s="282"/>
      <c r="D1058" s="282"/>
      <c r="E1058" s="282"/>
      <c r="F1058" s="285"/>
      <c r="G1058" s="286"/>
      <c r="H1058" s="286"/>
      <c r="I1058" s="286"/>
      <c r="J1058" s="286"/>
    </row>
    <row r="1059" spans="1:10">
      <c r="A1059" s="284"/>
      <c r="B1059" s="282"/>
      <c r="C1059" s="282"/>
      <c r="D1059" s="282"/>
      <c r="E1059" s="282"/>
      <c r="F1059" s="285"/>
      <c r="G1059" s="286"/>
      <c r="H1059" s="286"/>
      <c r="I1059" s="286"/>
      <c r="J1059" s="286"/>
    </row>
    <row r="1060" spans="1:10">
      <c r="A1060" s="284"/>
      <c r="B1060" s="282"/>
      <c r="C1060" s="282"/>
      <c r="D1060" s="282"/>
      <c r="E1060" s="282"/>
      <c r="F1060" s="285"/>
      <c r="G1060" s="286"/>
      <c r="H1060" s="286"/>
      <c r="I1060" s="286"/>
      <c r="J1060" s="286"/>
    </row>
    <row r="1061" spans="1:10">
      <c r="A1061" s="284"/>
      <c r="B1061" s="282"/>
      <c r="C1061" s="282"/>
      <c r="D1061" s="282"/>
      <c r="E1061" s="282"/>
      <c r="F1061" s="285"/>
      <c r="G1061" s="286"/>
      <c r="H1061" s="286"/>
      <c r="I1061" s="286"/>
      <c r="J1061" s="286"/>
    </row>
    <row r="1062" spans="1:10">
      <c r="A1062" s="284"/>
      <c r="B1062" s="282"/>
      <c r="C1062" s="282"/>
      <c r="D1062" s="282"/>
      <c r="E1062" s="282"/>
      <c r="F1062" s="285"/>
      <c r="G1062" s="286"/>
      <c r="H1062" s="286"/>
      <c r="I1062" s="286"/>
      <c r="J1062" s="286"/>
    </row>
    <row r="1063" spans="1:10">
      <c r="A1063" s="284"/>
      <c r="B1063" s="282"/>
      <c r="C1063" s="282"/>
      <c r="D1063" s="282"/>
      <c r="E1063" s="282"/>
      <c r="F1063" s="285"/>
      <c r="G1063" s="286"/>
      <c r="H1063" s="286"/>
      <c r="I1063" s="286"/>
      <c r="J1063" s="286"/>
    </row>
    <row r="1064" spans="1:10">
      <c r="A1064" s="284"/>
      <c r="B1064" s="282"/>
      <c r="C1064" s="282"/>
      <c r="D1064" s="282"/>
      <c r="E1064" s="282"/>
      <c r="F1064" s="285"/>
      <c r="G1064" s="286"/>
      <c r="H1064" s="286"/>
      <c r="I1064" s="286"/>
      <c r="J1064" s="286"/>
    </row>
    <row r="1065" spans="1:10">
      <c r="A1065" s="284"/>
      <c r="B1065" s="282"/>
      <c r="C1065" s="282"/>
      <c r="D1065" s="282"/>
      <c r="E1065" s="282"/>
      <c r="F1065" s="285"/>
      <c r="G1065" s="286"/>
      <c r="H1065" s="286"/>
      <c r="I1065" s="286"/>
      <c r="J1065" s="286"/>
    </row>
    <row r="1066" spans="1:10">
      <c r="A1066" s="284"/>
      <c r="B1066" s="282"/>
      <c r="C1066" s="282"/>
      <c r="D1066" s="282"/>
      <c r="E1066" s="282"/>
      <c r="F1066" s="285"/>
      <c r="G1066" s="286"/>
      <c r="H1066" s="286"/>
      <c r="I1066" s="286"/>
      <c r="J1066" s="286"/>
    </row>
    <row r="1067" spans="1:10">
      <c r="A1067" s="284"/>
      <c r="B1067" s="282"/>
      <c r="C1067" s="282"/>
      <c r="D1067" s="282"/>
      <c r="E1067" s="282"/>
      <c r="F1067" s="285"/>
      <c r="G1067" s="286"/>
      <c r="H1067" s="286"/>
      <c r="I1067" s="286"/>
      <c r="J1067" s="286"/>
    </row>
    <row r="1068" spans="1:10">
      <c r="A1068" s="284"/>
      <c r="B1068" s="282"/>
      <c r="C1068" s="282"/>
      <c r="D1068" s="282"/>
      <c r="E1068" s="282"/>
      <c r="F1068" s="285"/>
      <c r="G1068" s="286"/>
      <c r="H1068" s="286"/>
      <c r="I1068" s="286"/>
      <c r="J1068" s="286"/>
    </row>
    <row r="1069" spans="1:10">
      <c r="A1069" s="284"/>
      <c r="B1069" s="282"/>
      <c r="C1069" s="282"/>
      <c r="D1069" s="282"/>
      <c r="E1069" s="282"/>
      <c r="F1069" s="285"/>
      <c r="G1069" s="286"/>
      <c r="H1069" s="286"/>
      <c r="I1069" s="286"/>
      <c r="J1069" s="286"/>
    </row>
    <row r="1070" spans="1:10">
      <c r="A1070" s="284"/>
      <c r="B1070" s="282"/>
      <c r="C1070" s="282"/>
      <c r="D1070" s="282"/>
      <c r="E1070" s="282"/>
      <c r="F1070" s="285"/>
      <c r="G1070" s="286"/>
      <c r="H1070" s="286"/>
      <c r="I1070" s="286"/>
      <c r="J1070" s="286"/>
    </row>
    <row r="1071" spans="1:10">
      <c r="A1071" s="284"/>
      <c r="B1071" s="282"/>
      <c r="C1071" s="282"/>
      <c r="D1071" s="282"/>
      <c r="E1071" s="282"/>
      <c r="F1071" s="285"/>
      <c r="G1071" s="286"/>
      <c r="H1071" s="286"/>
      <c r="I1071" s="286"/>
      <c r="J1071" s="286"/>
    </row>
    <row r="1072" spans="1:10">
      <c r="A1072" s="284"/>
      <c r="B1072" s="282"/>
      <c r="C1072" s="282"/>
      <c r="D1072" s="282"/>
      <c r="E1072" s="282"/>
      <c r="F1072" s="285"/>
      <c r="G1072" s="286"/>
      <c r="H1072" s="286"/>
      <c r="I1072" s="286"/>
      <c r="J1072" s="286"/>
    </row>
    <row r="1073" spans="1:10">
      <c r="A1073" s="284"/>
      <c r="B1073" s="282"/>
      <c r="C1073" s="282"/>
      <c r="D1073" s="282"/>
      <c r="E1073" s="282"/>
      <c r="F1073" s="285"/>
      <c r="G1073" s="286"/>
      <c r="H1073" s="286"/>
      <c r="I1073" s="286"/>
      <c r="J1073" s="286"/>
    </row>
    <row r="1074" spans="1:10">
      <c r="A1074" s="284"/>
      <c r="B1074" s="282"/>
      <c r="C1074" s="282"/>
      <c r="D1074" s="282"/>
      <c r="E1074" s="282"/>
      <c r="F1074" s="285"/>
      <c r="G1074" s="286"/>
      <c r="H1074" s="286"/>
      <c r="I1074" s="286"/>
      <c r="J1074" s="286"/>
    </row>
    <row r="1075" spans="1:10">
      <c r="A1075" s="284"/>
      <c r="B1075" s="282"/>
      <c r="C1075" s="282"/>
      <c r="D1075" s="282"/>
      <c r="E1075" s="282"/>
      <c r="F1075" s="285"/>
      <c r="G1075" s="286"/>
      <c r="H1075" s="286"/>
      <c r="I1075" s="286"/>
      <c r="J1075" s="286"/>
    </row>
    <row r="1076" spans="1:10">
      <c r="A1076" s="284"/>
      <c r="B1076" s="282"/>
      <c r="C1076" s="282"/>
      <c r="D1076" s="282"/>
      <c r="E1076" s="282"/>
      <c r="F1076" s="285"/>
      <c r="G1076" s="286"/>
      <c r="H1076" s="286"/>
      <c r="I1076" s="286"/>
      <c r="J1076" s="286"/>
    </row>
    <row r="1077" spans="1:10">
      <c r="A1077" s="284"/>
      <c r="B1077" s="282"/>
      <c r="C1077" s="282"/>
      <c r="D1077" s="282"/>
      <c r="E1077" s="282"/>
      <c r="F1077" s="285"/>
      <c r="G1077" s="286"/>
      <c r="H1077" s="286"/>
      <c r="I1077" s="286"/>
      <c r="J1077" s="286"/>
    </row>
    <row r="1078" spans="1:10">
      <c r="A1078" s="284"/>
      <c r="B1078" s="282"/>
      <c r="C1078" s="282"/>
      <c r="D1078" s="282"/>
      <c r="E1078" s="282"/>
      <c r="F1078" s="285"/>
      <c r="G1078" s="286"/>
      <c r="H1078" s="286"/>
      <c r="I1078" s="286"/>
      <c r="J1078" s="286"/>
    </row>
    <row r="1079" spans="1:10">
      <c r="A1079" s="284"/>
      <c r="B1079" s="282"/>
      <c r="C1079" s="282"/>
      <c r="D1079" s="282"/>
      <c r="E1079" s="282"/>
      <c r="F1079" s="285"/>
      <c r="G1079" s="286"/>
      <c r="H1079" s="286"/>
      <c r="I1079" s="286"/>
      <c r="J1079" s="286"/>
    </row>
    <row r="1080" spans="1:10">
      <c r="A1080" s="284"/>
      <c r="B1080" s="282"/>
      <c r="C1080" s="282"/>
      <c r="D1080" s="282"/>
      <c r="E1080" s="282"/>
      <c r="F1080" s="285"/>
      <c r="G1080" s="286"/>
      <c r="H1080" s="286"/>
      <c r="I1080" s="286"/>
      <c r="J1080" s="286"/>
    </row>
    <row r="1081" spans="1:10">
      <c r="A1081" s="284"/>
      <c r="B1081" s="282"/>
      <c r="C1081" s="282"/>
      <c r="D1081" s="282"/>
      <c r="E1081" s="282"/>
      <c r="F1081" s="285"/>
      <c r="G1081" s="286"/>
      <c r="H1081" s="286"/>
      <c r="I1081" s="286"/>
      <c r="J1081" s="286"/>
    </row>
    <row r="1082" spans="1:10">
      <c r="A1082" s="284"/>
      <c r="B1082" s="282"/>
      <c r="C1082" s="282"/>
      <c r="D1082" s="282"/>
      <c r="E1082" s="282"/>
      <c r="F1082" s="285"/>
      <c r="G1082" s="286"/>
      <c r="H1082" s="286"/>
      <c r="I1082" s="286"/>
      <c r="J1082" s="286"/>
    </row>
    <row r="1083" spans="1:10">
      <c r="A1083" s="284"/>
      <c r="B1083" s="282"/>
      <c r="C1083" s="282"/>
      <c r="D1083" s="282"/>
      <c r="E1083" s="282"/>
      <c r="F1083" s="285"/>
      <c r="G1083" s="286"/>
      <c r="H1083" s="286"/>
      <c r="I1083" s="286"/>
      <c r="J1083" s="286"/>
    </row>
    <row r="1084" spans="1:10">
      <c r="A1084" s="284"/>
      <c r="B1084" s="282"/>
      <c r="C1084" s="282"/>
      <c r="D1084" s="282"/>
      <c r="E1084" s="282"/>
      <c r="F1084" s="285"/>
      <c r="G1084" s="286"/>
      <c r="H1084" s="286"/>
      <c r="I1084" s="286"/>
      <c r="J1084" s="286"/>
    </row>
    <row r="1085" spans="1:10">
      <c r="A1085" s="284"/>
      <c r="B1085" s="282"/>
      <c r="C1085" s="282"/>
      <c r="D1085" s="282"/>
      <c r="E1085" s="282"/>
      <c r="F1085" s="285"/>
      <c r="G1085" s="286"/>
      <c r="H1085" s="286"/>
      <c r="I1085" s="286"/>
      <c r="J1085" s="286"/>
    </row>
    <row r="1086" spans="1:10">
      <c r="A1086" s="284"/>
      <c r="B1086" s="282"/>
      <c r="C1086" s="282"/>
      <c r="D1086" s="282"/>
      <c r="E1086" s="282"/>
      <c r="F1086" s="285"/>
      <c r="G1086" s="286"/>
      <c r="H1086" s="286"/>
      <c r="I1086" s="286"/>
      <c r="J1086" s="286"/>
    </row>
    <row r="1087" spans="1:10">
      <c r="A1087" s="284"/>
      <c r="B1087" s="282"/>
      <c r="C1087" s="282"/>
      <c r="D1087" s="282"/>
      <c r="E1087" s="282"/>
      <c r="F1087" s="285"/>
      <c r="G1087" s="286"/>
      <c r="H1087" s="286"/>
      <c r="I1087" s="286"/>
      <c r="J1087" s="286"/>
    </row>
    <row r="1088" spans="1:10">
      <c r="A1088" s="284"/>
      <c r="B1088" s="282"/>
      <c r="C1088" s="282"/>
      <c r="D1088" s="282"/>
      <c r="E1088" s="282"/>
      <c r="F1088" s="285"/>
      <c r="G1088" s="286"/>
      <c r="H1088" s="286"/>
      <c r="I1088" s="286"/>
      <c r="J1088" s="286"/>
    </row>
    <row r="1089" spans="1:10">
      <c r="A1089" s="284"/>
      <c r="B1089" s="282"/>
      <c r="C1089" s="282"/>
      <c r="D1089" s="282"/>
      <c r="E1089" s="282"/>
      <c r="F1089" s="285"/>
      <c r="G1089" s="286"/>
      <c r="H1089" s="286"/>
      <c r="I1089" s="286"/>
      <c r="J1089" s="286"/>
    </row>
    <row r="1090" spans="1:10">
      <c r="A1090" s="284"/>
      <c r="B1090" s="282"/>
      <c r="C1090" s="282"/>
      <c r="D1090" s="282"/>
      <c r="E1090" s="282"/>
      <c r="F1090" s="285"/>
      <c r="G1090" s="286"/>
      <c r="H1090" s="286"/>
      <c r="I1090" s="286"/>
      <c r="J1090" s="286"/>
    </row>
    <row r="1091" spans="1:10">
      <c r="A1091" s="284"/>
      <c r="B1091" s="282"/>
      <c r="C1091" s="282"/>
      <c r="D1091" s="282"/>
      <c r="E1091" s="282"/>
      <c r="F1091" s="285"/>
      <c r="G1091" s="286"/>
      <c r="H1091" s="286"/>
      <c r="I1091" s="286"/>
      <c r="J1091" s="286"/>
    </row>
    <row r="1092" spans="1:10">
      <c r="A1092" s="284"/>
      <c r="B1092" s="282"/>
      <c r="C1092" s="282"/>
      <c r="D1092" s="282"/>
      <c r="E1092" s="282"/>
      <c r="F1092" s="285"/>
      <c r="G1092" s="286"/>
      <c r="H1092" s="286"/>
      <c r="I1092" s="286"/>
      <c r="J1092" s="286"/>
    </row>
    <row r="1093" spans="1:10">
      <c r="A1093" s="284"/>
      <c r="B1093" s="282"/>
      <c r="C1093" s="282"/>
      <c r="D1093" s="282"/>
      <c r="E1093" s="282"/>
      <c r="F1093" s="285"/>
      <c r="G1093" s="286"/>
      <c r="H1093" s="286"/>
      <c r="I1093" s="286"/>
      <c r="J1093" s="286"/>
    </row>
    <row r="1094" spans="1:10">
      <c r="A1094" s="284"/>
      <c r="B1094" s="282"/>
      <c r="C1094" s="282"/>
      <c r="D1094" s="282"/>
      <c r="E1094" s="282"/>
      <c r="F1094" s="285"/>
      <c r="G1094" s="286"/>
      <c r="H1094" s="286"/>
      <c r="I1094" s="286"/>
      <c r="J1094" s="286"/>
    </row>
    <row r="1095" spans="1:10">
      <c r="A1095" s="284"/>
      <c r="B1095" s="282"/>
      <c r="C1095" s="282"/>
      <c r="D1095" s="282"/>
      <c r="E1095" s="282"/>
      <c r="F1095" s="285"/>
      <c r="G1095" s="286"/>
      <c r="H1095" s="286"/>
      <c r="I1095" s="286"/>
      <c r="J1095" s="286"/>
    </row>
    <row r="1096" spans="1:10">
      <c r="A1096" s="284"/>
      <c r="B1096" s="282"/>
      <c r="C1096" s="282"/>
      <c r="D1096" s="282"/>
      <c r="E1096" s="282"/>
      <c r="F1096" s="285"/>
      <c r="G1096" s="286"/>
      <c r="H1096" s="286"/>
      <c r="I1096" s="286"/>
      <c r="J1096" s="286"/>
    </row>
    <row r="1097" spans="1:10">
      <c r="A1097" s="284"/>
      <c r="B1097" s="282"/>
      <c r="C1097" s="282"/>
      <c r="D1097" s="282"/>
      <c r="E1097" s="282"/>
      <c r="F1097" s="285"/>
      <c r="G1097" s="286"/>
      <c r="H1097" s="286"/>
      <c r="I1097" s="286"/>
      <c r="J1097" s="286"/>
    </row>
    <row r="1098" spans="1:10">
      <c r="A1098" s="284"/>
      <c r="B1098" s="282"/>
      <c r="C1098" s="282"/>
      <c r="D1098" s="282"/>
      <c r="E1098" s="282"/>
      <c r="F1098" s="285"/>
      <c r="G1098" s="286"/>
      <c r="H1098" s="286"/>
      <c r="I1098" s="286"/>
      <c r="J1098" s="286"/>
    </row>
    <row r="1099" spans="1:10">
      <c r="A1099" s="284"/>
      <c r="B1099" s="282"/>
      <c r="C1099" s="282"/>
      <c r="D1099" s="282"/>
      <c r="E1099" s="282"/>
      <c r="F1099" s="285"/>
      <c r="G1099" s="286"/>
      <c r="H1099" s="286"/>
      <c r="I1099" s="286"/>
      <c r="J1099" s="286"/>
    </row>
    <row r="1100" spans="1:10">
      <c r="A1100" s="284"/>
      <c r="B1100" s="282"/>
      <c r="C1100" s="282"/>
      <c r="D1100" s="282"/>
      <c r="E1100" s="282"/>
      <c r="F1100" s="285"/>
      <c r="G1100" s="286"/>
      <c r="H1100" s="286"/>
      <c r="I1100" s="286"/>
      <c r="J1100" s="286"/>
    </row>
  </sheetData>
  <sheetProtection algorithmName="SHA-512" hashValue="G6XJKg9FtCZs7X40qORIE8wB1+F4NXItIT7sMMCBiTarQfvAPy7y+hJ+dT3YjRnI97gm1/riaBqhWGKTfikFZA==" saltValue="iexfpFSkQF+xLm3eB7/qNA==" spinCount="100000" sheet="1" objects="1" scenarios="1" autoFilter="0"/>
  <customSheetViews>
    <customSheetView guid="{AED1A6D3-A4E7-45F8-93C4-DE2B3261C45F}" scale="70">
      <selection activeCell="E3" sqref="E3:E7"/>
      <pageMargins left="0.7" right="0.7" top="0.75" bottom="0.75" header="0.3" footer="0.3"/>
    </customSheetView>
  </customSheetViews>
  <mergeCells count="3">
    <mergeCell ref="A1:J1"/>
    <mergeCell ref="A2:J2"/>
    <mergeCell ref="A3:J3"/>
  </mergeCells>
  <phoneticPr fontId="2"/>
  <pageMargins left="0.25" right="0.25" top="0.35" bottom="0.35" header="0.3" footer="0.3"/>
  <pageSetup paperSize="9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C98D8-2273-45DB-B06C-E13260555FF9}">
  <sheetPr codeName="Sheet11">
    <pageSetUpPr fitToPage="1"/>
  </sheetPr>
  <dimension ref="A1:I37"/>
  <sheetViews>
    <sheetView zoomScale="90" zoomScaleNormal="90" zoomScaleSheetLayoutView="85" workbookViewId="0">
      <selection activeCell="F20" sqref="F20"/>
    </sheetView>
  </sheetViews>
  <sheetFormatPr defaultRowHeight="18"/>
  <cols>
    <col min="1" max="1" width="4.69921875" customWidth="1"/>
    <col min="2" max="2" width="19.69921875" customWidth="1"/>
    <col min="3" max="3" width="17.69921875" customWidth="1"/>
    <col min="4" max="9" width="14.69921875" customWidth="1"/>
  </cols>
  <sheetData>
    <row r="1" spans="1:7">
      <c r="A1" t="s">
        <v>165</v>
      </c>
    </row>
    <row r="3" spans="1:7" ht="18.600000000000001" thickBot="1">
      <c r="C3" s="257" t="s">
        <v>140</v>
      </c>
    </row>
    <row r="4" spans="1:7" ht="18.600000000000001" thickBot="1">
      <c r="C4" s="221" t="s">
        <v>329</v>
      </c>
      <c r="E4" s="258" t="s">
        <v>154</v>
      </c>
    </row>
    <row r="5" spans="1:7" ht="18.600000000000001" thickBot="1">
      <c r="B5" s="332"/>
      <c r="C5" s="333"/>
      <c r="D5" s="259" t="s">
        <v>70</v>
      </c>
      <c r="E5" s="257" t="s">
        <v>71</v>
      </c>
      <c r="F5" s="259" t="s">
        <v>142</v>
      </c>
      <c r="G5" s="259" t="s">
        <v>141</v>
      </c>
    </row>
    <row r="6" spans="1:7" ht="33.6" customHeight="1" thickBot="1">
      <c r="B6" s="342" t="s">
        <v>30</v>
      </c>
      <c r="C6" s="260" t="s">
        <v>31</v>
      </c>
      <c r="D6" s="210" t="str">
        <f>IF(ISNUMBER(MENU!F18),MENU!F18,"")</f>
        <v/>
      </c>
      <c r="E6" s="211"/>
      <c r="F6" s="261"/>
      <c r="G6" s="262"/>
    </row>
    <row r="7" spans="1:7" ht="33.6" customHeight="1" thickBot="1">
      <c r="B7" s="342"/>
      <c r="C7" s="242" t="s">
        <v>32</v>
      </c>
      <c r="D7" s="212" t="str">
        <f>IF(ISNUMBER(MENU!F19),MENU!F19,"")</f>
        <v/>
      </c>
      <c r="E7" s="211"/>
      <c r="F7" s="213"/>
      <c r="G7" s="214"/>
    </row>
    <row r="8" spans="1:7" ht="27" customHeight="1">
      <c r="B8" s="342"/>
      <c r="C8" s="336" t="s">
        <v>33</v>
      </c>
      <c r="D8" s="215" t="str">
        <f>IF(ISNUMBER(MENU!F20),MENU!F20,"")</f>
        <v/>
      </c>
      <c r="E8" s="339"/>
      <c r="F8" s="409" t="str">
        <f ca="1">IFERROR(FXAutoRate(0,MENU!$E$2,$C$4,MENU!$A$2,MENU!$I$2),"")</f>
        <v/>
      </c>
      <c r="G8" s="263" t="str">
        <f>IF(NOT(ISNUMBER(D8)),"",IF(D8=0,0,IF(AND(ISNUMBER(F8),F8&gt;0),ROUND(D8/F8,2),"要レート")))</f>
        <v/>
      </c>
    </row>
    <row r="9" spans="1:7" ht="17.399999999999999" customHeight="1">
      <c r="B9" s="342"/>
      <c r="C9" s="337"/>
      <c r="D9" s="216" t="s">
        <v>153</v>
      </c>
      <c r="E9" s="340"/>
      <c r="F9" s="410"/>
      <c r="G9" s="217" t="s">
        <v>153</v>
      </c>
    </row>
    <row r="10" spans="1:7" ht="13.2" customHeight="1" thickBot="1">
      <c r="B10" s="342"/>
      <c r="C10" s="338"/>
      <c r="D10" s="264">
        <f>SUMIFS(DB!$AF$2:$AF$1001,DB!$B$2:$B$1001,MENU!$A$2)-IF(D35="別途加算",D34,0)</f>
        <v>0</v>
      </c>
      <c r="E10" s="341"/>
      <c r="F10" s="411"/>
      <c r="G10" s="265">
        <f>SUMIFS(DB!$AI$2:$AI$1001,DB!$B$2:$B$1001,MENU!$A$2)-IF(D35="別途加算",G34,0)</f>
        <v>0</v>
      </c>
    </row>
    <row r="11" spans="1:7" ht="33.6" customHeight="1" thickBot="1">
      <c r="B11" s="342"/>
      <c r="C11" s="242" t="s">
        <v>34</v>
      </c>
      <c r="D11" s="218" t="str">
        <f>IF(ISNUMBER(MENU!F21),MENU!F21,"")</f>
        <v/>
      </c>
      <c r="E11" s="211"/>
      <c r="F11" s="213"/>
      <c r="G11" s="214"/>
    </row>
    <row r="12" spans="1:7" ht="33.6" customHeight="1" thickBot="1">
      <c r="B12" s="342"/>
      <c r="C12" s="243" t="s">
        <v>35</v>
      </c>
      <c r="D12" s="219" t="str">
        <f>IF(ISNUMBER(MENU!F22),MENU!F22,"")</f>
        <v/>
      </c>
      <c r="E12" s="211"/>
      <c r="F12" s="164" t="str">
        <f ca="1">IF(ISNUMBER(F8),F8,"")</f>
        <v/>
      </c>
      <c r="G12" s="266" t="str">
        <f>IF(NOT(ISNUMBER(D12)),"",IF(D12=0,0,IF(AND(ISNUMBER(F12),F12&gt;0),ROUND(D12/F12,2),"要レート")))</f>
        <v/>
      </c>
    </row>
    <row r="13" spans="1:7" ht="33.6" customHeight="1" thickBot="1">
      <c r="B13" s="342"/>
      <c r="C13" s="242" t="s">
        <v>36</v>
      </c>
      <c r="D13" s="220" t="str">
        <f>IF(ISNUMBER(MENU!F23),MENU!F23,"")</f>
        <v/>
      </c>
      <c r="E13" s="408"/>
      <c r="F13" s="164" t="str">
        <f ca="1">IF(ISNUMBER(F8),F8,"")</f>
        <v/>
      </c>
      <c r="G13" s="266" t="str">
        <f>IF(NOT(ISNUMBER(E13)),"",IF(E13=0,0,IF(AND(ISNUMBER(F13),F13&gt;0),ROUND(E13/F13,2),"要レート")))</f>
        <v/>
      </c>
    </row>
    <row r="14" spans="1:7" ht="42" customHeight="1"/>
    <row r="15" spans="1:7" ht="42" customHeight="1">
      <c r="B15" t="s">
        <v>166</v>
      </c>
    </row>
    <row r="16" spans="1:7" ht="42" customHeight="1">
      <c r="B16" t="s">
        <v>159</v>
      </c>
      <c r="C16" s="267"/>
    </row>
    <row r="17" spans="1:9" ht="42" customHeight="1">
      <c r="C17" s="268" t="s">
        <v>151</v>
      </c>
      <c r="D17" s="269" t="s">
        <v>72</v>
      </c>
      <c r="E17" s="270" t="s">
        <v>73</v>
      </c>
      <c r="F17" s="270" t="s">
        <v>74</v>
      </c>
      <c r="G17" s="271" t="s">
        <v>75</v>
      </c>
    </row>
    <row r="18" spans="1:9" ht="42" customHeight="1">
      <c r="C18" s="259" t="s">
        <v>156</v>
      </c>
      <c r="D18" s="272">
        <f>N(D8)</f>
        <v>0</v>
      </c>
      <c r="E18" s="272">
        <f>N(D12)</f>
        <v>0</v>
      </c>
      <c r="F18" s="272">
        <f>N(E13)</f>
        <v>0</v>
      </c>
      <c r="G18" s="272">
        <f>SUM(D18:F18)</f>
        <v>0</v>
      </c>
    </row>
    <row r="19" spans="1:9" ht="42" customHeight="1">
      <c r="C19" s="273" t="s">
        <v>157</v>
      </c>
      <c r="D19" s="272">
        <f>IF(N(D8)=0,0,IF(ISNUMBER(G8),G8,"未取得"))</f>
        <v>0</v>
      </c>
      <c r="E19" s="272">
        <f>IF(N(D12)=0,0,IF(ISNUMBER(G12),G12,"未取得"))</f>
        <v>0</v>
      </c>
      <c r="F19" s="272">
        <f>IF(N(E13)=0,0,IF(ISNUMBER(G13),G13,"未取得"))</f>
        <v>0</v>
      </c>
      <c r="G19" s="272">
        <f>IF(COUNT(D19:F19)=3,SUM(D19:F19),"未取得")</f>
        <v>0</v>
      </c>
    </row>
    <row r="20" spans="1:9" ht="42" customHeight="1">
      <c r="C20" s="267" t="s">
        <v>152</v>
      </c>
    </row>
    <row r="21" spans="1:9" ht="42" customHeight="1">
      <c r="C21" s="334" t="s">
        <v>75</v>
      </c>
      <c r="D21" s="274" t="s">
        <v>147</v>
      </c>
      <c r="E21" s="274" t="s">
        <v>148</v>
      </c>
      <c r="F21" s="275"/>
      <c r="G21" s="343" t="s">
        <v>155</v>
      </c>
      <c r="H21" s="274" t="s">
        <v>147</v>
      </c>
      <c r="I21" s="274" t="s">
        <v>90</v>
      </c>
    </row>
    <row r="22" spans="1:9" ht="42" customHeight="1">
      <c r="C22" s="335"/>
      <c r="D22" s="276">
        <f>SUMIFS(DB!$X$2:$X$1001,DB!$B$2:$B$1001,MENU!$A$2)</f>
        <v>0</v>
      </c>
      <c r="E22" s="276">
        <f>SUMIFS(DB!$AA$2:$AA$1001,DB!$B$2:$B$1001,MENU!$A$2)</f>
        <v>0</v>
      </c>
      <c r="F22" s="277"/>
      <c r="G22" s="343"/>
      <c r="H22" s="272" t="str">
        <f>IF(ISNUMBER(D37),D37+D22,"未入力")</f>
        <v>未入力</v>
      </c>
      <c r="I22" s="272" t="str">
        <f>IF(ISNUMBER(G37),G37+E22,"未入力")</f>
        <v>未入力</v>
      </c>
    </row>
    <row r="23" spans="1:9" ht="42" customHeight="1">
      <c r="C23" s="278"/>
      <c r="D23" s="279"/>
      <c r="E23" s="279"/>
      <c r="F23" s="279"/>
    </row>
    <row r="24" spans="1:9" ht="42" customHeight="1">
      <c r="C24" s="344" t="s">
        <v>145</v>
      </c>
      <c r="D24" s="346" t="s">
        <v>144</v>
      </c>
      <c r="E24" s="347"/>
      <c r="F24" s="344" t="s">
        <v>149</v>
      </c>
      <c r="G24" s="344"/>
    </row>
    <row r="25" spans="1:9" ht="21" customHeight="1">
      <c r="C25" s="344"/>
      <c r="D25" s="274" t="s">
        <v>147</v>
      </c>
      <c r="E25" s="274" t="s">
        <v>148</v>
      </c>
      <c r="F25" s="274" t="s">
        <v>147</v>
      </c>
      <c r="G25" s="274" t="s">
        <v>148</v>
      </c>
    </row>
    <row r="26" spans="1:9" ht="42" customHeight="1">
      <c r="C26" s="345"/>
      <c r="D26" s="276">
        <f>SUMIFS(DB!$V$2:$V$1001,DB!$B$2:$B$1001,MENU!$A$2,DB!$AL$2:$AL$1001,"Passive income")</f>
        <v>0</v>
      </c>
      <c r="E26" s="276">
        <f>SUMIFS(DB!$W$2:$W$1001,DB!$B$2:$B$1001,MENU!$A$2,DB!$AL$2:$AL$1001,"Passive income")</f>
        <v>0</v>
      </c>
      <c r="F26" s="276">
        <f>SUMIFS(DB!$V$2:$V$1001,DB!$B$2:$B$1001,MENU!$A$2,DB!$AL$2:$AL$1001,"General limitation income")</f>
        <v>0</v>
      </c>
      <c r="G26" s="276">
        <f>SUMIFS(DB!$W$2:$W$1001,DB!$B$2:$B$1001,MENU!$A$2,DB!$AL$2:$AL$1001,"General limitation income")</f>
        <v>0</v>
      </c>
    </row>
    <row r="27" spans="1:9" ht="21.6" customHeight="1">
      <c r="C27" s="330" t="s">
        <v>146</v>
      </c>
      <c r="D27" s="274" t="s">
        <v>147</v>
      </c>
      <c r="E27" s="274" t="s">
        <v>148</v>
      </c>
      <c r="F27" s="277"/>
    </row>
    <row r="28" spans="1:9" ht="36" customHeight="1">
      <c r="C28" s="331"/>
      <c r="D28" s="280">
        <f>SUMIFS(DB!$V$2:$V$1001,DB!$B$2:$B$1001,MENU!$A$2,DB!$C$2:$C$1001,"America")</f>
        <v>0</v>
      </c>
      <c r="E28" s="280">
        <f>SUMIFS(DB!$W$2:$W$1001,DB!$B$2:$B$1001,MENU!$A$2,DB!$C$2:$C$1001,"America")</f>
        <v>0</v>
      </c>
    </row>
    <row r="29" spans="1:9" ht="36" customHeight="1"/>
    <row r="30" spans="1:9" ht="24" customHeight="1">
      <c r="A30" s="380" t="s">
        <v>345</v>
      </c>
      <c r="B30" s="380"/>
      <c r="C30" s="380"/>
      <c r="D30" s="380"/>
      <c r="E30" s="380"/>
      <c r="F30" s="380"/>
      <c r="G30" s="380"/>
      <c r="H30" s="380"/>
      <c r="I30" s="380"/>
    </row>
    <row r="31" spans="1:9" ht="24" customHeight="1">
      <c r="A31" s="380" t="s">
        <v>346</v>
      </c>
      <c r="B31" s="380"/>
      <c r="C31" s="380"/>
      <c r="D31" s="380"/>
      <c r="E31" s="380"/>
      <c r="F31" s="380"/>
      <c r="G31" s="380"/>
      <c r="H31" s="380"/>
      <c r="I31" s="380"/>
    </row>
    <row r="32" spans="1:9" ht="24" customHeight="1">
      <c r="A32" s="380" t="s">
        <v>347</v>
      </c>
      <c r="B32" s="380"/>
      <c r="C32" s="380"/>
      <c r="D32" s="380"/>
      <c r="E32" s="380"/>
      <c r="F32" s="380"/>
      <c r="G32" s="380"/>
      <c r="H32" s="380"/>
      <c r="I32" s="380"/>
    </row>
    <row r="33" spans="1:9" ht="24" customHeight="1">
      <c r="A33" s="381" t="s">
        <v>348</v>
      </c>
      <c r="B33" s="381"/>
      <c r="C33" s="381"/>
      <c r="D33" s="381" t="s">
        <v>349</v>
      </c>
      <c r="E33" s="381"/>
      <c r="F33" s="381"/>
      <c r="G33" s="381" t="s">
        <v>350</v>
      </c>
      <c r="H33" s="381"/>
      <c r="I33" s="381"/>
    </row>
    <row r="34" spans="1:9" ht="22.95" customHeight="1">
      <c r="A34" s="382" t="s">
        <v>351</v>
      </c>
      <c r="B34" s="382"/>
      <c r="C34" s="382"/>
      <c r="D34" s="383">
        <f>SUMIFS(DB!$AF$2:$AF$1001,DB!$B$2:$B$1001,MENU!$A$2,DB!$AM$2:$AM$1001,"申告不要分")</f>
        <v>0</v>
      </c>
      <c r="E34" s="383"/>
      <c r="F34" s="383"/>
      <c r="G34" s="384">
        <f>SUMIFS(DB!$AI$2:$AI$1001,DB!$B$2:$B$1001,MENU!$A$2,DB!$AM$2:$AM$1001,"申告不要分")</f>
        <v>0</v>
      </c>
      <c r="H34" s="384"/>
      <c r="I34" s="384"/>
    </row>
    <row r="35" spans="1:9" ht="22.95" customHeight="1">
      <c r="A35" s="385" t="s">
        <v>352</v>
      </c>
      <c r="B35" s="385"/>
      <c r="C35" s="385"/>
      <c r="D35" s="386" t="str">
        <f>詳細設定!C8</f>
        <v>未設定</v>
      </c>
      <c r="E35" s="386"/>
      <c r="F35" s="386"/>
      <c r="G35" s="387"/>
      <c r="H35" s="387"/>
      <c r="I35" s="387"/>
    </row>
    <row r="36" spans="1:9" ht="22.95" customHeight="1">
      <c r="A36" s="385" t="s">
        <v>353</v>
      </c>
      <c r="B36" s="385"/>
      <c r="C36" s="385"/>
      <c r="D36" s="386">
        <f>N(詳細設定!C10)</f>
        <v>0</v>
      </c>
      <c r="E36" s="386"/>
      <c r="F36" s="386"/>
      <c r="G36" s="387">
        <f>N(詳細設定!C11)</f>
        <v>0</v>
      </c>
      <c r="H36" s="387"/>
      <c r="I36" s="387"/>
    </row>
    <row r="37" spans="1:9" ht="22.95" customHeight="1">
      <c r="A37" s="388" t="s">
        <v>354</v>
      </c>
      <c r="B37" s="388"/>
      <c r="C37" s="388"/>
      <c r="D37" s="389" t="str">
        <f>IF(ISNUMBER(MENU!A2),G18+IF(D35="別途加算",D34,0)+D36,"")</f>
        <v/>
      </c>
      <c r="E37" s="389"/>
      <c r="F37" s="389"/>
      <c r="G37" s="390" t="str">
        <f>IF(NOT(ISNUMBER(MENU!A2)),"",IF(ISNUMBER(G19),G19+IF(D35="別途加算",G34,0)+G36,"未取得"))</f>
        <v/>
      </c>
      <c r="H37" s="390"/>
      <c r="I37" s="390"/>
    </row>
  </sheetData>
  <sheetProtection algorithmName="SHA-512" hashValue="Uwc4RXs6oTlzkjUQLAOrs8riTykIhJyETuNeYGySrXJIlqyx7IiAk4BrosbBDW88ejZiNNpPSGWbJRQrnFJ7FA==" saltValue="U8zxfGv3jKhqiZEPbFXoXA==" spinCount="100000" sheet="1" objects="1" scenarios="1" autoFilter="0"/>
  <customSheetViews>
    <customSheetView guid="{AED1A6D3-A4E7-45F8-93C4-DE2B3261C45F}" scale="85" showPageBreaks="1" printArea="1" view="pageBreakPreview">
      <selection activeCell="I7" sqref="I7"/>
      <pageMargins left="0.11811023622047245" right="0" top="0.74803149606299213" bottom="0.15748031496062992" header="0.31496062992125984" footer="0.31496062992125984"/>
      <printOptions horizontalCentered="1"/>
      <pageSetup paperSize="9" scale="72" orientation="portrait" r:id="rId1"/>
    </customSheetView>
  </customSheetViews>
  <mergeCells count="29">
    <mergeCell ref="A36:C36"/>
    <mergeCell ref="D36:F36"/>
    <mergeCell ref="G36:I36"/>
    <mergeCell ref="A37:C37"/>
    <mergeCell ref="D37:F37"/>
    <mergeCell ref="G37:I37"/>
    <mergeCell ref="A34:C34"/>
    <mergeCell ref="D34:F34"/>
    <mergeCell ref="G34:I34"/>
    <mergeCell ref="A35:C35"/>
    <mergeCell ref="D35:F35"/>
    <mergeCell ref="G35:I35"/>
    <mergeCell ref="A30:I30"/>
    <mergeCell ref="A31:I31"/>
    <mergeCell ref="A32:I32"/>
    <mergeCell ref="A33:C33"/>
    <mergeCell ref="D33:F33"/>
    <mergeCell ref="G33:I33"/>
    <mergeCell ref="F8:F10"/>
    <mergeCell ref="G21:G22"/>
    <mergeCell ref="C24:C26"/>
    <mergeCell ref="F24:G24"/>
    <mergeCell ref="D24:E24"/>
    <mergeCell ref="C27:C28"/>
    <mergeCell ref="B5:C5"/>
    <mergeCell ref="C21:C22"/>
    <mergeCell ref="C8:C10"/>
    <mergeCell ref="E8:E10"/>
    <mergeCell ref="B6:B13"/>
  </mergeCells>
  <phoneticPr fontId="2"/>
  <dataValidations count="1">
    <dataValidation type="list" sqref="D35" xr:uid="{00000000-0002-0000-0300-000000000000}">
      <formula1>"別途加算,第一表に含む"</formula1>
    </dataValidation>
  </dataValidations>
  <printOptions horizontalCentered="1"/>
  <pageMargins left="0.11811023622047245" right="0" top="0.74803149606299213" bottom="0.15748031496062992" header="0.31496062992125984" footer="0.31496062992125984"/>
  <pageSetup paperSize="9" scale="45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8404A-BA68-4583-8E19-D8865E2F8351}">
  <sheetPr codeName="Sheet4">
    <pageSetUpPr fitToPage="1"/>
  </sheetPr>
  <dimension ref="A1:AR16"/>
  <sheetViews>
    <sheetView zoomScale="90" zoomScaleNormal="90" workbookViewId="0">
      <pane ySplit="1" topLeftCell="A2" activePane="bottomLeft" state="frozen"/>
      <selection pane="bottomLeft"/>
    </sheetView>
  </sheetViews>
  <sheetFormatPr defaultRowHeight="18"/>
  <cols>
    <col min="1" max="39" width="18" customWidth="1"/>
    <col min="40" max="40" width="32" customWidth="1"/>
    <col min="41" max="44" width="18" customWidth="1"/>
  </cols>
  <sheetData>
    <row r="1" spans="1:44" s="146" customFormat="1" ht="42" customHeight="1">
      <c r="A1" s="194" t="s">
        <v>167</v>
      </c>
      <c r="B1" s="194" t="s">
        <v>199</v>
      </c>
      <c r="C1" s="194" t="s">
        <v>0</v>
      </c>
      <c r="D1" s="194" t="s">
        <v>1</v>
      </c>
      <c r="E1" s="194" t="s">
        <v>2</v>
      </c>
      <c r="F1" s="194" t="s">
        <v>3</v>
      </c>
      <c r="G1" s="194" t="s">
        <v>161</v>
      </c>
      <c r="H1" s="194" t="s">
        <v>168</v>
      </c>
      <c r="I1" s="194" t="s">
        <v>200</v>
      </c>
      <c r="J1" s="194" t="s">
        <v>201</v>
      </c>
      <c r="K1" s="194" t="s">
        <v>202</v>
      </c>
      <c r="L1" s="194" t="s">
        <v>203</v>
      </c>
      <c r="M1" s="194" t="s">
        <v>204</v>
      </c>
      <c r="N1" s="194" t="s">
        <v>205</v>
      </c>
      <c r="O1" s="194" t="s">
        <v>206</v>
      </c>
      <c r="P1" s="194" t="s">
        <v>207</v>
      </c>
      <c r="Q1" s="194" t="s">
        <v>208</v>
      </c>
      <c r="R1" s="194" t="s">
        <v>209</v>
      </c>
      <c r="S1" s="194" t="s">
        <v>210</v>
      </c>
      <c r="T1" s="194" t="s">
        <v>211</v>
      </c>
      <c r="U1" s="194" t="s">
        <v>212</v>
      </c>
      <c r="V1" s="194" t="s">
        <v>213</v>
      </c>
      <c r="W1" s="194" t="s">
        <v>214</v>
      </c>
      <c r="X1" s="194" t="s">
        <v>215</v>
      </c>
      <c r="Y1" s="194" t="s">
        <v>216</v>
      </c>
      <c r="Z1" s="194" t="s">
        <v>217</v>
      </c>
      <c r="AA1" s="194" t="s">
        <v>218</v>
      </c>
      <c r="AB1" s="194" t="s">
        <v>219</v>
      </c>
      <c r="AC1" s="194" t="s">
        <v>220</v>
      </c>
      <c r="AD1" s="194" t="s">
        <v>221</v>
      </c>
      <c r="AE1" s="194" t="s">
        <v>222</v>
      </c>
      <c r="AF1" s="194" t="s">
        <v>223</v>
      </c>
      <c r="AG1" s="194" t="s">
        <v>224</v>
      </c>
      <c r="AH1" s="194" t="s">
        <v>225</v>
      </c>
      <c r="AI1" s="194" t="s">
        <v>226</v>
      </c>
      <c r="AJ1" s="194" t="s">
        <v>160</v>
      </c>
      <c r="AK1" s="194" t="s">
        <v>139</v>
      </c>
      <c r="AL1" s="194" t="s">
        <v>150</v>
      </c>
      <c r="AM1" s="194" t="s">
        <v>227</v>
      </c>
      <c r="AN1" s="194" t="s">
        <v>228</v>
      </c>
      <c r="AO1" s="194" t="s">
        <v>229</v>
      </c>
      <c r="AP1" s="194" t="s">
        <v>230</v>
      </c>
      <c r="AQ1" s="194" t="s">
        <v>231</v>
      </c>
      <c r="AR1" s="194" t="s">
        <v>232</v>
      </c>
    </row>
    <row r="2" spans="1:44">
      <c r="A2" s="141"/>
      <c r="B2" s="142"/>
      <c r="C2" s="142"/>
      <c r="D2" s="142"/>
      <c r="E2" s="142"/>
      <c r="F2" s="142"/>
      <c r="G2" s="142"/>
      <c r="H2" s="142"/>
      <c r="I2" s="143"/>
      <c r="J2" s="142"/>
      <c r="K2" s="142"/>
      <c r="L2" s="173"/>
      <c r="M2" s="142"/>
      <c r="N2" s="143"/>
      <c r="O2" s="142"/>
      <c r="P2" s="142"/>
      <c r="Q2" s="173"/>
      <c r="R2" s="142"/>
      <c r="S2" s="142"/>
      <c r="T2" s="142"/>
      <c r="U2" s="173"/>
      <c r="V2" s="173"/>
      <c r="W2" s="173"/>
      <c r="X2" s="142"/>
      <c r="Y2" s="142"/>
      <c r="Z2" s="142"/>
      <c r="AA2" s="173"/>
      <c r="AB2" s="142"/>
      <c r="AC2" s="142"/>
      <c r="AD2" s="142"/>
      <c r="AE2" s="173"/>
      <c r="AF2" s="142"/>
      <c r="AG2" s="142"/>
      <c r="AH2" s="142"/>
      <c r="AI2" s="173"/>
      <c r="AJ2" s="173"/>
      <c r="AK2" s="173"/>
      <c r="AL2" s="142"/>
      <c r="AM2" s="142"/>
      <c r="AN2" s="195"/>
    </row>
    <row r="3" spans="1:44">
      <c r="A3" s="144"/>
      <c r="B3" s="140"/>
      <c r="C3" s="140"/>
      <c r="D3" s="140"/>
      <c r="E3" s="140"/>
      <c r="F3" s="140"/>
      <c r="G3" s="140"/>
      <c r="H3" s="140"/>
      <c r="I3" s="145"/>
      <c r="J3" s="140"/>
      <c r="K3" s="140"/>
      <c r="L3" s="172"/>
      <c r="M3" s="140"/>
      <c r="N3" s="145"/>
      <c r="O3" s="140"/>
      <c r="P3" s="140"/>
      <c r="Q3" s="172"/>
      <c r="R3" s="140"/>
      <c r="S3" s="140"/>
      <c r="T3" s="140"/>
      <c r="U3" s="172"/>
      <c r="V3" s="172"/>
      <c r="W3" s="172"/>
      <c r="X3" s="140"/>
      <c r="Y3" s="140"/>
      <c r="Z3" s="140"/>
      <c r="AA3" s="172"/>
      <c r="AB3" s="140"/>
      <c r="AC3" s="140"/>
      <c r="AD3" s="140"/>
      <c r="AE3" s="172"/>
      <c r="AF3" s="140"/>
      <c r="AG3" s="140"/>
      <c r="AH3" s="140"/>
      <c r="AI3" s="172"/>
      <c r="AJ3" s="172"/>
      <c r="AK3" s="172"/>
      <c r="AL3" s="140"/>
      <c r="AM3" s="140"/>
      <c r="AN3" s="195"/>
    </row>
    <row r="4" spans="1:44">
      <c r="A4" s="141"/>
      <c r="B4" s="142"/>
      <c r="C4" s="142"/>
      <c r="D4" s="142"/>
      <c r="E4" s="142"/>
      <c r="F4" s="142"/>
      <c r="G4" s="142"/>
      <c r="H4" s="142"/>
      <c r="I4" s="143"/>
      <c r="J4" s="142"/>
      <c r="K4" s="142"/>
      <c r="L4" s="173"/>
      <c r="M4" s="142"/>
      <c r="N4" s="142"/>
      <c r="O4" s="142"/>
      <c r="P4" s="142"/>
      <c r="Q4" s="173"/>
      <c r="R4" s="142"/>
      <c r="S4" s="142"/>
      <c r="T4" s="142"/>
      <c r="U4" s="173"/>
      <c r="V4" s="173"/>
      <c r="W4" s="173"/>
      <c r="X4" s="142"/>
      <c r="Y4" s="142"/>
      <c r="Z4" s="142"/>
      <c r="AA4" s="173"/>
      <c r="AB4" s="142"/>
      <c r="AC4" s="142"/>
      <c r="AD4" s="142"/>
      <c r="AE4" s="173"/>
      <c r="AF4" s="142"/>
      <c r="AG4" s="142"/>
      <c r="AH4" s="142"/>
      <c r="AI4" s="173"/>
      <c r="AJ4" s="173"/>
      <c r="AK4" s="173"/>
      <c r="AL4" s="142"/>
      <c r="AM4" s="142"/>
      <c r="AN4" s="195"/>
    </row>
    <row r="5" spans="1:44">
      <c r="A5" s="144"/>
      <c r="B5" s="140"/>
      <c r="C5" s="140"/>
      <c r="D5" s="140"/>
      <c r="E5" s="140"/>
      <c r="F5" s="140"/>
      <c r="G5" s="140"/>
      <c r="H5" s="140"/>
      <c r="I5" s="145"/>
      <c r="J5" s="140"/>
      <c r="K5" s="140"/>
      <c r="L5" s="172"/>
      <c r="M5" s="140"/>
      <c r="N5" s="140"/>
      <c r="O5" s="140"/>
      <c r="P5" s="140"/>
      <c r="Q5" s="172"/>
      <c r="R5" s="140"/>
      <c r="S5" s="140"/>
      <c r="T5" s="140"/>
      <c r="U5" s="172"/>
      <c r="V5" s="172"/>
      <c r="W5" s="172"/>
      <c r="X5" s="140"/>
      <c r="Y5" s="140"/>
      <c r="Z5" s="140"/>
      <c r="AA5" s="172"/>
      <c r="AB5" s="140"/>
      <c r="AC5" s="140"/>
      <c r="AD5" s="140"/>
      <c r="AE5" s="172"/>
      <c r="AF5" s="140"/>
      <c r="AG5" s="140"/>
      <c r="AH5" s="140"/>
      <c r="AI5" s="172"/>
      <c r="AJ5" s="172"/>
      <c r="AK5" s="172"/>
      <c r="AL5" s="140"/>
      <c r="AM5" s="140"/>
      <c r="AN5" s="195"/>
    </row>
    <row r="6" spans="1:44">
      <c r="A6" s="144"/>
      <c r="B6" s="140"/>
      <c r="C6" s="140"/>
      <c r="D6" s="140"/>
      <c r="E6" s="140"/>
      <c r="F6" s="140"/>
      <c r="G6" s="140"/>
      <c r="H6" s="140"/>
      <c r="I6" s="145"/>
      <c r="J6" s="140"/>
      <c r="K6" s="140"/>
      <c r="L6" s="172"/>
      <c r="M6" s="140"/>
      <c r="N6" s="145"/>
      <c r="O6" s="140"/>
      <c r="P6" s="140"/>
      <c r="Q6" s="172"/>
      <c r="R6" s="140"/>
      <c r="S6" s="140"/>
      <c r="T6" s="140"/>
      <c r="U6" s="172"/>
      <c r="V6" s="172"/>
      <c r="W6" s="172"/>
      <c r="X6" s="140"/>
      <c r="Y6" s="140"/>
      <c r="Z6" s="140"/>
      <c r="AA6" s="172"/>
      <c r="AB6" s="140"/>
      <c r="AC6" s="140"/>
      <c r="AD6" s="140"/>
      <c r="AE6" s="172"/>
      <c r="AF6" s="140"/>
      <c r="AG6" s="140"/>
      <c r="AH6" s="140"/>
      <c r="AI6" s="172"/>
      <c r="AJ6" s="172"/>
      <c r="AK6" s="172"/>
      <c r="AL6" s="140"/>
      <c r="AM6" s="140"/>
      <c r="AN6" s="195"/>
    </row>
    <row r="7" spans="1:44">
      <c r="A7" s="141"/>
      <c r="B7" s="142"/>
      <c r="C7" s="142"/>
      <c r="D7" s="142"/>
      <c r="E7" s="142"/>
      <c r="F7" s="142"/>
      <c r="G7" s="142"/>
      <c r="H7" s="142"/>
      <c r="I7" s="143"/>
      <c r="J7" s="142"/>
      <c r="K7" s="142"/>
      <c r="L7" s="173"/>
      <c r="M7" s="142"/>
      <c r="N7" s="142"/>
      <c r="O7" s="142"/>
      <c r="P7" s="142"/>
      <c r="Q7" s="173"/>
      <c r="R7" s="142"/>
      <c r="S7" s="142"/>
      <c r="T7" s="142"/>
      <c r="U7" s="173"/>
      <c r="V7" s="173"/>
      <c r="W7" s="173"/>
      <c r="X7" s="142"/>
      <c r="Y7" s="142"/>
      <c r="Z7" s="142"/>
      <c r="AA7" s="173"/>
      <c r="AB7" s="142"/>
      <c r="AC7" s="142"/>
      <c r="AD7" s="142"/>
      <c r="AE7" s="173"/>
      <c r="AF7" s="142"/>
      <c r="AG7" s="142"/>
      <c r="AH7" s="142"/>
      <c r="AI7" s="173"/>
      <c r="AJ7" s="173"/>
      <c r="AK7" s="173"/>
      <c r="AL7" s="142"/>
      <c r="AM7" s="142"/>
      <c r="AN7" s="195"/>
    </row>
    <row r="8" spans="1:44">
      <c r="A8" s="144"/>
      <c r="B8" s="140"/>
      <c r="C8" s="140"/>
      <c r="D8" s="140"/>
      <c r="E8" s="140"/>
      <c r="F8" s="140"/>
      <c r="G8" s="140"/>
      <c r="H8" s="140"/>
      <c r="I8" s="145"/>
      <c r="J8" s="140"/>
      <c r="K8" s="140"/>
      <c r="L8" s="172"/>
      <c r="M8" s="140"/>
      <c r="N8" s="140"/>
      <c r="O8" s="140"/>
      <c r="P8" s="140"/>
      <c r="Q8" s="172"/>
      <c r="R8" s="140"/>
      <c r="S8" s="140"/>
      <c r="T8" s="140"/>
      <c r="U8" s="172"/>
      <c r="V8" s="172"/>
      <c r="W8" s="172"/>
      <c r="X8" s="140"/>
      <c r="Y8" s="140"/>
      <c r="Z8" s="140"/>
      <c r="AA8" s="172"/>
      <c r="AB8" s="140"/>
      <c r="AC8" s="140"/>
      <c r="AD8" s="140"/>
      <c r="AE8" s="172"/>
      <c r="AF8" s="140"/>
      <c r="AG8" s="140"/>
      <c r="AH8" s="140"/>
      <c r="AI8" s="172"/>
      <c r="AJ8" s="172"/>
      <c r="AK8" s="172"/>
      <c r="AL8" s="140"/>
      <c r="AM8" s="140"/>
      <c r="AN8" s="195"/>
    </row>
    <row r="9" spans="1:44">
      <c r="A9" s="141"/>
      <c r="B9" s="142"/>
      <c r="C9" s="142"/>
      <c r="D9" s="142"/>
      <c r="E9" s="142"/>
      <c r="F9" s="142"/>
      <c r="G9" s="142"/>
      <c r="H9" s="142"/>
      <c r="I9" s="143"/>
      <c r="J9" s="142"/>
      <c r="K9" s="142"/>
      <c r="L9" s="173"/>
      <c r="M9" s="142"/>
      <c r="N9" s="143"/>
      <c r="O9" s="142"/>
      <c r="P9" s="142"/>
      <c r="Q9" s="173"/>
      <c r="R9" s="142"/>
      <c r="S9" s="142"/>
      <c r="T9" s="142"/>
      <c r="U9" s="173"/>
      <c r="V9" s="173"/>
      <c r="W9" s="173"/>
      <c r="X9" s="142"/>
      <c r="Y9" s="142"/>
      <c r="Z9" s="142"/>
      <c r="AA9" s="173"/>
      <c r="AB9" s="142"/>
      <c r="AC9" s="142"/>
      <c r="AD9" s="142"/>
      <c r="AE9" s="173"/>
      <c r="AF9" s="142"/>
      <c r="AG9" s="142"/>
      <c r="AH9" s="142"/>
      <c r="AI9" s="173"/>
      <c r="AJ9" s="173"/>
      <c r="AK9" s="173"/>
      <c r="AL9" s="142"/>
      <c r="AM9" s="142"/>
      <c r="AN9" s="195"/>
    </row>
    <row r="10" spans="1:44">
      <c r="A10" s="144"/>
      <c r="B10" s="140"/>
      <c r="C10" s="140"/>
      <c r="D10" s="140"/>
      <c r="E10" s="140"/>
      <c r="F10" s="140"/>
      <c r="G10" s="140"/>
      <c r="H10" s="140"/>
      <c r="I10" s="145"/>
      <c r="J10" s="140"/>
      <c r="K10" s="140"/>
      <c r="L10" s="172"/>
      <c r="M10" s="140"/>
      <c r="N10" s="145"/>
      <c r="O10" s="140"/>
      <c r="P10" s="140"/>
      <c r="Q10" s="172"/>
      <c r="R10" s="140"/>
      <c r="S10" s="140"/>
      <c r="T10" s="140"/>
      <c r="U10" s="172"/>
      <c r="V10" s="172"/>
      <c r="W10" s="172"/>
      <c r="X10" s="140"/>
      <c r="Y10" s="140"/>
      <c r="Z10" s="140"/>
      <c r="AA10" s="172"/>
      <c r="AB10" s="140"/>
      <c r="AC10" s="140"/>
      <c r="AD10" s="140"/>
      <c r="AE10" s="172"/>
      <c r="AF10" s="140"/>
      <c r="AG10" s="140"/>
      <c r="AH10" s="140"/>
      <c r="AI10" s="172"/>
      <c r="AJ10" s="172"/>
      <c r="AK10" s="172"/>
      <c r="AL10" s="140"/>
      <c r="AM10" s="140"/>
      <c r="AN10" s="195"/>
    </row>
    <row r="11" spans="1:44">
      <c r="A11" s="141"/>
      <c r="B11" s="142"/>
      <c r="C11" s="142"/>
      <c r="D11" s="142"/>
      <c r="E11" s="142"/>
      <c r="F11" s="142"/>
      <c r="G11" s="142"/>
      <c r="H11" s="142"/>
      <c r="I11" s="143"/>
      <c r="J11" s="142"/>
      <c r="K11" s="142"/>
      <c r="L11" s="173"/>
      <c r="M11" s="142"/>
      <c r="N11" s="143"/>
      <c r="O11" s="142"/>
      <c r="P11" s="142"/>
      <c r="Q11" s="173"/>
      <c r="R11" s="142"/>
      <c r="S11" s="142"/>
      <c r="T11" s="142"/>
      <c r="U11" s="173"/>
      <c r="V11" s="173"/>
      <c r="W11" s="173"/>
      <c r="X11" s="142"/>
      <c r="Y11" s="142"/>
      <c r="Z11" s="142"/>
      <c r="AA11" s="173"/>
      <c r="AB11" s="142"/>
      <c r="AC11" s="142"/>
      <c r="AD11" s="142"/>
      <c r="AE11" s="173"/>
      <c r="AF11" s="142"/>
      <c r="AG11" s="142"/>
      <c r="AH11" s="142"/>
      <c r="AI11" s="173"/>
      <c r="AJ11" s="173"/>
      <c r="AK11" s="173"/>
      <c r="AL11" s="142"/>
      <c r="AM11" s="142"/>
      <c r="AN11" s="195"/>
    </row>
    <row r="12" spans="1:44">
      <c r="A12" s="144"/>
      <c r="B12" s="140"/>
      <c r="C12" s="140"/>
      <c r="D12" s="140"/>
      <c r="E12" s="140"/>
      <c r="F12" s="140"/>
      <c r="G12" s="140"/>
      <c r="H12" s="140"/>
      <c r="I12" s="145"/>
      <c r="J12" s="140"/>
      <c r="K12" s="140"/>
      <c r="L12" s="172"/>
      <c r="M12" s="140"/>
      <c r="N12" s="145"/>
      <c r="O12" s="140"/>
      <c r="P12" s="140"/>
      <c r="Q12" s="172"/>
      <c r="R12" s="140"/>
      <c r="S12" s="140"/>
      <c r="T12" s="140"/>
      <c r="U12" s="172"/>
      <c r="V12" s="172"/>
      <c r="W12" s="172"/>
      <c r="X12" s="140"/>
      <c r="Y12" s="140"/>
      <c r="Z12" s="140"/>
      <c r="AA12" s="172"/>
      <c r="AB12" s="140"/>
      <c r="AC12" s="140"/>
      <c r="AD12" s="140"/>
      <c r="AE12" s="172"/>
      <c r="AF12" s="140"/>
      <c r="AG12" s="140"/>
      <c r="AH12" s="140"/>
      <c r="AI12" s="172"/>
      <c r="AJ12" s="172"/>
      <c r="AK12" s="172"/>
      <c r="AL12" s="140"/>
      <c r="AM12" s="140"/>
      <c r="AN12" s="195"/>
    </row>
    <row r="13" spans="1:44">
      <c r="A13" s="141"/>
      <c r="B13" s="142"/>
      <c r="C13" s="142"/>
      <c r="D13" s="142"/>
      <c r="E13" s="142"/>
      <c r="F13" s="142"/>
      <c r="G13" s="142"/>
      <c r="H13" s="142"/>
      <c r="I13" s="143"/>
      <c r="J13" s="142"/>
      <c r="K13" s="142"/>
      <c r="L13" s="173"/>
      <c r="M13" s="142"/>
      <c r="N13" s="143"/>
      <c r="O13" s="142"/>
      <c r="P13" s="142"/>
      <c r="Q13" s="173"/>
      <c r="R13" s="142"/>
      <c r="S13" s="142"/>
      <c r="T13" s="142"/>
      <c r="U13" s="173"/>
      <c r="V13" s="173"/>
      <c r="W13" s="173"/>
      <c r="X13" s="142"/>
      <c r="Y13" s="142"/>
      <c r="Z13" s="142"/>
      <c r="AA13" s="173"/>
      <c r="AB13" s="142"/>
      <c r="AC13" s="142"/>
      <c r="AD13" s="142"/>
      <c r="AE13" s="173"/>
      <c r="AF13" s="142"/>
      <c r="AG13" s="142"/>
      <c r="AH13" s="142"/>
      <c r="AI13" s="173"/>
      <c r="AJ13" s="173"/>
      <c r="AK13" s="173"/>
      <c r="AL13" s="142"/>
      <c r="AM13" s="142"/>
      <c r="AN13" s="195"/>
    </row>
    <row r="14" spans="1:44">
      <c r="A14" s="4"/>
      <c r="AN14" s="195"/>
    </row>
    <row r="15" spans="1:44">
      <c r="A15" s="4"/>
      <c r="I15" s="3"/>
      <c r="AN15" s="195"/>
    </row>
    <row r="16" spans="1:44">
      <c r="A16" s="4"/>
      <c r="AN16" s="195"/>
    </row>
  </sheetData>
  <sheetProtection algorithmName="SHA-512" hashValue="ploXDA1FIjTf5PDwQYdLWQBvyZnUEnwFBJJkQDYhJMVkTa1+OT1cpUsAOWod7hmZyboboH7tcuz3Cb8TgQi30A==" saltValue="XTgyQl66lCImNL+wq0EXdQ==" spinCount="100000" sheet="1" objects="1" scenarios="1" autoFilter="0"/>
  <customSheetViews>
    <customSheetView guid="{AED1A6D3-A4E7-45F8-93C4-DE2B3261C45F}">
      <selection activeCell="A15" sqref="A15:XFD18"/>
      <pageMargins left="0.7" right="0.7" top="0.75" bottom="0.75" header="0.3" footer="0.3"/>
      <pageSetup paperSize="9" orientation="portrait" r:id="rId1"/>
    </customSheetView>
  </customSheetViews>
  <phoneticPr fontId="2"/>
  <pageMargins left="0.7" right="0.7" top="0.75" bottom="0.75" header="0.3" footer="0.3"/>
  <pageSetup paperSize="9" fitToHeight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F99B-E7EF-4997-8A89-630E94AC5C81}">
  <sheetPr codeName="Sheet12">
    <pageSetUpPr fitToPage="1"/>
  </sheetPr>
  <dimension ref="A1:O1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7" style="150" customWidth="1"/>
    <col min="2" max="2" width="33" style="150" customWidth="1"/>
    <col min="3" max="3" width="19" style="150" customWidth="1"/>
    <col min="4" max="4" width="28" style="150" customWidth="1"/>
    <col min="5" max="5" width="22" style="150" customWidth="1"/>
    <col min="6" max="6" width="24" style="150" customWidth="1"/>
    <col min="7" max="7" width="30" style="150" customWidth="1"/>
    <col min="8" max="8" width="19" style="150" customWidth="1"/>
    <col min="9" max="9" width="25" style="150" customWidth="1"/>
    <col min="10" max="10" width="23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233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185"/>
      <c r="D4" s="185"/>
      <c r="E4" s="185"/>
      <c r="F4" s="185"/>
      <c r="G4" s="185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237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177"/>
      <c r="D7" s="178"/>
      <c r="E7" s="176" t="s">
        <v>329</v>
      </c>
      <c r="F7" s="179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9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177"/>
      <c r="D10" s="178"/>
      <c r="E10" s="176" t="s">
        <v>329</v>
      </c>
      <c r="F10" s="179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177"/>
      <c r="D14" s="178"/>
      <c r="E14" s="176" t="s">
        <v>329</v>
      </c>
      <c r="F14" s="179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177"/>
      <c r="D21" s="178"/>
      <c r="E21" s="176" t="s">
        <v>329</v>
      </c>
      <c r="F21" s="179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177"/>
      <c r="D22" s="178"/>
      <c r="E22" s="176" t="s">
        <v>329</v>
      </c>
      <c r="F22" s="179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177"/>
      <c r="D23" s="178"/>
      <c r="E23" s="176" t="s">
        <v>329</v>
      </c>
      <c r="F23" s="179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>
      <c r="B25" t="s">
        <v>245</v>
      </c>
      <c r="C25" s="166"/>
    </row>
    <row r="26" spans="1:15" customFormat="1">
      <c r="B26" t="s">
        <v>246</v>
      </c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169"/>
      <c r="B28" s="192"/>
      <c r="G28" s="193"/>
    </row>
    <row r="29" spans="1:15">
      <c r="B29" s="192"/>
      <c r="G29" s="193"/>
    </row>
    <row r="30" spans="1:15">
      <c r="B30" s="192"/>
      <c r="G30" s="193"/>
    </row>
    <row r="31" spans="1:15">
      <c r="B31" s="192"/>
      <c r="G31" s="193"/>
    </row>
    <row r="32" spans="1:15">
      <c r="B32" s="192"/>
      <c r="G32" s="193"/>
    </row>
    <row r="33" spans="2:7">
      <c r="B33" s="192"/>
      <c r="G33" s="193"/>
    </row>
    <row r="34" spans="2:7">
      <c r="B34" s="192"/>
      <c r="G34" s="193"/>
    </row>
    <row r="35" spans="2:7">
      <c r="B35" s="192"/>
      <c r="G35" s="193"/>
    </row>
    <row r="36" spans="2:7">
      <c r="B36" s="192"/>
      <c r="G36" s="193"/>
    </row>
    <row r="37" spans="2:7">
      <c r="B37" s="192"/>
      <c r="G37" s="193"/>
    </row>
    <row r="38" spans="2:7">
      <c r="B38" s="192"/>
      <c r="G38" s="193"/>
    </row>
    <row r="39" spans="2:7">
      <c r="B39" s="192"/>
      <c r="G39" s="193"/>
    </row>
    <row r="40" spans="2:7">
      <c r="B40" s="192"/>
      <c r="G40" s="193"/>
    </row>
    <row r="41" spans="2:7">
      <c r="B41" s="192"/>
      <c r="G41" s="193"/>
    </row>
    <row r="42" spans="2:7">
      <c r="B42" s="192"/>
      <c r="G42" s="193"/>
    </row>
    <row r="43" spans="2:7">
      <c r="B43" s="192"/>
      <c r="G43" s="193"/>
    </row>
    <row r="44" spans="2:7">
      <c r="B44" s="192"/>
      <c r="G44" s="193"/>
    </row>
    <row r="45" spans="2:7">
      <c r="B45" s="192"/>
      <c r="G45" s="193"/>
    </row>
    <row r="46" spans="2:7">
      <c r="B46" s="192"/>
      <c r="G46" s="193"/>
    </row>
    <row r="47" spans="2:7">
      <c r="B47" s="192"/>
      <c r="G47" s="193"/>
    </row>
    <row r="48" spans="2:7">
      <c r="B48" s="192"/>
      <c r="G48" s="193"/>
    </row>
    <row r="49" spans="2:7">
      <c r="B49" s="192"/>
      <c r="G49" s="193"/>
    </row>
    <row r="50" spans="2:7">
      <c r="B50" s="192"/>
      <c r="G50" s="193"/>
    </row>
    <row r="51" spans="2:7">
      <c r="B51" s="192"/>
      <c r="G51" s="193"/>
    </row>
    <row r="52" spans="2:7">
      <c r="B52" s="192"/>
      <c r="G52" s="193"/>
    </row>
    <row r="53" spans="2:7">
      <c r="B53" s="192"/>
      <c r="G53" s="193"/>
    </row>
    <row r="54" spans="2:7">
      <c r="B54" s="192"/>
      <c r="G54" s="193"/>
    </row>
    <row r="55" spans="2:7">
      <c r="B55" s="192"/>
      <c r="G55" s="193"/>
    </row>
    <row r="56" spans="2:7">
      <c r="B56" s="192"/>
      <c r="G56" s="193"/>
    </row>
    <row r="57" spans="2:7">
      <c r="B57" s="192"/>
      <c r="G57" s="193"/>
    </row>
    <row r="58" spans="2:7">
      <c r="B58" s="192"/>
      <c r="G58" s="193"/>
    </row>
    <row r="59" spans="2:7">
      <c r="B59" s="192"/>
      <c r="G59" s="193"/>
    </row>
    <row r="60" spans="2:7">
      <c r="B60" s="192"/>
      <c r="G60" s="193"/>
    </row>
    <row r="61" spans="2:7">
      <c r="B61" s="192"/>
      <c r="G61" s="193"/>
    </row>
    <row r="62" spans="2:7">
      <c r="B62" s="192"/>
      <c r="G62" s="193"/>
    </row>
    <row r="63" spans="2:7">
      <c r="B63" s="192"/>
      <c r="G63" s="193"/>
    </row>
    <row r="64" spans="2:7">
      <c r="B64" s="192"/>
      <c r="G64" s="193"/>
    </row>
    <row r="65" spans="2:7">
      <c r="B65" s="192"/>
      <c r="G65" s="193"/>
    </row>
    <row r="66" spans="2:7">
      <c r="B66" s="192"/>
      <c r="G66" s="193"/>
    </row>
    <row r="67" spans="2:7">
      <c r="B67" s="192"/>
      <c r="G67" s="193"/>
    </row>
    <row r="68" spans="2:7">
      <c r="B68" s="192"/>
      <c r="G68" s="193"/>
    </row>
    <row r="69" spans="2:7">
      <c r="B69" s="192"/>
      <c r="G69" s="193"/>
    </row>
    <row r="70" spans="2:7">
      <c r="B70" s="192"/>
      <c r="G70" s="193"/>
    </row>
    <row r="71" spans="2:7">
      <c r="B71" s="192"/>
      <c r="G71" s="193"/>
    </row>
    <row r="72" spans="2:7">
      <c r="B72" s="192"/>
      <c r="G72" s="193"/>
    </row>
    <row r="73" spans="2:7">
      <c r="B73" s="192"/>
      <c r="G73" s="193"/>
    </row>
    <row r="74" spans="2:7">
      <c r="B74" s="192"/>
      <c r="G74" s="193"/>
    </row>
    <row r="75" spans="2:7">
      <c r="B75" s="192"/>
      <c r="G75" s="193"/>
    </row>
    <row r="76" spans="2:7">
      <c r="B76" s="192"/>
      <c r="G76" s="193"/>
    </row>
    <row r="77" spans="2:7">
      <c r="B77" s="192"/>
      <c r="G77" s="193"/>
    </row>
    <row r="78" spans="2:7">
      <c r="B78" s="192"/>
      <c r="G78" s="193"/>
    </row>
    <row r="79" spans="2:7">
      <c r="B79" s="192"/>
      <c r="G79" s="193"/>
    </row>
    <row r="80" spans="2:7">
      <c r="B80" s="192"/>
      <c r="G80" s="193"/>
    </row>
    <row r="81" spans="2:7">
      <c r="B81" s="192"/>
      <c r="G81" s="193"/>
    </row>
    <row r="82" spans="2:7">
      <c r="B82" s="192"/>
      <c r="G82" s="193"/>
    </row>
    <row r="83" spans="2:7">
      <c r="B83" s="192"/>
      <c r="G83" s="193"/>
    </row>
    <row r="84" spans="2:7">
      <c r="B84" s="192"/>
      <c r="G84" s="193"/>
    </row>
    <row r="85" spans="2:7">
      <c r="B85" s="192"/>
      <c r="G85" s="193"/>
    </row>
    <row r="86" spans="2:7">
      <c r="B86" s="192"/>
      <c r="G86" s="193"/>
    </row>
    <row r="87" spans="2:7">
      <c r="B87" s="192"/>
      <c r="G87" s="193"/>
    </row>
    <row r="88" spans="2:7">
      <c r="B88" s="192"/>
      <c r="G88" s="193"/>
    </row>
    <row r="89" spans="2:7">
      <c r="B89" s="192"/>
      <c r="G89" s="193"/>
    </row>
    <row r="90" spans="2:7">
      <c r="B90" s="192"/>
      <c r="G90" s="193"/>
    </row>
    <row r="91" spans="2:7">
      <c r="B91" s="192"/>
      <c r="G91" s="193"/>
    </row>
    <row r="92" spans="2:7">
      <c r="B92" s="192"/>
      <c r="G92" s="193"/>
    </row>
    <row r="93" spans="2:7">
      <c r="B93" s="192"/>
      <c r="G93" s="193"/>
    </row>
    <row r="94" spans="2:7">
      <c r="B94" s="192"/>
      <c r="G94" s="193"/>
    </row>
    <row r="95" spans="2:7">
      <c r="B95" s="192"/>
      <c r="G95" s="193"/>
    </row>
    <row r="96" spans="2:7">
      <c r="B96" s="192"/>
      <c r="G96" s="193"/>
    </row>
    <row r="97" spans="2:7">
      <c r="B97" s="192"/>
      <c r="G97" s="193"/>
    </row>
    <row r="98" spans="2:7">
      <c r="B98" s="192"/>
      <c r="G98" s="193"/>
    </row>
    <row r="99" spans="2:7">
      <c r="B99" s="192"/>
      <c r="G99" s="193"/>
    </row>
    <row r="100" spans="2:7">
      <c r="B100" s="192"/>
      <c r="G100" s="193"/>
    </row>
  </sheetData>
  <sheetProtection algorithmName="SHA-512" hashValue="K/Oogkk8Zx5y0c+CGxCbRF392hcjvrlw+fk/BqcmYz0BT6YMIj4ATAcctKQ0WP090JBGXQtE+//7fJof/HPnQQ==" saltValue="mus0WfTX3rjz+oQJ5HLbDQ==" spinCount="100000" sheet="1" objects="1" scenarios="1" autoFilter="0"/>
  <customSheetViews>
    <customSheetView guid="{AED1A6D3-A4E7-45F8-93C4-DE2B3261C45F}" scale="60" showPageBreaks="1" fitToPage="1" printArea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6" orientation="landscape" r:id="rId1"/>
    </customSheetView>
  </customSheetViews>
  <mergeCells count="4">
    <mergeCell ref="B6:B7"/>
    <mergeCell ref="B9:B10"/>
    <mergeCell ref="B13:B14"/>
    <mergeCell ref="B17:B18"/>
  </mergeCells>
  <phoneticPr fontId="2"/>
  <dataValidations count="3">
    <dataValidation type="list" sqref="D4" xr:uid="{00000000-0002-0000-0500-000000000000}">
      <formula1>CPA_Categories</formula1>
    </dataValidation>
    <dataValidation type="list" sqref="C4" xr:uid="{00000000-0002-0000-0500-000001000000}">
      <formula1>"Japan,America,Other"</formula1>
    </dataValidation>
    <dataValidation type="whole" sqref="B4" xr:uid="{00000000-0002-0000-0500-000002000000}">
      <formula1>1900</formula1>
      <formula2>2100</formula2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3E90E-4A38-49CE-8009-7701371A5CA1}">
  <sheetPr codeName="Sheet3">
    <pageSetUpPr fitToPage="1"/>
  </sheetPr>
  <dimension ref="A1:I32"/>
  <sheetViews>
    <sheetView zoomScale="90" zoomScaleNormal="90" workbookViewId="0">
      <selection activeCell="D9" sqref="D9"/>
    </sheetView>
  </sheetViews>
  <sheetFormatPr defaultRowHeight="18"/>
  <cols>
    <col min="1" max="1" width="13.8984375" customWidth="1"/>
    <col min="2" max="2" width="21.3984375" customWidth="1"/>
    <col min="3" max="3" width="14.296875" customWidth="1"/>
    <col min="4" max="4" width="43" customWidth="1"/>
    <col min="5" max="6" width="25" customWidth="1"/>
    <col min="7" max="7" width="35" customWidth="1"/>
    <col min="8" max="8" width="25" customWidth="1"/>
  </cols>
  <sheetData>
    <row r="1" spans="1:9" ht="22.95" customHeight="1">
      <c r="A1" t="s">
        <v>88</v>
      </c>
      <c r="B1" t="s">
        <v>89</v>
      </c>
      <c r="C1" s="1" t="s">
        <v>0</v>
      </c>
      <c r="D1" s="174" t="s">
        <v>1</v>
      </c>
      <c r="E1" s="174" t="s">
        <v>248</v>
      </c>
      <c r="F1" s="174" t="s">
        <v>234</v>
      </c>
      <c r="G1" s="174" t="s">
        <v>249</v>
      </c>
      <c r="H1" s="174" t="s">
        <v>51</v>
      </c>
      <c r="I1" s="1" t="s">
        <v>89</v>
      </c>
    </row>
    <row r="2" spans="1:9" ht="22.95" customHeight="1">
      <c r="A2" s="80" t="s">
        <v>93</v>
      </c>
      <c r="B2" s="81" t="s">
        <v>101</v>
      </c>
      <c r="C2" t="s">
        <v>76</v>
      </c>
      <c r="D2" s="174" t="s">
        <v>77</v>
      </c>
      <c r="E2" s="175" t="s">
        <v>52</v>
      </c>
      <c r="F2" s="174" t="s">
        <v>66</v>
      </c>
      <c r="G2" s="174" t="s">
        <v>250</v>
      </c>
      <c r="H2" s="174" t="s">
        <v>53</v>
      </c>
      <c r="I2" t="s">
        <v>90</v>
      </c>
    </row>
    <row r="3" spans="1:9" ht="22.95" customHeight="1">
      <c r="A3" s="80" t="s">
        <v>92</v>
      </c>
      <c r="B3" s="81" t="s">
        <v>102</v>
      </c>
      <c r="C3" t="s">
        <v>87</v>
      </c>
      <c r="D3" s="174" t="s">
        <v>78</v>
      </c>
      <c r="E3" s="175" t="s">
        <v>52</v>
      </c>
      <c r="F3" s="174" t="s">
        <v>66</v>
      </c>
      <c r="G3" s="174" t="s">
        <v>250</v>
      </c>
      <c r="H3" s="174" t="s">
        <v>53</v>
      </c>
    </row>
    <row r="4" spans="1:9" ht="22.95" customHeight="1">
      <c r="A4" s="80" t="s">
        <v>95</v>
      </c>
      <c r="B4" s="81" t="s">
        <v>103</v>
      </c>
      <c r="D4" s="174" t="s">
        <v>79</v>
      </c>
      <c r="E4" s="175" t="s">
        <v>54</v>
      </c>
      <c r="F4" s="174" t="s">
        <v>66</v>
      </c>
      <c r="G4" s="174" t="s">
        <v>250</v>
      </c>
      <c r="H4" s="174" t="s">
        <v>251</v>
      </c>
    </row>
    <row r="5" spans="1:9" ht="22.95" customHeight="1">
      <c r="A5" s="80" t="s">
        <v>104</v>
      </c>
      <c r="B5" s="81" t="s">
        <v>105</v>
      </c>
      <c r="D5" s="174" t="s">
        <v>80</v>
      </c>
      <c r="E5" s="175" t="s">
        <v>55</v>
      </c>
      <c r="F5" s="174" t="s">
        <v>66</v>
      </c>
      <c r="G5" s="174" t="s">
        <v>252</v>
      </c>
      <c r="H5" s="174" t="s">
        <v>251</v>
      </c>
    </row>
    <row r="6" spans="1:9" ht="22.95" customHeight="1">
      <c r="A6" s="80" t="s">
        <v>106</v>
      </c>
      <c r="B6" s="81" t="s">
        <v>107</v>
      </c>
      <c r="D6" s="174" t="s">
        <v>81</v>
      </c>
      <c r="E6" s="175" t="s">
        <v>56</v>
      </c>
      <c r="F6" s="174" t="s">
        <v>66</v>
      </c>
      <c r="G6" s="174" t="s">
        <v>250</v>
      </c>
      <c r="H6" s="174" t="s">
        <v>53</v>
      </c>
    </row>
    <row r="7" spans="1:9" ht="22.95" customHeight="1">
      <c r="A7" s="80" t="s">
        <v>108</v>
      </c>
      <c r="B7" s="81" t="s">
        <v>109</v>
      </c>
      <c r="D7" s="174" t="s">
        <v>57</v>
      </c>
      <c r="E7" s="175" t="s">
        <v>253</v>
      </c>
      <c r="F7" s="174" t="s">
        <v>182</v>
      </c>
      <c r="G7" s="174" t="s">
        <v>254</v>
      </c>
      <c r="H7" s="174" t="s">
        <v>255</v>
      </c>
    </row>
    <row r="8" spans="1:9" ht="22.95" customHeight="1">
      <c r="A8" s="80" t="s">
        <v>110</v>
      </c>
      <c r="B8" s="81" t="s">
        <v>111</v>
      </c>
      <c r="D8" s="174" t="s">
        <v>82</v>
      </c>
      <c r="E8" s="175" t="s">
        <v>256</v>
      </c>
      <c r="F8" s="174" t="s">
        <v>58</v>
      </c>
      <c r="G8" s="174" t="s">
        <v>257</v>
      </c>
      <c r="H8" s="174" t="s">
        <v>251</v>
      </c>
    </row>
    <row r="9" spans="1:9" ht="22.95" customHeight="1">
      <c r="A9" s="80" t="s">
        <v>112</v>
      </c>
      <c r="B9" s="81" t="s">
        <v>113</v>
      </c>
      <c r="D9" s="174" t="s">
        <v>83</v>
      </c>
      <c r="E9" s="175" t="s">
        <v>258</v>
      </c>
      <c r="F9" s="174" t="s">
        <v>66</v>
      </c>
      <c r="G9" s="174" t="s">
        <v>252</v>
      </c>
      <c r="H9" s="174" t="s">
        <v>53</v>
      </c>
    </row>
    <row r="10" spans="1:9" ht="22.95" customHeight="1">
      <c r="A10" s="80" t="s">
        <v>114</v>
      </c>
      <c r="B10" s="81" t="s">
        <v>115</v>
      </c>
      <c r="D10" s="174" t="s">
        <v>84</v>
      </c>
      <c r="E10" s="175" t="s">
        <v>259</v>
      </c>
      <c r="F10" s="174" t="s">
        <v>68</v>
      </c>
      <c r="G10" s="174" t="s">
        <v>260</v>
      </c>
      <c r="H10" s="174" t="s">
        <v>251</v>
      </c>
    </row>
    <row r="11" spans="1:9" ht="22.95" customHeight="1">
      <c r="A11" t="s">
        <v>261</v>
      </c>
      <c r="B11" s="81" t="s">
        <v>116</v>
      </c>
      <c r="D11" s="174" t="s">
        <v>85</v>
      </c>
      <c r="E11" s="175" t="s">
        <v>262</v>
      </c>
      <c r="F11" s="174" t="s">
        <v>263</v>
      </c>
      <c r="G11" s="174" t="s">
        <v>264</v>
      </c>
      <c r="H11" s="174" t="s">
        <v>251</v>
      </c>
    </row>
    <row r="12" spans="1:9" ht="22.95" customHeight="1">
      <c r="B12" s="81" t="s">
        <v>117</v>
      </c>
      <c r="D12" s="174" t="s">
        <v>265</v>
      </c>
      <c r="E12" s="175" t="s">
        <v>266</v>
      </c>
      <c r="F12" s="174" t="s">
        <v>60</v>
      </c>
      <c r="G12" s="174" t="s">
        <v>251</v>
      </c>
      <c r="H12" s="174" t="s">
        <v>251</v>
      </c>
    </row>
    <row r="13" spans="1:9" ht="22.95" customHeight="1">
      <c r="B13" s="82" t="s">
        <v>118</v>
      </c>
      <c r="D13" s="174" t="s">
        <v>86</v>
      </c>
      <c r="E13" s="174" t="s">
        <v>267</v>
      </c>
      <c r="F13" s="174" t="s">
        <v>60</v>
      </c>
      <c r="G13" s="174" t="s">
        <v>251</v>
      </c>
      <c r="H13" s="174" t="s">
        <v>251</v>
      </c>
    </row>
    <row r="14" spans="1:9" ht="22.95" customHeight="1">
      <c r="B14" s="81" t="s">
        <v>119</v>
      </c>
      <c r="D14" s="174" t="s">
        <v>268</v>
      </c>
      <c r="E14" s="174" t="s">
        <v>65</v>
      </c>
      <c r="F14" s="174" t="s">
        <v>67</v>
      </c>
      <c r="G14" s="174" t="s">
        <v>251</v>
      </c>
      <c r="H14" s="174" t="s">
        <v>251</v>
      </c>
    </row>
    <row r="15" spans="1:9" ht="22.95" customHeight="1">
      <c r="B15" s="83" t="s">
        <v>120</v>
      </c>
      <c r="D15" s="174" t="s">
        <v>269</v>
      </c>
      <c r="E15" s="174" t="s">
        <v>64</v>
      </c>
      <c r="F15" s="174" t="s">
        <v>68</v>
      </c>
      <c r="G15" s="174" t="s">
        <v>251</v>
      </c>
      <c r="H15" s="174" t="s">
        <v>251</v>
      </c>
    </row>
    <row r="16" spans="1:9" ht="22.95" customHeight="1">
      <c r="B16" s="81" t="s">
        <v>121</v>
      </c>
      <c r="D16" s="174" t="s">
        <v>270</v>
      </c>
      <c r="E16" s="174" t="s">
        <v>63</v>
      </c>
      <c r="F16" s="174" t="s">
        <v>62</v>
      </c>
      <c r="G16" s="174" t="s">
        <v>271</v>
      </c>
      <c r="H16" s="174" t="s">
        <v>251</v>
      </c>
    </row>
    <row r="17" spans="2:8" ht="22.95" customHeight="1">
      <c r="B17" s="81" t="s">
        <v>122</v>
      </c>
      <c r="D17" s="174" t="s">
        <v>272</v>
      </c>
      <c r="E17" s="174" t="s">
        <v>273</v>
      </c>
      <c r="F17" s="174" t="s">
        <v>263</v>
      </c>
      <c r="G17" s="174" t="s">
        <v>251</v>
      </c>
      <c r="H17" s="174" t="s">
        <v>251</v>
      </c>
    </row>
    <row r="18" spans="2:8" ht="22.95" customHeight="1">
      <c r="B18" s="81" t="s">
        <v>123</v>
      </c>
      <c r="D18" s="174" t="s">
        <v>274</v>
      </c>
      <c r="E18" s="174" t="s">
        <v>275</v>
      </c>
      <c r="F18" s="174" t="s">
        <v>181</v>
      </c>
      <c r="G18" s="174" t="s">
        <v>276</v>
      </c>
      <c r="H18" s="174" t="s">
        <v>251</v>
      </c>
    </row>
    <row r="19" spans="2:8" ht="22.95" customHeight="1">
      <c r="B19" s="81" t="s">
        <v>124</v>
      </c>
      <c r="D19" s="174" t="s">
        <v>277</v>
      </c>
      <c r="E19" s="174" t="s">
        <v>278</v>
      </c>
      <c r="F19" s="174" t="s">
        <v>181</v>
      </c>
      <c r="G19" s="174" t="s">
        <v>251</v>
      </c>
      <c r="H19" s="174" t="s">
        <v>251</v>
      </c>
    </row>
    <row r="20" spans="2:8" ht="22.95" customHeight="1">
      <c r="B20" s="81" t="s">
        <v>125</v>
      </c>
      <c r="D20" s="174" t="s">
        <v>279</v>
      </c>
      <c r="E20" s="174" t="s">
        <v>59</v>
      </c>
      <c r="F20" s="174" t="s">
        <v>60</v>
      </c>
      <c r="G20" s="174" t="s">
        <v>280</v>
      </c>
      <c r="H20" s="174" t="s">
        <v>251</v>
      </c>
    </row>
    <row r="21" spans="2:8">
      <c r="B21" s="81" t="s">
        <v>126</v>
      </c>
    </row>
    <row r="22" spans="2:8">
      <c r="B22" s="83" t="s">
        <v>127</v>
      </c>
    </row>
    <row r="23" spans="2:8">
      <c r="B23" s="81" t="s">
        <v>128</v>
      </c>
      <c r="D23" t="s">
        <v>281</v>
      </c>
    </row>
    <row r="24" spans="2:8">
      <c r="B24" s="81" t="s">
        <v>129</v>
      </c>
    </row>
    <row r="25" spans="2:8">
      <c r="B25" s="81" t="s">
        <v>130</v>
      </c>
      <c r="D25" t="s">
        <v>282</v>
      </c>
    </row>
    <row r="26" spans="2:8">
      <c r="B26" s="81" t="s">
        <v>131</v>
      </c>
      <c r="D26" t="s">
        <v>283</v>
      </c>
    </row>
    <row r="27" spans="2:8">
      <c r="B27" s="81" t="s">
        <v>132</v>
      </c>
      <c r="D27" t="s">
        <v>284</v>
      </c>
    </row>
    <row r="28" spans="2:8">
      <c r="B28" s="81" t="s">
        <v>133</v>
      </c>
    </row>
    <row r="29" spans="2:8">
      <c r="B29" s="81" t="s">
        <v>134</v>
      </c>
    </row>
    <row r="30" spans="2:8">
      <c r="B30" s="81" t="s">
        <v>135</v>
      </c>
    </row>
    <row r="31" spans="2:8">
      <c r="B31" s="81" t="s">
        <v>136</v>
      </c>
    </row>
    <row r="32" spans="2:8">
      <c r="B32" s="84"/>
    </row>
  </sheetData>
  <sheetProtection algorithmName="SHA-512" hashValue="x6hxm/w94IoPQAdI4IdIS7kesomAucdvqOnNS8sLSBG4tlLvvMPusQHmw0uWRBwwzq/W+ZKBimRcOIB6sBiQzA==" saltValue="Jk7Arvho+ARxo7C1Iv56qA==" spinCount="100000" sheet="1" objects="1" scenarios="1" autoFilter="0"/>
  <customSheetViews>
    <customSheetView guid="{AED1A6D3-A4E7-45F8-93C4-DE2B3261C45F}">
      <selection activeCell="D9" sqref="D9"/>
      <pageMargins left="0.7" right="0.7" top="0.75" bottom="0.75" header="0.3" footer="0.3"/>
    </customSheetView>
  </customSheetViews>
  <phoneticPr fontId="2"/>
  <pageMargins left="0.7" right="0.7" top="0.75" bottom="0.75" header="0.3" footer="0.3"/>
  <pageSetup paperSize="9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0AD30-5BBC-4B1D-B320-4CCC041FB4CD}">
  <sheetPr codeName="Sheet1"/>
  <dimension ref="A1:CQ736"/>
  <sheetViews>
    <sheetView zoomScale="90" zoomScaleNormal="90" workbookViewId="0">
      <pane ySplit="3" topLeftCell="A4" activePane="bottomLeft" state="frozen"/>
      <selection pane="bottomLeft" activeCell="K1" sqref="K1"/>
    </sheetView>
  </sheetViews>
  <sheetFormatPr defaultRowHeight="18"/>
  <cols>
    <col min="1" max="1" width="12.69921875" customWidth="1"/>
    <col min="2" max="2" width="7.69921875" customWidth="1"/>
    <col min="3" max="95" width="10.69921875" customWidth="1"/>
    <col min="96" max="98" width="5.59765625" bestFit="1" customWidth="1"/>
    <col min="99" max="99" width="6.59765625" bestFit="1" customWidth="1"/>
    <col min="100" max="100" width="4.796875" bestFit="1" customWidth="1"/>
    <col min="101" max="101" width="5.296875" bestFit="1" customWidth="1"/>
    <col min="102" max="105" width="6.59765625" bestFit="1" customWidth="1"/>
  </cols>
  <sheetData>
    <row r="1" spans="1:95">
      <c r="A1" t="s">
        <v>302</v>
      </c>
    </row>
    <row r="2" spans="1:95" ht="18.600000000000001" thickBot="1">
      <c r="A2" t="s">
        <v>303</v>
      </c>
    </row>
    <row r="3" spans="1:95" ht="18" customHeight="1">
      <c r="A3" s="5" t="s">
        <v>304</v>
      </c>
      <c r="B3" s="85"/>
      <c r="C3" s="352" t="s">
        <v>101</v>
      </c>
      <c r="D3" s="353"/>
      <c r="E3" s="354"/>
      <c r="F3" s="352" t="s">
        <v>102</v>
      </c>
      <c r="G3" s="353"/>
      <c r="H3" s="354"/>
      <c r="I3" s="352" t="s">
        <v>103</v>
      </c>
      <c r="J3" s="353"/>
      <c r="K3" s="354"/>
      <c r="L3" s="352" t="s">
        <v>105</v>
      </c>
      <c r="M3" s="353"/>
      <c r="N3" s="354"/>
      <c r="O3" s="352" t="s">
        <v>107</v>
      </c>
      <c r="P3" s="353"/>
      <c r="Q3" s="354"/>
      <c r="R3" s="352" t="s">
        <v>109</v>
      </c>
      <c r="S3" s="353"/>
      <c r="T3" s="354"/>
      <c r="U3" s="352" t="s">
        <v>111</v>
      </c>
      <c r="V3" s="353"/>
      <c r="W3" s="354"/>
      <c r="X3" s="352" t="s">
        <v>113</v>
      </c>
      <c r="Y3" s="353"/>
      <c r="Z3" s="354"/>
      <c r="AA3" s="352" t="s">
        <v>115</v>
      </c>
      <c r="AB3" s="353"/>
      <c r="AC3" s="354"/>
      <c r="AD3" s="352" t="s">
        <v>116</v>
      </c>
      <c r="AE3" s="353"/>
      <c r="AF3" s="354"/>
      <c r="AG3" s="352" t="s">
        <v>117</v>
      </c>
      <c r="AH3" s="353"/>
      <c r="AI3" s="354"/>
      <c r="AJ3" s="355" t="s">
        <v>118</v>
      </c>
      <c r="AK3" s="356"/>
      <c r="AL3" s="357"/>
      <c r="AM3" s="352" t="s">
        <v>119</v>
      </c>
      <c r="AN3" s="353"/>
      <c r="AO3" s="354"/>
      <c r="AP3" s="358" t="s">
        <v>120</v>
      </c>
      <c r="AQ3" s="353"/>
      <c r="AR3" s="354"/>
      <c r="AS3" s="352" t="s">
        <v>121</v>
      </c>
      <c r="AT3" s="353"/>
      <c r="AU3" s="354"/>
      <c r="AV3" s="352" t="s">
        <v>122</v>
      </c>
      <c r="AW3" s="353"/>
      <c r="AX3" s="354"/>
      <c r="AY3" s="352" t="s">
        <v>123</v>
      </c>
      <c r="AZ3" s="353"/>
      <c r="BA3" s="354"/>
      <c r="BB3" s="352" t="s">
        <v>124</v>
      </c>
      <c r="BC3" s="353"/>
      <c r="BD3" s="354"/>
      <c r="BE3" s="352" t="s">
        <v>125</v>
      </c>
      <c r="BF3" s="353"/>
      <c r="BG3" s="354"/>
      <c r="BH3" s="352" t="s">
        <v>126</v>
      </c>
      <c r="BI3" s="353"/>
      <c r="BJ3" s="354"/>
      <c r="BK3" s="358" t="s">
        <v>127</v>
      </c>
      <c r="BL3" s="353"/>
      <c r="BM3" s="354"/>
      <c r="BN3" s="359" t="s">
        <v>128</v>
      </c>
      <c r="BO3" s="360"/>
      <c r="BP3" s="361"/>
      <c r="BQ3" s="352" t="s">
        <v>129</v>
      </c>
      <c r="BR3" s="353"/>
      <c r="BS3" s="354"/>
      <c r="BT3" s="352" t="s">
        <v>130</v>
      </c>
      <c r="BU3" s="353"/>
      <c r="BV3" s="354"/>
      <c r="BW3" s="352" t="s">
        <v>131</v>
      </c>
      <c r="BX3" s="353"/>
      <c r="BY3" s="354"/>
      <c r="BZ3" s="352" t="s">
        <v>132</v>
      </c>
      <c r="CA3" s="353"/>
      <c r="CB3" s="354"/>
      <c r="CC3" s="352" t="s">
        <v>133</v>
      </c>
      <c r="CD3" s="353"/>
      <c r="CE3" s="354"/>
      <c r="CF3" s="352" t="s">
        <v>134</v>
      </c>
      <c r="CG3" s="353"/>
      <c r="CH3" s="354"/>
      <c r="CI3" s="352" t="s">
        <v>135</v>
      </c>
      <c r="CJ3" s="353"/>
      <c r="CK3" s="354"/>
      <c r="CL3" s="6" t="s">
        <v>136</v>
      </c>
      <c r="CO3" t="s">
        <v>305</v>
      </c>
    </row>
    <row r="4" spans="1:95" ht="18.600000000000001" thickBot="1">
      <c r="A4" s="138" t="s">
        <v>94</v>
      </c>
      <c r="B4" s="86" t="s">
        <v>306</v>
      </c>
      <c r="C4" s="7" t="s">
        <v>93</v>
      </c>
      <c r="D4" s="8" t="s">
        <v>92</v>
      </c>
      <c r="E4" s="9" t="s">
        <v>95</v>
      </c>
      <c r="F4" s="7" t="s">
        <v>93</v>
      </c>
      <c r="G4" s="8" t="s">
        <v>92</v>
      </c>
      <c r="H4" s="9" t="s">
        <v>95</v>
      </c>
      <c r="I4" s="7" t="s">
        <v>93</v>
      </c>
      <c r="J4" s="8" t="s">
        <v>92</v>
      </c>
      <c r="K4" s="9" t="s">
        <v>95</v>
      </c>
      <c r="L4" s="8" t="s">
        <v>93</v>
      </c>
      <c r="M4" s="8" t="s">
        <v>92</v>
      </c>
      <c r="N4" s="8" t="s">
        <v>95</v>
      </c>
      <c r="O4" s="7" t="s">
        <v>93</v>
      </c>
      <c r="P4" s="8" t="s">
        <v>92</v>
      </c>
      <c r="Q4" s="9" t="s">
        <v>95</v>
      </c>
      <c r="R4" s="8" t="s">
        <v>93</v>
      </c>
      <c r="S4" s="8" t="s">
        <v>92</v>
      </c>
      <c r="T4" s="8" t="s">
        <v>95</v>
      </c>
      <c r="U4" s="7" t="s">
        <v>93</v>
      </c>
      <c r="V4" s="8" t="s">
        <v>92</v>
      </c>
      <c r="W4" s="9" t="s">
        <v>95</v>
      </c>
      <c r="X4" s="7" t="s">
        <v>93</v>
      </c>
      <c r="Y4" s="8" t="s">
        <v>92</v>
      </c>
      <c r="Z4" s="9" t="s">
        <v>95</v>
      </c>
      <c r="AA4" s="7" t="s">
        <v>93</v>
      </c>
      <c r="AB4" s="8" t="s">
        <v>92</v>
      </c>
      <c r="AC4" s="9" t="s">
        <v>95</v>
      </c>
      <c r="AD4" s="7" t="s">
        <v>93</v>
      </c>
      <c r="AE4" s="8" t="s">
        <v>92</v>
      </c>
      <c r="AF4" s="9" t="s">
        <v>95</v>
      </c>
      <c r="AG4" s="8" t="s">
        <v>93</v>
      </c>
      <c r="AH4" s="8" t="s">
        <v>92</v>
      </c>
      <c r="AI4" s="8" t="s">
        <v>95</v>
      </c>
      <c r="AJ4" s="10" t="s">
        <v>93</v>
      </c>
      <c r="AK4" s="11" t="s">
        <v>92</v>
      </c>
      <c r="AL4" s="12" t="s">
        <v>95</v>
      </c>
      <c r="AM4" s="8" t="s">
        <v>93</v>
      </c>
      <c r="AN4" s="8" t="s">
        <v>92</v>
      </c>
      <c r="AO4" s="8" t="s">
        <v>95</v>
      </c>
      <c r="AP4" s="7" t="s">
        <v>93</v>
      </c>
      <c r="AQ4" s="8" t="s">
        <v>92</v>
      </c>
      <c r="AR4" s="9" t="s">
        <v>95</v>
      </c>
      <c r="AS4" s="8" t="s">
        <v>93</v>
      </c>
      <c r="AT4" s="8" t="s">
        <v>92</v>
      </c>
      <c r="AU4" s="8" t="s">
        <v>95</v>
      </c>
      <c r="AV4" s="7" t="s">
        <v>93</v>
      </c>
      <c r="AW4" s="8" t="s">
        <v>92</v>
      </c>
      <c r="AX4" s="9" t="s">
        <v>95</v>
      </c>
      <c r="AY4" s="7" t="s">
        <v>93</v>
      </c>
      <c r="AZ4" s="8" t="s">
        <v>92</v>
      </c>
      <c r="BA4" s="9" t="s">
        <v>95</v>
      </c>
      <c r="BB4" s="7" t="s">
        <v>93</v>
      </c>
      <c r="BC4" s="13" t="s">
        <v>92</v>
      </c>
      <c r="BD4" s="14" t="s">
        <v>95</v>
      </c>
      <c r="BE4" s="8" t="s">
        <v>93</v>
      </c>
      <c r="BF4" s="13" t="s">
        <v>92</v>
      </c>
      <c r="BG4" s="13" t="s">
        <v>95</v>
      </c>
      <c r="BH4" s="7" t="s">
        <v>93</v>
      </c>
      <c r="BI4" s="8" t="s">
        <v>92</v>
      </c>
      <c r="BJ4" s="9" t="s">
        <v>95</v>
      </c>
      <c r="BK4" s="8" t="s">
        <v>93</v>
      </c>
      <c r="BL4" s="8" t="s">
        <v>92</v>
      </c>
      <c r="BM4" s="8" t="s">
        <v>95</v>
      </c>
      <c r="BN4" s="15" t="s">
        <v>93</v>
      </c>
      <c r="BO4" s="13" t="s">
        <v>92</v>
      </c>
      <c r="BP4" s="14" t="s">
        <v>95</v>
      </c>
      <c r="BQ4" s="8" t="s">
        <v>93</v>
      </c>
      <c r="BR4" s="8" t="s">
        <v>92</v>
      </c>
      <c r="BS4" s="8" t="s">
        <v>95</v>
      </c>
      <c r="BT4" s="7" t="s">
        <v>93</v>
      </c>
      <c r="BU4" s="8" t="s">
        <v>92</v>
      </c>
      <c r="BV4" s="9" t="s">
        <v>95</v>
      </c>
      <c r="BW4" s="7" t="s">
        <v>93</v>
      </c>
      <c r="BX4" s="13" t="s">
        <v>92</v>
      </c>
      <c r="BY4" s="14" t="s">
        <v>95</v>
      </c>
      <c r="BZ4" s="7" t="s">
        <v>93</v>
      </c>
      <c r="CA4" s="8" t="s">
        <v>92</v>
      </c>
      <c r="CB4" s="9" t="s">
        <v>95</v>
      </c>
      <c r="CC4" s="7" t="s">
        <v>93</v>
      </c>
      <c r="CD4" s="8" t="s">
        <v>92</v>
      </c>
      <c r="CE4" s="9" t="s">
        <v>95</v>
      </c>
      <c r="CF4" s="7" t="s">
        <v>93</v>
      </c>
      <c r="CG4" s="8" t="s">
        <v>92</v>
      </c>
      <c r="CH4" s="8" t="s">
        <v>95</v>
      </c>
      <c r="CI4" s="7" t="s">
        <v>93</v>
      </c>
      <c r="CJ4" s="8" t="s">
        <v>92</v>
      </c>
      <c r="CK4" s="9" t="s">
        <v>95</v>
      </c>
      <c r="CL4" s="8" t="s">
        <v>93</v>
      </c>
      <c r="CM4" t="s">
        <v>92</v>
      </c>
      <c r="CN4" t="s">
        <v>95</v>
      </c>
      <c r="CO4" t="s">
        <v>93</v>
      </c>
      <c r="CP4" t="s">
        <v>92</v>
      </c>
      <c r="CQ4" t="s">
        <v>95</v>
      </c>
    </row>
    <row r="5" spans="1:95">
      <c r="A5" s="223">
        <v>45292</v>
      </c>
      <c r="B5" s="90" t="s">
        <v>96</v>
      </c>
      <c r="C5" s="44"/>
      <c r="D5" s="45"/>
      <c r="E5" s="46"/>
      <c r="F5" s="44"/>
      <c r="G5" s="45"/>
      <c r="H5" s="46"/>
      <c r="I5" s="44"/>
      <c r="J5" s="45"/>
      <c r="K5" s="46"/>
      <c r="L5" s="45"/>
      <c r="M5" s="45"/>
      <c r="N5" s="45"/>
      <c r="O5" s="44"/>
      <c r="P5" s="45"/>
      <c r="Q5" s="46"/>
      <c r="R5" s="45"/>
      <c r="S5" s="45"/>
      <c r="T5" s="45"/>
      <c r="U5" s="44"/>
      <c r="V5" s="45"/>
      <c r="W5" s="46"/>
      <c r="X5" s="44"/>
      <c r="Y5" s="45"/>
      <c r="Z5" s="46"/>
      <c r="AA5" s="44"/>
      <c r="AB5" s="45"/>
      <c r="AC5" s="46"/>
      <c r="AD5" s="44"/>
      <c r="AE5" s="45"/>
      <c r="AF5" s="46"/>
      <c r="AG5" s="45"/>
      <c r="AH5" s="45"/>
      <c r="AI5" s="45"/>
      <c r="AJ5" s="47"/>
      <c r="AK5" s="48"/>
      <c r="AL5" s="49"/>
      <c r="AM5" s="45"/>
      <c r="AN5" s="45"/>
      <c r="AO5" s="45"/>
      <c r="AP5" s="44"/>
      <c r="AQ5" s="45"/>
      <c r="AR5" s="46"/>
      <c r="AS5" s="45"/>
      <c r="AT5" s="45"/>
      <c r="AU5" s="45"/>
      <c r="AV5" s="44"/>
      <c r="AW5" s="45"/>
      <c r="AX5" s="46"/>
      <c r="AY5" s="44"/>
      <c r="AZ5" s="45"/>
      <c r="BA5" s="46"/>
      <c r="BB5" s="44"/>
      <c r="BC5" s="50"/>
      <c r="BD5" s="51"/>
      <c r="BE5" s="45"/>
      <c r="BF5" s="50"/>
      <c r="BG5" s="50"/>
      <c r="BH5" s="44"/>
      <c r="BI5" s="45"/>
      <c r="BJ5" s="46"/>
      <c r="BK5" s="45"/>
      <c r="BL5" s="45"/>
      <c r="BM5" s="45"/>
      <c r="BN5" s="52"/>
      <c r="BO5" s="50"/>
      <c r="BP5" s="51"/>
      <c r="BQ5" s="45"/>
      <c r="BR5" s="45"/>
      <c r="BS5" s="45"/>
      <c r="BT5" s="44"/>
      <c r="BU5" s="45"/>
      <c r="BV5" s="46"/>
      <c r="BW5" s="44"/>
      <c r="BX5" s="50"/>
      <c r="BY5" s="51"/>
      <c r="BZ5" s="44"/>
      <c r="CA5" s="45"/>
      <c r="CB5" s="46"/>
      <c r="CC5" s="44"/>
      <c r="CD5" s="45"/>
      <c r="CE5" s="46"/>
      <c r="CF5" s="44"/>
      <c r="CG5" s="45"/>
      <c r="CH5" s="46"/>
      <c r="CI5" s="44"/>
      <c r="CJ5" s="45"/>
      <c r="CK5" s="46"/>
      <c r="CL5" s="44"/>
    </row>
    <row r="6" spans="1:95">
      <c r="A6" s="223">
        <v>45293</v>
      </c>
      <c r="B6" s="90" t="s">
        <v>97</v>
      </c>
      <c r="C6" s="44"/>
      <c r="D6" s="45"/>
      <c r="E6" s="46"/>
      <c r="F6" s="44"/>
      <c r="G6" s="45"/>
      <c r="H6" s="46"/>
      <c r="I6" s="44"/>
      <c r="J6" s="45"/>
      <c r="K6" s="46"/>
      <c r="L6" s="45"/>
      <c r="M6" s="45"/>
      <c r="N6" s="45"/>
      <c r="O6" s="44"/>
      <c r="P6" s="45"/>
      <c r="Q6" s="46"/>
      <c r="R6" s="45"/>
      <c r="S6" s="45"/>
      <c r="T6" s="45"/>
      <c r="U6" s="44"/>
      <c r="V6" s="45"/>
      <c r="W6" s="46"/>
      <c r="X6" s="44"/>
      <c r="Y6" s="45"/>
      <c r="Z6" s="46"/>
      <c r="AA6" s="44"/>
      <c r="AB6" s="45"/>
      <c r="AC6" s="46"/>
      <c r="AD6" s="44"/>
      <c r="AE6" s="45"/>
      <c r="AF6" s="46"/>
      <c r="AG6" s="45"/>
      <c r="AH6" s="45"/>
      <c r="AI6" s="45"/>
      <c r="AJ6" s="47"/>
      <c r="AK6" s="48"/>
      <c r="AL6" s="49"/>
      <c r="AM6" s="45"/>
      <c r="AN6" s="45"/>
      <c r="AO6" s="45"/>
      <c r="AP6" s="44"/>
      <c r="AQ6" s="45"/>
      <c r="AR6" s="46"/>
      <c r="AS6" s="45"/>
      <c r="AT6" s="45"/>
      <c r="AU6" s="45"/>
      <c r="AV6" s="44"/>
      <c r="AW6" s="45"/>
      <c r="AX6" s="46"/>
      <c r="AY6" s="44"/>
      <c r="AZ6" s="45"/>
      <c r="BA6" s="46"/>
      <c r="BB6" s="44"/>
      <c r="BC6" s="50"/>
      <c r="BD6" s="51"/>
      <c r="BE6" s="45"/>
      <c r="BF6" s="50"/>
      <c r="BG6" s="50"/>
      <c r="BH6" s="44"/>
      <c r="BI6" s="45"/>
      <c r="BJ6" s="46"/>
      <c r="BK6" s="45"/>
      <c r="BL6" s="45"/>
      <c r="BM6" s="45"/>
      <c r="BN6" s="52"/>
      <c r="BO6" s="50"/>
      <c r="BP6" s="51"/>
      <c r="BQ6" s="45"/>
      <c r="BR6" s="45"/>
      <c r="BS6" s="45"/>
      <c r="BT6" s="44"/>
      <c r="BU6" s="45"/>
      <c r="BV6" s="46"/>
      <c r="BW6" s="44"/>
      <c r="BX6" s="50"/>
      <c r="BY6" s="51"/>
      <c r="BZ6" s="44"/>
      <c r="CA6" s="45"/>
      <c r="CB6" s="46"/>
      <c r="CC6" s="44"/>
      <c r="CD6" s="45"/>
      <c r="CE6" s="46"/>
      <c r="CF6" s="44"/>
      <c r="CG6" s="45"/>
      <c r="CH6" s="46"/>
      <c r="CI6" s="44"/>
      <c r="CJ6" s="45"/>
      <c r="CK6" s="46"/>
      <c r="CL6" s="44"/>
    </row>
    <row r="7" spans="1:95">
      <c r="A7" s="223">
        <v>45294</v>
      </c>
      <c r="B7" s="90" t="s">
        <v>98</v>
      </c>
      <c r="C7" s="45"/>
      <c r="D7" s="45"/>
      <c r="E7" s="45"/>
      <c r="F7" s="44"/>
      <c r="G7" s="45"/>
      <c r="H7" s="46"/>
      <c r="I7" s="45"/>
      <c r="J7" s="45"/>
      <c r="K7" s="45"/>
      <c r="L7" s="44"/>
      <c r="M7" s="45"/>
      <c r="N7" s="46"/>
      <c r="O7" s="45"/>
      <c r="P7" s="45"/>
      <c r="Q7" s="45"/>
      <c r="R7" s="44"/>
      <c r="S7" s="45"/>
      <c r="T7" s="46"/>
      <c r="U7" s="44"/>
      <c r="V7" s="45"/>
      <c r="W7" s="46"/>
      <c r="X7" s="44"/>
      <c r="Y7" s="45"/>
      <c r="Z7" s="46"/>
      <c r="AA7" s="44"/>
      <c r="AB7" s="45"/>
      <c r="AC7" s="46"/>
      <c r="AD7" s="45"/>
      <c r="AE7" s="45"/>
      <c r="AF7" s="45"/>
      <c r="AG7" s="44"/>
      <c r="AH7" s="45"/>
      <c r="AI7" s="46"/>
      <c r="AJ7" s="47"/>
      <c r="AK7" s="48"/>
      <c r="AL7" s="49"/>
      <c r="AM7" s="44"/>
      <c r="AN7" s="45"/>
      <c r="AO7" s="46"/>
      <c r="AP7" s="44"/>
      <c r="AQ7" s="45"/>
      <c r="AR7" s="46"/>
      <c r="AS7" s="45"/>
      <c r="AT7" s="45"/>
      <c r="AU7" s="45"/>
      <c r="AV7" s="44"/>
      <c r="AW7" s="45"/>
      <c r="AX7" s="46"/>
      <c r="AY7" s="44"/>
      <c r="AZ7" s="45"/>
      <c r="BA7" s="46"/>
      <c r="BB7" s="44"/>
      <c r="BC7" s="50"/>
      <c r="BD7" s="51"/>
      <c r="BE7" s="44"/>
      <c r="BF7" s="50"/>
      <c r="BG7" s="51"/>
      <c r="BH7" s="44"/>
      <c r="BI7" s="45"/>
      <c r="BJ7" s="46"/>
      <c r="BK7" s="45"/>
      <c r="BL7" s="45"/>
      <c r="BM7" s="45"/>
      <c r="BN7" s="52"/>
      <c r="BO7" s="50"/>
      <c r="BP7" s="51"/>
      <c r="BQ7" s="45"/>
      <c r="BR7" s="45"/>
      <c r="BS7" s="45"/>
      <c r="BT7" s="44"/>
      <c r="BU7" s="45"/>
      <c r="BV7" s="46"/>
      <c r="BW7" s="44"/>
      <c r="BX7" s="50"/>
      <c r="BY7" s="51"/>
      <c r="BZ7" s="44"/>
      <c r="CA7" s="45"/>
      <c r="CB7" s="46"/>
      <c r="CC7" s="44"/>
      <c r="CD7" s="45"/>
      <c r="CE7" s="46"/>
      <c r="CF7" s="45"/>
      <c r="CG7" s="45"/>
      <c r="CH7" s="45"/>
      <c r="CI7" s="44"/>
      <c r="CJ7" s="45"/>
      <c r="CK7" s="46"/>
      <c r="CL7" s="44"/>
    </row>
    <row r="8" spans="1:95">
      <c r="A8" s="223">
        <v>45295</v>
      </c>
      <c r="B8" s="90" t="s">
        <v>99</v>
      </c>
      <c r="C8" s="44">
        <v>144.44</v>
      </c>
      <c r="D8" s="45">
        <v>142.44</v>
      </c>
      <c r="E8" s="46">
        <v>143.44</v>
      </c>
      <c r="F8" s="44">
        <v>158.09</v>
      </c>
      <c r="G8" s="45">
        <v>155.09</v>
      </c>
      <c r="H8" s="46">
        <v>156.59</v>
      </c>
      <c r="I8" s="44">
        <v>109.04</v>
      </c>
      <c r="J8" s="45">
        <v>105.84</v>
      </c>
      <c r="K8" s="46">
        <v>107.44</v>
      </c>
      <c r="L8" s="45">
        <v>185.71</v>
      </c>
      <c r="M8" s="45">
        <v>177.71</v>
      </c>
      <c r="N8" s="45">
        <v>181.71</v>
      </c>
      <c r="O8" s="44">
        <v>169.57</v>
      </c>
      <c r="P8" s="45">
        <v>167.76999999999998</v>
      </c>
      <c r="Q8" s="46">
        <v>168.67</v>
      </c>
      <c r="R8" s="45">
        <v>21.3</v>
      </c>
      <c r="S8" s="45">
        <v>20.7</v>
      </c>
      <c r="T8" s="45">
        <v>21</v>
      </c>
      <c r="U8" s="44">
        <v>14.17</v>
      </c>
      <c r="V8" s="45">
        <v>13.57</v>
      </c>
      <c r="W8" s="46">
        <v>13.870000000000001</v>
      </c>
      <c r="X8" s="44">
        <v>14.35</v>
      </c>
      <c r="Y8" s="45">
        <v>13.549999999999999</v>
      </c>
      <c r="Z8" s="46">
        <v>13.95</v>
      </c>
      <c r="AA8" s="44">
        <v>98.48</v>
      </c>
      <c r="AB8" s="45">
        <v>94.48</v>
      </c>
      <c r="AC8" s="46">
        <v>96.48</v>
      </c>
      <c r="AD8" s="44">
        <v>91.51</v>
      </c>
      <c r="AE8" s="45">
        <v>87.51</v>
      </c>
      <c r="AF8" s="46">
        <v>89.51</v>
      </c>
      <c r="AG8" s="45">
        <v>18.8</v>
      </c>
      <c r="AH8" s="45">
        <v>17.940000000000001</v>
      </c>
      <c r="AI8" s="45">
        <v>18.37</v>
      </c>
      <c r="AJ8" s="47"/>
      <c r="AK8" s="48"/>
      <c r="AL8" s="49"/>
      <c r="AM8" s="45">
        <v>108.76</v>
      </c>
      <c r="AN8" s="45">
        <v>107.10000000000001</v>
      </c>
      <c r="AO8" s="45">
        <v>107.93</v>
      </c>
      <c r="AP8" s="44">
        <v>39.11</v>
      </c>
      <c r="AQ8" s="45">
        <v>37.51</v>
      </c>
      <c r="AR8" s="46">
        <v>38.31</v>
      </c>
      <c r="AS8" s="45">
        <v>39.81</v>
      </c>
      <c r="AT8" s="45">
        <v>38.450000000000003</v>
      </c>
      <c r="AU8" s="45">
        <v>39.130000000000003</v>
      </c>
      <c r="AV8" s="44">
        <v>20.329999999999998</v>
      </c>
      <c r="AW8" s="45">
        <v>19.729999999999997</v>
      </c>
      <c r="AX8" s="46">
        <v>20.029999999999998</v>
      </c>
      <c r="AY8" s="44">
        <v>4.24</v>
      </c>
      <c r="AZ8" s="45">
        <v>4.08</v>
      </c>
      <c r="BA8" s="46">
        <v>4.16</v>
      </c>
      <c r="BB8" s="44">
        <v>1.88</v>
      </c>
      <c r="BC8" s="50">
        <v>1.5799999999999998</v>
      </c>
      <c r="BD8" s="51">
        <v>1.73</v>
      </c>
      <c r="BE8" s="45">
        <v>0.66</v>
      </c>
      <c r="BF8" s="50">
        <v>0.36000000000000004</v>
      </c>
      <c r="BG8" s="50">
        <v>0.51</v>
      </c>
      <c r="BH8" s="44">
        <v>475.23</v>
      </c>
      <c r="BI8" s="45">
        <v>459.23</v>
      </c>
      <c r="BJ8" s="46">
        <v>467.23</v>
      </c>
      <c r="BK8" s="45">
        <v>39.99</v>
      </c>
      <c r="BL8" s="45">
        <v>38.630000000000003</v>
      </c>
      <c r="BM8" s="45">
        <v>39.31</v>
      </c>
      <c r="BN8" s="52">
        <v>1.05</v>
      </c>
      <c r="BO8" s="50">
        <v>0.81</v>
      </c>
      <c r="BP8" s="51">
        <v>0.93</v>
      </c>
      <c r="BQ8" s="45">
        <v>9.43</v>
      </c>
      <c r="BR8" s="45">
        <v>7.43</v>
      </c>
      <c r="BS8" s="45">
        <v>8.43</v>
      </c>
      <c r="BT8" s="44">
        <v>11.17</v>
      </c>
      <c r="BU8" s="45">
        <v>10.77</v>
      </c>
      <c r="BV8" s="46">
        <v>10.969999999999999</v>
      </c>
      <c r="BW8" s="44">
        <v>2.74</v>
      </c>
      <c r="BX8" s="50">
        <v>2.46</v>
      </c>
      <c r="BY8" s="51">
        <v>2.6</v>
      </c>
      <c r="BZ8" s="44">
        <v>9.16</v>
      </c>
      <c r="CA8" s="45">
        <v>6.16</v>
      </c>
      <c r="CB8" s="46">
        <v>7.66</v>
      </c>
      <c r="CC8" s="44">
        <v>6.48</v>
      </c>
      <c r="CD8" s="45">
        <v>6.24</v>
      </c>
      <c r="CE8" s="46">
        <v>6.36</v>
      </c>
      <c r="CF8" s="44">
        <v>1.81</v>
      </c>
      <c r="CG8" s="45">
        <v>1.31</v>
      </c>
      <c r="CH8" s="46">
        <v>1.56</v>
      </c>
      <c r="CI8" s="44">
        <v>0.43</v>
      </c>
      <c r="CJ8" s="45">
        <v>0.39</v>
      </c>
      <c r="CK8" s="46">
        <v>0.41000000000000003</v>
      </c>
      <c r="CL8" s="44">
        <v>37.200000000000003</v>
      </c>
      <c r="CM8">
        <v>34.800000000000004</v>
      </c>
      <c r="CN8">
        <v>36</v>
      </c>
      <c r="CO8">
        <v>7.32</v>
      </c>
      <c r="CP8">
        <v>2.3200000000000003</v>
      </c>
      <c r="CQ8">
        <v>4.82</v>
      </c>
    </row>
    <row r="9" spans="1:95">
      <c r="A9" s="223">
        <v>45296</v>
      </c>
      <c r="B9" s="90" t="s">
        <v>100</v>
      </c>
      <c r="C9" s="44">
        <v>146.02000000000001</v>
      </c>
      <c r="D9" s="45">
        <v>144.02000000000001</v>
      </c>
      <c r="E9" s="46">
        <v>145.02000000000001</v>
      </c>
      <c r="F9" s="44">
        <v>160.31</v>
      </c>
      <c r="G9" s="45">
        <v>157.31</v>
      </c>
      <c r="H9" s="46">
        <v>158.81</v>
      </c>
      <c r="I9" s="44">
        <v>110.23</v>
      </c>
      <c r="J9" s="45">
        <v>107.03</v>
      </c>
      <c r="K9" s="46">
        <v>108.63</v>
      </c>
      <c r="L9" s="45">
        <v>188.06</v>
      </c>
      <c r="M9" s="45">
        <v>180.06</v>
      </c>
      <c r="N9" s="45">
        <v>184.06</v>
      </c>
      <c r="O9" s="44">
        <v>171.53</v>
      </c>
      <c r="P9" s="45">
        <v>169.73</v>
      </c>
      <c r="Q9" s="46">
        <v>170.63</v>
      </c>
      <c r="R9" s="45">
        <v>21.59</v>
      </c>
      <c r="S9" s="45">
        <v>20.99</v>
      </c>
      <c r="T9" s="45">
        <v>21.29</v>
      </c>
      <c r="U9" s="44">
        <v>14.4</v>
      </c>
      <c r="V9" s="45">
        <v>13.8</v>
      </c>
      <c r="W9" s="46">
        <v>14.100000000000001</v>
      </c>
      <c r="X9" s="44">
        <v>14.61</v>
      </c>
      <c r="Y9" s="45">
        <v>13.809999999999999</v>
      </c>
      <c r="Z9" s="46">
        <v>14.209999999999999</v>
      </c>
      <c r="AA9" s="44">
        <v>99.31</v>
      </c>
      <c r="AB9" s="45">
        <v>95.31</v>
      </c>
      <c r="AC9" s="46">
        <v>97.31</v>
      </c>
      <c r="AD9" s="44">
        <v>92.45</v>
      </c>
      <c r="AE9" s="45">
        <v>88.45</v>
      </c>
      <c r="AF9" s="46">
        <v>90.45</v>
      </c>
      <c r="AG9" s="45">
        <v>19</v>
      </c>
      <c r="AH9" s="45">
        <v>18.14</v>
      </c>
      <c r="AI9" s="45">
        <v>18.57</v>
      </c>
      <c r="AJ9" s="47"/>
      <c r="AK9" s="48"/>
      <c r="AL9" s="49"/>
      <c r="AM9" s="45">
        <v>109.95</v>
      </c>
      <c r="AN9" s="45">
        <v>108.29</v>
      </c>
      <c r="AO9" s="45">
        <v>109.12</v>
      </c>
      <c r="AP9" s="44">
        <v>39.53</v>
      </c>
      <c r="AQ9" s="45">
        <v>37.93</v>
      </c>
      <c r="AR9" s="46">
        <v>38.730000000000004</v>
      </c>
      <c r="AS9" s="45">
        <v>40.1</v>
      </c>
      <c r="AT9" s="45">
        <v>38.74</v>
      </c>
      <c r="AU9" s="45">
        <v>39.42</v>
      </c>
      <c r="AV9" s="44">
        <v>20.51</v>
      </c>
      <c r="AW9" s="45">
        <v>19.91</v>
      </c>
      <c r="AX9" s="46">
        <v>20.21</v>
      </c>
      <c r="AY9" s="44">
        <v>4.28</v>
      </c>
      <c r="AZ9" s="45">
        <v>4.12</v>
      </c>
      <c r="BA9" s="46">
        <v>4.2</v>
      </c>
      <c r="BB9" s="44">
        <v>1.9</v>
      </c>
      <c r="BC9" s="50">
        <v>1.5999999999999999</v>
      </c>
      <c r="BD9" s="51">
        <v>1.75</v>
      </c>
      <c r="BE9" s="45">
        <v>0.67</v>
      </c>
      <c r="BF9" s="50">
        <v>0.37000000000000005</v>
      </c>
      <c r="BG9" s="50">
        <v>0.52</v>
      </c>
      <c r="BH9" s="44">
        <v>480.38</v>
      </c>
      <c r="BI9" s="45">
        <v>464.38</v>
      </c>
      <c r="BJ9" s="46">
        <v>472.38</v>
      </c>
      <c r="BK9" s="45">
        <v>40.54</v>
      </c>
      <c r="BL9" s="45">
        <v>39.18</v>
      </c>
      <c r="BM9" s="45">
        <v>39.86</v>
      </c>
      <c r="BN9" s="52">
        <v>1.06</v>
      </c>
      <c r="BO9" s="50">
        <v>0.82000000000000006</v>
      </c>
      <c r="BP9" s="51">
        <v>0.94000000000000006</v>
      </c>
      <c r="BQ9" s="45">
        <v>9.5299999999999994</v>
      </c>
      <c r="BR9" s="45">
        <v>7.5299999999999994</v>
      </c>
      <c r="BS9" s="45">
        <v>8.5299999999999994</v>
      </c>
      <c r="BT9" s="44">
        <v>11.26</v>
      </c>
      <c r="BU9" s="45">
        <v>10.86</v>
      </c>
      <c r="BV9" s="46">
        <v>11.059999999999999</v>
      </c>
      <c r="BW9" s="44">
        <v>2.77</v>
      </c>
      <c r="BX9" s="50">
        <v>2.4900000000000002</v>
      </c>
      <c r="BY9" s="51">
        <v>2.63</v>
      </c>
      <c r="BZ9" s="44">
        <v>9.25</v>
      </c>
      <c r="CA9" s="45">
        <v>6.25</v>
      </c>
      <c r="CB9" s="46">
        <v>7.75</v>
      </c>
      <c r="CC9" s="44">
        <v>6.56</v>
      </c>
      <c r="CD9" s="45">
        <v>6.3199999999999994</v>
      </c>
      <c r="CE9" s="46">
        <v>6.4399999999999995</v>
      </c>
      <c r="CF9" s="44">
        <v>1.84</v>
      </c>
      <c r="CG9" s="45">
        <v>1.34</v>
      </c>
      <c r="CH9" s="46">
        <v>1.59</v>
      </c>
      <c r="CI9" s="44">
        <v>0.44</v>
      </c>
      <c r="CJ9" s="45">
        <v>0.4</v>
      </c>
      <c r="CK9" s="46">
        <v>0.42000000000000004</v>
      </c>
      <c r="CL9" s="44">
        <v>37.74</v>
      </c>
      <c r="CM9">
        <v>35.340000000000003</v>
      </c>
      <c r="CN9">
        <v>36.540000000000006</v>
      </c>
      <c r="CO9">
        <v>7.38</v>
      </c>
      <c r="CP9">
        <v>2.38</v>
      </c>
      <c r="CQ9">
        <v>4.88</v>
      </c>
    </row>
    <row r="10" spans="1:95">
      <c r="A10" s="223">
        <v>45297</v>
      </c>
      <c r="B10" s="90" t="s">
        <v>307</v>
      </c>
      <c r="C10" s="44"/>
      <c r="D10" s="45"/>
      <c r="E10" s="46"/>
      <c r="F10" s="44"/>
      <c r="G10" s="45"/>
      <c r="H10" s="46"/>
      <c r="I10" s="44"/>
      <c r="J10" s="45"/>
      <c r="K10" s="46"/>
      <c r="L10" s="45"/>
      <c r="M10" s="45"/>
      <c r="N10" s="45"/>
      <c r="O10" s="44"/>
      <c r="P10" s="45"/>
      <c r="Q10" s="46"/>
      <c r="R10" s="45"/>
      <c r="S10" s="45"/>
      <c r="T10" s="45"/>
      <c r="U10" s="44"/>
      <c r="V10" s="45"/>
      <c r="W10" s="46"/>
      <c r="X10" s="44"/>
      <c r="Y10" s="45"/>
      <c r="Z10" s="46"/>
      <c r="AA10" s="44"/>
      <c r="AB10" s="45"/>
      <c r="AC10" s="46"/>
      <c r="AD10" s="44"/>
      <c r="AE10" s="45"/>
      <c r="AF10" s="46"/>
      <c r="AG10" s="45"/>
      <c r="AH10" s="45"/>
      <c r="AI10" s="45"/>
      <c r="AJ10" s="47"/>
      <c r="AK10" s="48"/>
      <c r="AL10" s="49"/>
      <c r="AM10" s="45"/>
      <c r="AN10" s="45"/>
      <c r="AO10" s="45"/>
      <c r="AP10" s="44"/>
      <c r="AQ10" s="45"/>
      <c r="AR10" s="46"/>
      <c r="AS10" s="45"/>
      <c r="AT10" s="45"/>
      <c r="AU10" s="45"/>
      <c r="AV10" s="44"/>
      <c r="AW10" s="45"/>
      <c r="AX10" s="46"/>
      <c r="AY10" s="44"/>
      <c r="AZ10" s="45"/>
      <c r="BA10" s="46"/>
      <c r="BB10" s="44"/>
      <c r="BC10" s="50"/>
      <c r="BD10" s="51"/>
      <c r="BE10" s="45"/>
      <c r="BF10" s="50"/>
      <c r="BG10" s="50"/>
      <c r="BH10" s="44"/>
      <c r="BI10" s="45"/>
      <c r="BJ10" s="46"/>
      <c r="BK10" s="45"/>
      <c r="BL10" s="45"/>
      <c r="BM10" s="45"/>
      <c r="BN10" s="52"/>
      <c r="BO10" s="50"/>
      <c r="BP10" s="51"/>
      <c r="BQ10" s="45"/>
      <c r="BR10" s="45"/>
      <c r="BS10" s="45"/>
      <c r="BT10" s="44"/>
      <c r="BU10" s="45"/>
      <c r="BV10" s="46"/>
      <c r="BW10" s="44"/>
      <c r="BX10" s="50"/>
      <c r="BY10" s="51"/>
      <c r="BZ10" s="44"/>
      <c r="CA10" s="45"/>
      <c r="CB10" s="46"/>
      <c r="CC10" s="44"/>
      <c r="CD10" s="45"/>
      <c r="CE10" s="46"/>
      <c r="CF10" s="44"/>
      <c r="CG10" s="45"/>
      <c r="CH10" s="46"/>
      <c r="CI10" s="44"/>
      <c r="CJ10" s="45"/>
      <c r="CK10" s="46"/>
      <c r="CL10" s="44"/>
    </row>
    <row r="11" spans="1:95">
      <c r="A11" s="223">
        <v>45298</v>
      </c>
      <c r="B11" s="90" t="s">
        <v>308</v>
      </c>
      <c r="C11" s="44"/>
      <c r="D11" s="45"/>
      <c r="E11" s="46"/>
      <c r="F11" s="44"/>
      <c r="G11" s="45"/>
      <c r="H11" s="46"/>
      <c r="I11" s="44"/>
      <c r="J11" s="45"/>
      <c r="K11" s="46"/>
      <c r="L11" s="45"/>
      <c r="M11" s="45"/>
      <c r="N11" s="45"/>
      <c r="O11" s="44"/>
      <c r="P11" s="45"/>
      <c r="Q11" s="46"/>
      <c r="R11" s="45"/>
      <c r="S11" s="45"/>
      <c r="T11" s="45"/>
      <c r="U11" s="44"/>
      <c r="V11" s="45"/>
      <c r="W11" s="46"/>
      <c r="X11" s="44"/>
      <c r="Y11" s="45"/>
      <c r="Z11" s="46"/>
      <c r="AA11" s="44"/>
      <c r="AB11" s="45"/>
      <c r="AC11" s="46"/>
      <c r="AD11" s="44"/>
      <c r="AE11" s="45"/>
      <c r="AF11" s="46"/>
      <c r="AG11" s="45"/>
      <c r="AH11" s="45"/>
      <c r="AI11" s="45"/>
      <c r="AJ11" s="47"/>
      <c r="AK11" s="48"/>
      <c r="AL11" s="49"/>
      <c r="AM11" s="45"/>
      <c r="AN11" s="45"/>
      <c r="AO11" s="45"/>
      <c r="AP11" s="44"/>
      <c r="AQ11" s="45"/>
      <c r="AR11" s="46"/>
      <c r="AS11" s="45"/>
      <c r="AT11" s="45"/>
      <c r="AU11" s="45"/>
      <c r="AV11" s="44"/>
      <c r="AW11" s="45"/>
      <c r="AX11" s="46"/>
      <c r="AY11" s="44"/>
      <c r="AZ11" s="45"/>
      <c r="BA11" s="46"/>
      <c r="BB11" s="44"/>
      <c r="BC11" s="50"/>
      <c r="BD11" s="51"/>
      <c r="BE11" s="45"/>
      <c r="BF11" s="50"/>
      <c r="BG11" s="50"/>
      <c r="BH11" s="44"/>
      <c r="BI11" s="45"/>
      <c r="BJ11" s="46"/>
      <c r="BK11" s="45"/>
      <c r="BL11" s="45"/>
      <c r="BM11" s="45"/>
      <c r="BN11" s="52"/>
      <c r="BO11" s="50"/>
      <c r="BP11" s="51"/>
      <c r="BQ11" s="45"/>
      <c r="BR11" s="45"/>
      <c r="BS11" s="45"/>
      <c r="BT11" s="44"/>
      <c r="BU11" s="45"/>
      <c r="BV11" s="46"/>
      <c r="BW11" s="44"/>
      <c r="BX11" s="50"/>
      <c r="BY11" s="51"/>
      <c r="BZ11" s="44"/>
      <c r="CA11" s="45"/>
      <c r="CB11" s="46"/>
      <c r="CC11" s="44"/>
      <c r="CD11" s="45"/>
      <c r="CE11" s="46"/>
      <c r="CF11" s="44"/>
      <c r="CG11" s="45"/>
      <c r="CH11" s="46"/>
      <c r="CI11" s="44"/>
      <c r="CJ11" s="45"/>
      <c r="CK11" s="46"/>
      <c r="CL11" s="44"/>
    </row>
    <row r="12" spans="1:95">
      <c r="A12" s="223">
        <v>45299</v>
      </c>
      <c r="B12" s="90" t="s">
        <v>96</v>
      </c>
      <c r="C12" s="45"/>
      <c r="D12" s="45"/>
      <c r="E12" s="45"/>
      <c r="F12" s="44"/>
      <c r="G12" s="45"/>
      <c r="H12" s="46"/>
      <c r="I12" s="45"/>
      <c r="J12" s="45"/>
      <c r="K12" s="45"/>
      <c r="L12" s="44"/>
      <c r="M12" s="45"/>
      <c r="N12" s="46"/>
      <c r="O12" s="45"/>
      <c r="P12" s="45"/>
      <c r="Q12" s="45"/>
      <c r="R12" s="44"/>
      <c r="S12" s="45"/>
      <c r="T12" s="46"/>
      <c r="U12" s="44"/>
      <c r="V12" s="45"/>
      <c r="W12" s="46"/>
      <c r="X12" s="44"/>
      <c r="Y12" s="45"/>
      <c r="Z12" s="46"/>
      <c r="AA12" s="44"/>
      <c r="AB12" s="45"/>
      <c r="AC12" s="46"/>
      <c r="AD12" s="45"/>
      <c r="AE12" s="45"/>
      <c r="AF12" s="45"/>
      <c r="AG12" s="44"/>
      <c r="AH12" s="45"/>
      <c r="AI12" s="46"/>
      <c r="AJ12" s="47"/>
      <c r="AK12" s="48"/>
      <c r="AL12" s="49"/>
      <c r="AM12" s="44"/>
      <c r="AN12" s="45"/>
      <c r="AO12" s="46"/>
      <c r="AP12" s="44"/>
      <c r="AQ12" s="45"/>
      <c r="AR12" s="46"/>
      <c r="AS12" s="45"/>
      <c r="AT12" s="45"/>
      <c r="AU12" s="45"/>
      <c r="AV12" s="44"/>
      <c r="AW12" s="45"/>
      <c r="AX12" s="46"/>
      <c r="AY12" s="44"/>
      <c r="AZ12" s="45"/>
      <c r="BA12" s="46"/>
      <c r="BB12" s="44"/>
      <c r="BC12" s="50"/>
      <c r="BD12" s="51"/>
      <c r="BE12" s="44"/>
      <c r="BF12" s="50"/>
      <c r="BG12" s="51"/>
      <c r="BH12" s="44"/>
      <c r="BI12" s="45"/>
      <c r="BJ12" s="46"/>
      <c r="BK12" s="45"/>
      <c r="BL12" s="45"/>
      <c r="BM12" s="45"/>
      <c r="BN12" s="52"/>
      <c r="BO12" s="50"/>
      <c r="BP12" s="51"/>
      <c r="BQ12" s="45"/>
      <c r="BR12" s="45"/>
      <c r="BS12" s="45"/>
      <c r="BT12" s="44"/>
      <c r="BU12" s="45"/>
      <c r="BV12" s="46"/>
      <c r="BW12" s="44"/>
      <c r="BX12" s="50"/>
      <c r="BY12" s="51"/>
      <c r="BZ12" s="44"/>
      <c r="CA12" s="45"/>
      <c r="CB12" s="46"/>
      <c r="CC12" s="44"/>
      <c r="CD12" s="45"/>
      <c r="CE12" s="46"/>
      <c r="CF12" s="45"/>
      <c r="CG12" s="45"/>
      <c r="CH12" s="45"/>
      <c r="CI12" s="44"/>
      <c r="CJ12" s="45"/>
      <c r="CK12" s="46"/>
      <c r="CL12" s="44"/>
    </row>
    <row r="13" spans="1:95">
      <c r="A13" s="223">
        <v>45300</v>
      </c>
      <c r="B13" s="90" t="s">
        <v>97</v>
      </c>
      <c r="C13" s="44">
        <v>144.97999999999999</v>
      </c>
      <c r="D13" s="45">
        <v>142.97999999999999</v>
      </c>
      <c r="E13" s="46">
        <v>143.97999999999999</v>
      </c>
      <c r="F13" s="44">
        <v>159.19999999999999</v>
      </c>
      <c r="G13" s="45">
        <v>156.19999999999999</v>
      </c>
      <c r="H13" s="46">
        <v>157.69999999999999</v>
      </c>
      <c r="I13" s="44">
        <v>109.44</v>
      </c>
      <c r="J13" s="45">
        <v>106.24</v>
      </c>
      <c r="K13" s="46">
        <v>107.84</v>
      </c>
      <c r="L13" s="45">
        <v>187.68</v>
      </c>
      <c r="M13" s="45">
        <v>179.68</v>
      </c>
      <c r="N13" s="45">
        <v>183.68</v>
      </c>
      <c r="O13" s="44">
        <v>170.75</v>
      </c>
      <c r="P13" s="45">
        <v>168.95</v>
      </c>
      <c r="Q13" s="46">
        <v>169.85</v>
      </c>
      <c r="R13" s="45">
        <v>21.44</v>
      </c>
      <c r="S13" s="45">
        <v>20.84</v>
      </c>
      <c r="T13" s="45">
        <v>21.14</v>
      </c>
      <c r="U13" s="44">
        <v>14.18</v>
      </c>
      <c r="V13" s="45">
        <v>13.58</v>
      </c>
      <c r="W13" s="46">
        <v>13.879999999999999</v>
      </c>
      <c r="X13" s="44">
        <v>14.5</v>
      </c>
      <c r="Y13" s="45">
        <v>13.7</v>
      </c>
      <c r="Z13" s="46">
        <v>14.1</v>
      </c>
      <c r="AA13" s="44">
        <v>98.81</v>
      </c>
      <c r="AB13" s="45">
        <v>94.81</v>
      </c>
      <c r="AC13" s="46">
        <v>96.81</v>
      </c>
      <c r="AD13" s="44">
        <v>92.05</v>
      </c>
      <c r="AE13" s="45">
        <v>88.05</v>
      </c>
      <c r="AF13" s="46">
        <v>90.05</v>
      </c>
      <c r="AG13" s="45">
        <v>18.87</v>
      </c>
      <c r="AH13" s="45">
        <v>18.010000000000002</v>
      </c>
      <c r="AI13" s="45">
        <v>18.440000000000001</v>
      </c>
      <c r="AJ13" s="47"/>
      <c r="AK13" s="48"/>
      <c r="AL13" s="49"/>
      <c r="AM13" s="45">
        <v>109.22</v>
      </c>
      <c r="AN13" s="45">
        <v>107.56</v>
      </c>
      <c r="AO13" s="45">
        <v>108.39</v>
      </c>
      <c r="AP13" s="44">
        <v>39.26</v>
      </c>
      <c r="AQ13" s="45">
        <v>37.659999999999997</v>
      </c>
      <c r="AR13" s="46">
        <v>38.459999999999994</v>
      </c>
      <c r="AS13" s="45">
        <v>39.950000000000003</v>
      </c>
      <c r="AT13" s="45">
        <v>38.590000000000003</v>
      </c>
      <c r="AU13" s="45">
        <v>39.270000000000003</v>
      </c>
      <c r="AV13" s="44">
        <v>20.399999999999999</v>
      </c>
      <c r="AW13" s="45">
        <v>19.799999999999997</v>
      </c>
      <c r="AX13" s="46">
        <v>20.099999999999998</v>
      </c>
      <c r="AY13" s="44">
        <v>4.2</v>
      </c>
      <c r="AZ13" s="45">
        <v>4.04</v>
      </c>
      <c r="BA13" s="46">
        <v>4.12</v>
      </c>
      <c r="BB13" s="44">
        <v>1.89</v>
      </c>
      <c r="BC13" s="50">
        <v>1.5899999999999999</v>
      </c>
      <c r="BD13" s="51">
        <v>1.7399999999999998</v>
      </c>
      <c r="BE13" s="45">
        <v>0.66</v>
      </c>
      <c r="BF13" s="50">
        <v>0.36000000000000004</v>
      </c>
      <c r="BG13" s="50">
        <v>0.51</v>
      </c>
      <c r="BH13" s="44">
        <v>475.92</v>
      </c>
      <c r="BI13" s="45">
        <v>459.92</v>
      </c>
      <c r="BJ13" s="46">
        <v>467.92</v>
      </c>
      <c r="BK13" s="45">
        <v>40.26</v>
      </c>
      <c r="BL13" s="45">
        <v>38.9</v>
      </c>
      <c r="BM13" s="45">
        <v>39.58</v>
      </c>
      <c r="BN13" s="52">
        <v>1.05</v>
      </c>
      <c r="BO13" s="50">
        <v>0.81</v>
      </c>
      <c r="BP13" s="51">
        <v>0.93</v>
      </c>
      <c r="BQ13" s="45">
        <v>9.56</v>
      </c>
      <c r="BR13" s="45">
        <v>7.5600000000000005</v>
      </c>
      <c r="BS13" s="45">
        <v>8.56</v>
      </c>
      <c r="BT13" s="44">
        <v>11.19</v>
      </c>
      <c r="BU13" s="45">
        <v>10.79</v>
      </c>
      <c r="BV13" s="46">
        <v>10.989999999999998</v>
      </c>
      <c r="BW13" s="44">
        <v>2.75</v>
      </c>
      <c r="BX13" s="50">
        <v>2.4699999999999998</v>
      </c>
      <c r="BY13" s="51">
        <v>2.61</v>
      </c>
      <c r="BZ13" s="44">
        <v>9.24</v>
      </c>
      <c r="CA13" s="45">
        <v>6.24</v>
      </c>
      <c r="CB13" s="46">
        <v>7.74</v>
      </c>
      <c r="CC13" s="44">
        <v>6.54</v>
      </c>
      <c r="CD13" s="45">
        <v>6.3</v>
      </c>
      <c r="CE13" s="46">
        <v>6.42</v>
      </c>
      <c r="CF13" s="44">
        <v>1.83</v>
      </c>
      <c r="CG13" s="45">
        <v>1.33</v>
      </c>
      <c r="CH13" s="46">
        <v>1.58</v>
      </c>
      <c r="CI13" s="44">
        <v>0.44</v>
      </c>
      <c r="CJ13" s="45">
        <v>0.4</v>
      </c>
      <c r="CK13" s="46">
        <v>0.42000000000000004</v>
      </c>
      <c r="CL13" s="44">
        <v>37.590000000000003</v>
      </c>
      <c r="CM13">
        <v>35.190000000000005</v>
      </c>
      <c r="CN13">
        <v>36.39</v>
      </c>
      <c r="CO13">
        <v>7.32</v>
      </c>
      <c r="CP13">
        <v>2.3200000000000003</v>
      </c>
      <c r="CQ13">
        <v>4.82</v>
      </c>
    </row>
    <row r="14" spans="1:95">
      <c r="A14" s="223">
        <v>45301</v>
      </c>
      <c r="B14" s="90" t="s">
        <v>98</v>
      </c>
      <c r="C14" s="44">
        <v>145.69</v>
      </c>
      <c r="D14" s="45">
        <v>143.69</v>
      </c>
      <c r="E14" s="46">
        <v>144.69</v>
      </c>
      <c r="F14" s="44">
        <v>159.69999999999999</v>
      </c>
      <c r="G14" s="45">
        <v>156.69999999999999</v>
      </c>
      <c r="H14" s="46">
        <v>158.19999999999999</v>
      </c>
      <c r="I14" s="44">
        <v>109.69</v>
      </c>
      <c r="J14" s="45">
        <v>106.49</v>
      </c>
      <c r="K14" s="46">
        <v>108.09</v>
      </c>
      <c r="L14" s="45">
        <v>187.96</v>
      </c>
      <c r="M14" s="45">
        <v>179.96</v>
      </c>
      <c r="N14" s="45">
        <v>183.96</v>
      </c>
      <c r="O14" s="44">
        <v>170.66</v>
      </c>
      <c r="P14" s="45">
        <v>168.85999999999999</v>
      </c>
      <c r="Q14" s="46">
        <v>169.76</v>
      </c>
      <c r="R14" s="45">
        <v>21.51</v>
      </c>
      <c r="S14" s="45">
        <v>20.91</v>
      </c>
      <c r="T14" s="45">
        <v>21.21</v>
      </c>
      <c r="U14" s="44">
        <v>14.28</v>
      </c>
      <c r="V14" s="45">
        <v>13.68</v>
      </c>
      <c r="W14" s="46">
        <v>13.98</v>
      </c>
      <c r="X14" s="44">
        <v>14.52</v>
      </c>
      <c r="Y14" s="45">
        <v>13.719999999999999</v>
      </c>
      <c r="Z14" s="46">
        <v>14.12</v>
      </c>
      <c r="AA14" s="44">
        <v>98.8</v>
      </c>
      <c r="AB14" s="45">
        <v>94.8</v>
      </c>
      <c r="AC14" s="46">
        <v>96.8</v>
      </c>
      <c r="AD14" s="44">
        <v>92.2</v>
      </c>
      <c r="AE14" s="45">
        <v>88.2</v>
      </c>
      <c r="AF14" s="46">
        <v>90.2</v>
      </c>
      <c r="AG14" s="45">
        <v>18.940000000000001</v>
      </c>
      <c r="AH14" s="45">
        <v>18.080000000000002</v>
      </c>
      <c r="AI14" s="45">
        <v>18.510000000000002</v>
      </c>
      <c r="AJ14" s="47"/>
      <c r="AK14" s="48"/>
      <c r="AL14" s="49"/>
      <c r="AM14" s="45">
        <v>109.55</v>
      </c>
      <c r="AN14" s="45">
        <v>107.89</v>
      </c>
      <c r="AO14" s="45">
        <v>108.72</v>
      </c>
      <c r="AP14" s="44">
        <v>39.450000000000003</v>
      </c>
      <c r="AQ14" s="45">
        <v>37.85</v>
      </c>
      <c r="AR14" s="46">
        <v>38.650000000000006</v>
      </c>
      <c r="AS14" s="45">
        <v>40.14</v>
      </c>
      <c r="AT14" s="45">
        <v>38.78</v>
      </c>
      <c r="AU14" s="45">
        <v>39.46</v>
      </c>
      <c r="AV14" s="44">
        <v>20.45</v>
      </c>
      <c r="AW14" s="45">
        <v>19.849999999999998</v>
      </c>
      <c r="AX14" s="46">
        <v>20.149999999999999</v>
      </c>
      <c r="AY14" s="44">
        <v>4.22</v>
      </c>
      <c r="AZ14" s="45">
        <v>4.0599999999999996</v>
      </c>
      <c r="BA14" s="46">
        <v>4.1399999999999997</v>
      </c>
      <c r="BB14" s="44">
        <v>1.9</v>
      </c>
      <c r="BC14" s="50">
        <v>1.5999999999999999</v>
      </c>
      <c r="BD14" s="51">
        <v>1.75</v>
      </c>
      <c r="BE14" s="45">
        <v>0.67</v>
      </c>
      <c r="BF14" s="50">
        <v>0.37000000000000005</v>
      </c>
      <c r="BG14" s="50">
        <v>0.52</v>
      </c>
      <c r="BH14" s="44">
        <v>479.46</v>
      </c>
      <c r="BI14" s="45">
        <v>463.46</v>
      </c>
      <c r="BJ14" s="46">
        <v>471.46</v>
      </c>
      <c r="BK14" s="45">
        <v>40.450000000000003</v>
      </c>
      <c r="BL14" s="45">
        <v>39.090000000000003</v>
      </c>
      <c r="BM14" s="45">
        <v>39.770000000000003</v>
      </c>
      <c r="BN14" s="52">
        <v>1.05</v>
      </c>
      <c r="BO14" s="50">
        <v>0.81</v>
      </c>
      <c r="BP14" s="51">
        <v>0.93</v>
      </c>
      <c r="BQ14" s="45">
        <v>9.5299999999999994</v>
      </c>
      <c r="BR14" s="45">
        <v>7.5299999999999994</v>
      </c>
      <c r="BS14" s="45">
        <v>8.5299999999999994</v>
      </c>
      <c r="BT14" s="44">
        <v>11.16</v>
      </c>
      <c r="BU14" s="45">
        <v>10.76</v>
      </c>
      <c r="BV14" s="46">
        <v>10.96</v>
      </c>
      <c r="BW14" s="44">
        <v>2.74</v>
      </c>
      <c r="BX14" s="50">
        <v>2.46</v>
      </c>
      <c r="BY14" s="51">
        <v>2.6</v>
      </c>
      <c r="BZ14" s="44">
        <v>9.24</v>
      </c>
      <c r="CA14" s="45">
        <v>6.24</v>
      </c>
      <c r="CB14" s="46">
        <v>7.74</v>
      </c>
      <c r="CC14" s="44">
        <v>6.56</v>
      </c>
      <c r="CD14" s="45">
        <v>6.3199999999999994</v>
      </c>
      <c r="CE14" s="46">
        <v>6.4399999999999995</v>
      </c>
      <c r="CF14" s="44">
        <v>1.87</v>
      </c>
      <c r="CG14" s="45">
        <v>1.37</v>
      </c>
      <c r="CH14" s="46">
        <v>1.62</v>
      </c>
      <c r="CI14" s="44">
        <v>0.44</v>
      </c>
      <c r="CJ14" s="45">
        <v>0.4</v>
      </c>
      <c r="CK14" s="46">
        <v>0.42000000000000004</v>
      </c>
      <c r="CL14" s="44">
        <v>37.619999999999997</v>
      </c>
      <c r="CM14">
        <v>35.22</v>
      </c>
      <c r="CN14">
        <v>36.42</v>
      </c>
      <c r="CO14">
        <v>7.34</v>
      </c>
      <c r="CP14">
        <v>2.34</v>
      </c>
      <c r="CQ14">
        <v>4.84</v>
      </c>
    </row>
    <row r="15" spans="1:95">
      <c r="A15" s="223">
        <v>45302</v>
      </c>
      <c r="B15" s="90" t="s">
        <v>99</v>
      </c>
      <c r="C15" s="44">
        <v>146.65</v>
      </c>
      <c r="D15" s="45">
        <v>144.65</v>
      </c>
      <c r="E15" s="46">
        <v>145.65</v>
      </c>
      <c r="F15" s="44">
        <v>161.31</v>
      </c>
      <c r="G15" s="45">
        <v>158.31</v>
      </c>
      <c r="H15" s="46">
        <v>159.81</v>
      </c>
      <c r="I15" s="44">
        <v>110.49</v>
      </c>
      <c r="J15" s="45">
        <v>107.28999999999999</v>
      </c>
      <c r="K15" s="46">
        <v>108.88999999999999</v>
      </c>
      <c r="L15" s="45">
        <v>189.67</v>
      </c>
      <c r="M15" s="45">
        <v>181.67</v>
      </c>
      <c r="N15" s="45">
        <v>185.67</v>
      </c>
      <c r="O15" s="44">
        <v>172.15</v>
      </c>
      <c r="P15" s="45">
        <v>170.35</v>
      </c>
      <c r="Q15" s="46">
        <v>171.25</v>
      </c>
      <c r="R15" s="45">
        <v>21.73</v>
      </c>
      <c r="S15" s="45">
        <v>21.13</v>
      </c>
      <c r="T15" s="45">
        <v>21.43</v>
      </c>
      <c r="U15" s="44">
        <v>14.37</v>
      </c>
      <c r="V15" s="45">
        <v>13.77</v>
      </c>
      <c r="W15" s="46">
        <v>14.07</v>
      </c>
      <c r="X15" s="44">
        <v>14.64</v>
      </c>
      <c r="Y15" s="45">
        <v>13.84</v>
      </c>
      <c r="Z15" s="46">
        <v>14.24</v>
      </c>
      <c r="AA15" s="44">
        <v>99.7</v>
      </c>
      <c r="AB15" s="45">
        <v>95.7</v>
      </c>
      <c r="AC15" s="46">
        <v>97.7</v>
      </c>
      <c r="AD15" s="44">
        <v>92.83</v>
      </c>
      <c r="AE15" s="45">
        <v>88.83</v>
      </c>
      <c r="AF15" s="46">
        <v>90.83</v>
      </c>
      <c r="AG15" s="45">
        <v>19.059999999999999</v>
      </c>
      <c r="AH15" s="45">
        <v>18.2</v>
      </c>
      <c r="AI15" s="45">
        <v>18.63</v>
      </c>
      <c r="AJ15" s="47"/>
      <c r="AK15" s="48"/>
      <c r="AL15" s="49"/>
      <c r="AM15" s="45">
        <v>110.28</v>
      </c>
      <c r="AN15" s="45">
        <v>108.62</v>
      </c>
      <c r="AO15" s="45">
        <v>109.45</v>
      </c>
      <c r="AP15" s="44">
        <v>39.700000000000003</v>
      </c>
      <c r="AQ15" s="45">
        <v>38.1</v>
      </c>
      <c r="AR15" s="46">
        <v>38.900000000000006</v>
      </c>
      <c r="AS15" s="45">
        <v>40.409999999999997</v>
      </c>
      <c r="AT15" s="45">
        <v>39.049999999999997</v>
      </c>
      <c r="AU15" s="45">
        <v>39.729999999999997</v>
      </c>
      <c r="AV15" s="44">
        <v>20.58</v>
      </c>
      <c r="AW15" s="45">
        <v>19.979999999999997</v>
      </c>
      <c r="AX15" s="46">
        <v>20.279999999999998</v>
      </c>
      <c r="AY15" s="44">
        <v>4.25</v>
      </c>
      <c r="AZ15" s="45">
        <v>4.09</v>
      </c>
      <c r="BA15" s="46">
        <v>4.17</v>
      </c>
      <c r="BB15" s="44">
        <v>1.92</v>
      </c>
      <c r="BC15" s="50">
        <v>1.6199999999999999</v>
      </c>
      <c r="BD15" s="51">
        <v>1.77</v>
      </c>
      <c r="BE15" s="45">
        <v>0.67</v>
      </c>
      <c r="BF15" s="50">
        <v>0.37000000000000005</v>
      </c>
      <c r="BG15" s="50">
        <v>0.52</v>
      </c>
      <c r="BH15" s="44">
        <v>482.58</v>
      </c>
      <c r="BI15" s="45">
        <v>466.58</v>
      </c>
      <c r="BJ15" s="46">
        <v>474.58</v>
      </c>
      <c r="BK15" s="45">
        <v>40.700000000000003</v>
      </c>
      <c r="BL15" s="45">
        <v>39.340000000000003</v>
      </c>
      <c r="BM15" s="45">
        <v>40.020000000000003</v>
      </c>
      <c r="BN15" s="52">
        <v>1.06</v>
      </c>
      <c r="BO15" s="50">
        <v>0.82000000000000006</v>
      </c>
      <c r="BP15" s="51">
        <v>0.94000000000000006</v>
      </c>
      <c r="BQ15" s="45">
        <v>9.59</v>
      </c>
      <c r="BR15" s="45">
        <v>7.59</v>
      </c>
      <c r="BS15" s="45">
        <v>8.59</v>
      </c>
      <c r="BT15" s="44">
        <v>11.27</v>
      </c>
      <c r="BU15" s="45">
        <v>10.87</v>
      </c>
      <c r="BV15" s="46">
        <v>11.07</v>
      </c>
      <c r="BW15" s="44">
        <v>2.75</v>
      </c>
      <c r="BX15" s="50">
        <v>2.4699999999999998</v>
      </c>
      <c r="BY15" s="51">
        <v>2.61</v>
      </c>
      <c r="BZ15" s="44">
        <v>9.2899999999999991</v>
      </c>
      <c r="CA15" s="45">
        <v>6.2899999999999991</v>
      </c>
      <c r="CB15" s="46">
        <v>7.7899999999999991</v>
      </c>
      <c r="CC15" s="44">
        <v>6.64</v>
      </c>
      <c r="CD15" s="45">
        <v>6.3999999999999995</v>
      </c>
      <c r="CE15" s="46">
        <v>6.52</v>
      </c>
      <c r="CF15" s="44">
        <v>1.88</v>
      </c>
      <c r="CG15" s="45">
        <v>1.38</v>
      </c>
      <c r="CH15" s="46">
        <v>1.63</v>
      </c>
      <c r="CI15" s="44">
        <v>0.44</v>
      </c>
      <c r="CJ15" s="45">
        <v>0.4</v>
      </c>
      <c r="CK15" s="46">
        <v>0.42000000000000004</v>
      </c>
      <c r="CL15" s="44">
        <v>38.1</v>
      </c>
      <c r="CM15">
        <v>35.700000000000003</v>
      </c>
      <c r="CN15">
        <v>36.900000000000006</v>
      </c>
      <c r="CO15">
        <v>7.41</v>
      </c>
      <c r="CP15">
        <v>2.41</v>
      </c>
      <c r="CQ15">
        <v>4.91</v>
      </c>
    </row>
    <row r="16" spans="1:95">
      <c r="A16" s="223">
        <v>45303</v>
      </c>
      <c r="B16" s="90" t="s">
        <v>100</v>
      </c>
      <c r="C16" s="44">
        <v>146.32</v>
      </c>
      <c r="D16" s="45">
        <v>144.32</v>
      </c>
      <c r="E16" s="46">
        <v>145.32</v>
      </c>
      <c r="F16" s="44">
        <v>161.05000000000001</v>
      </c>
      <c r="G16" s="45">
        <v>158.05000000000001</v>
      </c>
      <c r="H16" s="46">
        <v>159.55000000000001</v>
      </c>
      <c r="I16" s="44">
        <v>110.21</v>
      </c>
      <c r="J16" s="45">
        <v>107.00999999999999</v>
      </c>
      <c r="K16" s="46">
        <v>108.60999999999999</v>
      </c>
      <c r="L16" s="45">
        <v>189.62</v>
      </c>
      <c r="M16" s="45">
        <v>181.62</v>
      </c>
      <c r="N16" s="45">
        <v>185.62</v>
      </c>
      <c r="O16" s="44">
        <v>171.48</v>
      </c>
      <c r="P16" s="45">
        <v>169.67999999999998</v>
      </c>
      <c r="Q16" s="46">
        <v>170.57999999999998</v>
      </c>
      <c r="R16" s="45">
        <v>21.69</v>
      </c>
      <c r="S16" s="45">
        <v>21.09</v>
      </c>
      <c r="T16" s="45">
        <v>21.39</v>
      </c>
      <c r="U16" s="44">
        <v>14.43</v>
      </c>
      <c r="V16" s="45">
        <v>13.83</v>
      </c>
      <c r="W16" s="46">
        <v>14.129999999999999</v>
      </c>
      <c r="X16" s="44">
        <v>14.57</v>
      </c>
      <c r="Y16" s="45">
        <v>13.77</v>
      </c>
      <c r="Z16" s="46">
        <v>14.17</v>
      </c>
      <c r="AA16" s="44">
        <v>99.36</v>
      </c>
      <c r="AB16" s="45">
        <v>95.36</v>
      </c>
      <c r="AC16" s="46">
        <v>97.36</v>
      </c>
      <c r="AD16" s="44">
        <v>92.72</v>
      </c>
      <c r="AE16" s="45">
        <v>88.72</v>
      </c>
      <c r="AF16" s="46">
        <v>90.72</v>
      </c>
      <c r="AG16" s="45">
        <v>19.02</v>
      </c>
      <c r="AH16" s="45">
        <v>18.16</v>
      </c>
      <c r="AI16" s="45">
        <v>18.59</v>
      </c>
      <c r="AJ16" s="47"/>
      <c r="AK16" s="48"/>
      <c r="AL16" s="49"/>
      <c r="AM16" s="45">
        <v>110.09</v>
      </c>
      <c r="AN16" s="45">
        <v>108.43</v>
      </c>
      <c r="AO16" s="45">
        <v>109.26</v>
      </c>
      <c r="AP16" s="44">
        <v>39.61</v>
      </c>
      <c r="AQ16" s="45">
        <v>38.01</v>
      </c>
      <c r="AR16" s="46">
        <v>38.81</v>
      </c>
      <c r="AS16" s="45">
        <v>40.32</v>
      </c>
      <c r="AT16" s="45">
        <v>38.96</v>
      </c>
      <c r="AU16" s="45">
        <v>39.64</v>
      </c>
      <c r="AV16" s="44">
        <v>20.57</v>
      </c>
      <c r="AW16" s="45">
        <v>19.97</v>
      </c>
      <c r="AX16" s="46">
        <v>20.27</v>
      </c>
      <c r="AY16" s="44">
        <v>4.24</v>
      </c>
      <c r="AZ16" s="45">
        <v>4.08</v>
      </c>
      <c r="BA16" s="46">
        <v>4.16</v>
      </c>
      <c r="BB16" s="44">
        <v>1.91</v>
      </c>
      <c r="BC16" s="50">
        <v>1.6099999999999999</v>
      </c>
      <c r="BD16" s="51">
        <v>1.7599999999999998</v>
      </c>
      <c r="BE16" s="45">
        <v>0.67</v>
      </c>
      <c r="BF16" s="50">
        <v>0.37000000000000005</v>
      </c>
      <c r="BG16" s="50">
        <v>0.52</v>
      </c>
      <c r="BH16" s="44">
        <v>480.43</v>
      </c>
      <c r="BI16" s="45">
        <v>464.43</v>
      </c>
      <c r="BJ16" s="46">
        <v>472.43</v>
      </c>
      <c r="BK16" s="45">
        <v>40.61</v>
      </c>
      <c r="BL16" s="45">
        <v>39.25</v>
      </c>
      <c r="BM16" s="45">
        <v>39.93</v>
      </c>
      <c r="BN16" s="52">
        <v>1.06</v>
      </c>
      <c r="BO16" s="50">
        <v>0.82000000000000006</v>
      </c>
      <c r="BP16" s="51">
        <v>0.94000000000000006</v>
      </c>
      <c r="BQ16" s="45">
        <v>9.6</v>
      </c>
      <c r="BR16" s="45">
        <v>7.6</v>
      </c>
      <c r="BS16" s="45">
        <v>8.6</v>
      </c>
      <c r="BT16" s="44">
        <v>11.27</v>
      </c>
      <c r="BU16" s="45">
        <v>10.87</v>
      </c>
      <c r="BV16" s="46">
        <v>11.07</v>
      </c>
      <c r="BW16" s="44">
        <v>2.76</v>
      </c>
      <c r="BX16" s="50">
        <v>2.4799999999999995</v>
      </c>
      <c r="BY16" s="51">
        <v>2.6199999999999997</v>
      </c>
      <c r="BZ16" s="44">
        <v>9.3000000000000007</v>
      </c>
      <c r="CA16" s="45">
        <v>6.3000000000000007</v>
      </c>
      <c r="CB16" s="46">
        <v>7.8000000000000007</v>
      </c>
      <c r="CC16" s="44">
        <v>6.59</v>
      </c>
      <c r="CD16" s="45">
        <v>6.35</v>
      </c>
      <c r="CE16" s="46">
        <v>6.47</v>
      </c>
      <c r="CF16" s="44">
        <v>1.9</v>
      </c>
      <c r="CG16" s="45">
        <v>1.4</v>
      </c>
      <c r="CH16" s="46">
        <v>1.65</v>
      </c>
      <c r="CI16" s="44">
        <v>0.44</v>
      </c>
      <c r="CJ16" s="45">
        <v>0.4</v>
      </c>
      <c r="CK16" s="46">
        <v>0.42000000000000004</v>
      </c>
      <c r="CL16" s="44">
        <v>37.880000000000003</v>
      </c>
      <c r="CM16">
        <v>35.480000000000004</v>
      </c>
      <c r="CN16">
        <v>36.680000000000007</v>
      </c>
      <c r="CO16">
        <v>7.36</v>
      </c>
      <c r="CP16">
        <v>2.3600000000000003</v>
      </c>
      <c r="CQ16">
        <v>4.8600000000000003</v>
      </c>
    </row>
    <row r="17" spans="1:95">
      <c r="A17" s="223">
        <v>45304</v>
      </c>
      <c r="B17" s="90" t="s">
        <v>307</v>
      </c>
      <c r="C17" s="45"/>
      <c r="D17" s="45"/>
      <c r="E17" s="45"/>
      <c r="F17" s="44"/>
      <c r="G17" s="45"/>
      <c r="H17" s="46"/>
      <c r="I17" s="45"/>
      <c r="J17" s="45"/>
      <c r="K17" s="45"/>
      <c r="L17" s="44"/>
      <c r="M17" s="45"/>
      <c r="N17" s="46"/>
      <c r="O17" s="45"/>
      <c r="P17" s="45"/>
      <c r="Q17" s="45"/>
      <c r="R17" s="44"/>
      <c r="S17" s="45"/>
      <c r="T17" s="46"/>
      <c r="U17" s="44"/>
      <c r="V17" s="45"/>
      <c r="W17" s="46"/>
      <c r="X17" s="44"/>
      <c r="Y17" s="45"/>
      <c r="Z17" s="46"/>
      <c r="AA17" s="44"/>
      <c r="AB17" s="45"/>
      <c r="AC17" s="46"/>
      <c r="AD17" s="45"/>
      <c r="AE17" s="45"/>
      <c r="AF17" s="45"/>
      <c r="AG17" s="44"/>
      <c r="AH17" s="45"/>
      <c r="AI17" s="46"/>
      <c r="AJ17" s="47"/>
      <c r="AK17" s="48"/>
      <c r="AL17" s="49"/>
      <c r="AM17" s="44"/>
      <c r="AN17" s="45"/>
      <c r="AO17" s="46"/>
      <c r="AP17" s="44"/>
      <c r="AQ17" s="45"/>
      <c r="AR17" s="46"/>
      <c r="AS17" s="45"/>
      <c r="AT17" s="45"/>
      <c r="AU17" s="45"/>
      <c r="AV17" s="44"/>
      <c r="AW17" s="45"/>
      <c r="AX17" s="46"/>
      <c r="AY17" s="44"/>
      <c r="AZ17" s="45"/>
      <c r="BA17" s="46"/>
      <c r="BB17" s="44"/>
      <c r="BC17" s="50"/>
      <c r="BD17" s="51"/>
      <c r="BE17" s="44"/>
      <c r="BF17" s="50"/>
      <c r="BG17" s="51"/>
      <c r="BH17" s="44"/>
      <c r="BI17" s="45"/>
      <c r="BJ17" s="46"/>
      <c r="BK17" s="45"/>
      <c r="BL17" s="45"/>
      <c r="BM17" s="45"/>
      <c r="BN17" s="52"/>
      <c r="BO17" s="50"/>
      <c r="BP17" s="51"/>
      <c r="BQ17" s="45"/>
      <c r="BR17" s="45"/>
      <c r="BS17" s="45"/>
      <c r="BT17" s="44"/>
      <c r="BU17" s="45"/>
      <c r="BV17" s="46"/>
      <c r="BW17" s="44"/>
      <c r="BX17" s="50"/>
      <c r="BY17" s="51"/>
      <c r="BZ17" s="44"/>
      <c r="CA17" s="45"/>
      <c r="CB17" s="46"/>
      <c r="CC17" s="44"/>
      <c r="CD17" s="45"/>
      <c r="CE17" s="46"/>
      <c r="CF17" s="45"/>
      <c r="CG17" s="45"/>
      <c r="CH17" s="45"/>
      <c r="CI17" s="44"/>
      <c r="CJ17" s="45"/>
      <c r="CK17" s="46"/>
      <c r="CL17" s="44"/>
    </row>
    <row r="18" spans="1:95">
      <c r="A18" s="223">
        <v>45305</v>
      </c>
      <c r="B18" s="90" t="s">
        <v>308</v>
      </c>
      <c r="C18" s="44"/>
      <c r="D18" s="45"/>
      <c r="E18" s="46"/>
      <c r="F18" s="44"/>
      <c r="G18" s="45"/>
      <c r="H18" s="46"/>
      <c r="I18" s="44"/>
      <c r="J18" s="45"/>
      <c r="K18" s="46"/>
      <c r="L18" s="45"/>
      <c r="M18" s="45"/>
      <c r="N18" s="45"/>
      <c r="O18" s="44"/>
      <c r="P18" s="45"/>
      <c r="Q18" s="46"/>
      <c r="R18" s="45"/>
      <c r="S18" s="45"/>
      <c r="T18" s="45"/>
      <c r="U18" s="44"/>
      <c r="V18" s="45"/>
      <c r="W18" s="46"/>
      <c r="X18" s="44"/>
      <c r="Y18" s="45"/>
      <c r="Z18" s="46"/>
      <c r="AA18" s="44"/>
      <c r="AB18" s="45"/>
      <c r="AC18" s="46"/>
      <c r="AD18" s="44"/>
      <c r="AE18" s="45"/>
      <c r="AF18" s="46"/>
      <c r="AG18" s="45"/>
      <c r="AH18" s="45"/>
      <c r="AI18" s="45"/>
      <c r="AJ18" s="47"/>
      <c r="AK18" s="48"/>
      <c r="AL18" s="49"/>
      <c r="AM18" s="45"/>
      <c r="AN18" s="45"/>
      <c r="AO18" s="45"/>
      <c r="AP18" s="44"/>
      <c r="AQ18" s="45"/>
      <c r="AR18" s="46"/>
      <c r="AS18" s="45"/>
      <c r="AT18" s="45"/>
      <c r="AU18" s="45"/>
      <c r="AV18" s="44"/>
      <c r="AW18" s="45"/>
      <c r="AX18" s="46"/>
      <c r="AY18" s="44"/>
      <c r="AZ18" s="45"/>
      <c r="BA18" s="46"/>
      <c r="BB18" s="44"/>
      <c r="BC18" s="50"/>
      <c r="BD18" s="51"/>
      <c r="BE18" s="45"/>
      <c r="BF18" s="50"/>
      <c r="BG18" s="50"/>
      <c r="BH18" s="44"/>
      <c r="BI18" s="45"/>
      <c r="BJ18" s="46"/>
      <c r="BK18" s="45"/>
      <c r="BL18" s="45"/>
      <c r="BM18" s="45"/>
      <c r="BN18" s="52"/>
      <c r="BO18" s="50"/>
      <c r="BP18" s="51"/>
      <c r="BQ18" s="45"/>
      <c r="BR18" s="45"/>
      <c r="BS18" s="45"/>
      <c r="BT18" s="44"/>
      <c r="BU18" s="45"/>
      <c r="BV18" s="46"/>
      <c r="BW18" s="44"/>
      <c r="BX18" s="50"/>
      <c r="BY18" s="51"/>
      <c r="BZ18" s="44"/>
      <c r="CA18" s="45"/>
      <c r="CB18" s="46"/>
      <c r="CC18" s="44"/>
      <c r="CD18" s="45"/>
      <c r="CE18" s="46"/>
      <c r="CF18" s="44"/>
      <c r="CG18" s="45"/>
      <c r="CH18" s="46"/>
      <c r="CI18" s="44"/>
      <c r="CJ18" s="45"/>
      <c r="CK18" s="46"/>
      <c r="CL18" s="44"/>
    </row>
    <row r="19" spans="1:95">
      <c r="A19" s="223">
        <v>45306</v>
      </c>
      <c r="B19" s="90" t="s">
        <v>96</v>
      </c>
      <c r="C19" s="44">
        <v>146.16999999999999</v>
      </c>
      <c r="D19" s="45">
        <v>144.16999999999999</v>
      </c>
      <c r="E19" s="46">
        <v>145.16999999999999</v>
      </c>
      <c r="F19" s="44">
        <v>160.52000000000001</v>
      </c>
      <c r="G19" s="45">
        <v>157.52000000000001</v>
      </c>
      <c r="H19" s="46">
        <v>159.02000000000001</v>
      </c>
      <c r="I19" s="44">
        <v>109.92</v>
      </c>
      <c r="J19" s="45">
        <v>106.72</v>
      </c>
      <c r="K19" s="46">
        <v>108.32</v>
      </c>
      <c r="L19" s="45">
        <v>188.92</v>
      </c>
      <c r="M19" s="45">
        <v>180.92</v>
      </c>
      <c r="N19" s="45">
        <v>184.92</v>
      </c>
      <c r="O19" s="44">
        <v>171.03</v>
      </c>
      <c r="P19" s="45">
        <v>169.23</v>
      </c>
      <c r="Q19" s="46">
        <v>170.13</v>
      </c>
      <c r="R19" s="45">
        <v>21.62</v>
      </c>
      <c r="S19" s="45">
        <v>21.02</v>
      </c>
      <c r="T19" s="45">
        <v>21.32</v>
      </c>
      <c r="U19" s="44">
        <v>14.41</v>
      </c>
      <c r="V19" s="45">
        <v>13.81</v>
      </c>
      <c r="W19" s="46">
        <v>14.11</v>
      </c>
      <c r="X19" s="44">
        <v>14.52</v>
      </c>
      <c r="Y19" s="45">
        <v>13.719999999999999</v>
      </c>
      <c r="Z19" s="46">
        <v>14.12</v>
      </c>
      <c r="AA19" s="44">
        <v>99.13</v>
      </c>
      <c r="AB19" s="45">
        <v>95.13</v>
      </c>
      <c r="AC19" s="46">
        <v>97.13</v>
      </c>
      <c r="AD19" s="44">
        <v>92.48</v>
      </c>
      <c r="AE19" s="45">
        <v>88.48</v>
      </c>
      <c r="AF19" s="46">
        <v>90.48</v>
      </c>
      <c r="AG19" s="45">
        <v>18.989999999999998</v>
      </c>
      <c r="AH19" s="45">
        <v>18.13</v>
      </c>
      <c r="AI19" s="45">
        <v>18.559999999999999</v>
      </c>
      <c r="AJ19" s="47"/>
      <c r="AK19" s="48"/>
      <c r="AL19" s="49"/>
      <c r="AM19" s="45">
        <v>109.85</v>
      </c>
      <c r="AN19" s="45">
        <v>108.19</v>
      </c>
      <c r="AO19" s="45">
        <v>109.02</v>
      </c>
      <c r="AP19" s="44">
        <v>39.57</v>
      </c>
      <c r="AQ19" s="45">
        <v>37.97</v>
      </c>
      <c r="AR19" s="46">
        <v>38.769999999999996</v>
      </c>
      <c r="AS19" s="45">
        <v>40.270000000000003</v>
      </c>
      <c r="AT19" s="45">
        <v>38.910000000000004</v>
      </c>
      <c r="AU19" s="45">
        <v>39.590000000000003</v>
      </c>
      <c r="AV19" s="44">
        <v>20.5</v>
      </c>
      <c r="AW19" s="45">
        <v>19.899999999999999</v>
      </c>
      <c r="AX19" s="46">
        <v>20.2</v>
      </c>
      <c r="AY19" s="44">
        <v>4.24</v>
      </c>
      <c r="AZ19" s="45">
        <v>4.08</v>
      </c>
      <c r="BA19" s="46">
        <v>4.16</v>
      </c>
      <c r="BB19" s="44">
        <v>1.91</v>
      </c>
      <c r="BC19" s="50">
        <v>1.6099999999999999</v>
      </c>
      <c r="BD19" s="51">
        <v>1.7599999999999998</v>
      </c>
      <c r="BE19" s="45">
        <v>0.67</v>
      </c>
      <c r="BF19" s="50">
        <v>0.37000000000000005</v>
      </c>
      <c r="BG19" s="50">
        <v>0.52</v>
      </c>
      <c r="BH19" s="44">
        <v>481.33</v>
      </c>
      <c r="BI19" s="45">
        <v>465.33</v>
      </c>
      <c r="BJ19" s="46">
        <v>473.33</v>
      </c>
      <c r="BK19" s="45">
        <v>40.549999999999997</v>
      </c>
      <c r="BL19" s="45">
        <v>39.19</v>
      </c>
      <c r="BM19" s="45">
        <v>39.869999999999997</v>
      </c>
      <c r="BN19" s="52">
        <v>1.06</v>
      </c>
      <c r="BO19" s="50">
        <v>0.82000000000000006</v>
      </c>
      <c r="BP19" s="51">
        <v>0.94000000000000006</v>
      </c>
      <c r="BQ19" s="45">
        <v>9.61</v>
      </c>
      <c r="BR19" s="45">
        <v>7.6099999999999994</v>
      </c>
      <c r="BS19" s="45">
        <v>8.61</v>
      </c>
      <c r="BT19" s="44">
        <v>11.23</v>
      </c>
      <c r="BU19" s="45">
        <v>10.83</v>
      </c>
      <c r="BV19" s="46">
        <v>11.030000000000001</v>
      </c>
      <c r="BW19" s="44">
        <v>2.76</v>
      </c>
      <c r="BX19" s="50">
        <v>2.4799999999999995</v>
      </c>
      <c r="BY19" s="51">
        <v>2.6199999999999997</v>
      </c>
      <c r="BZ19" s="44">
        <v>9.2899999999999991</v>
      </c>
      <c r="CA19" s="45">
        <v>6.2899999999999991</v>
      </c>
      <c r="CB19" s="46">
        <v>7.7899999999999991</v>
      </c>
      <c r="CC19" s="44">
        <v>6.58</v>
      </c>
      <c r="CD19" s="45">
        <v>6.34</v>
      </c>
      <c r="CE19" s="46">
        <v>6.46</v>
      </c>
      <c r="CF19" s="44">
        <v>1.89</v>
      </c>
      <c r="CG19" s="45">
        <v>1.39</v>
      </c>
      <c r="CH19" s="46">
        <v>1.64</v>
      </c>
      <c r="CI19" s="44">
        <v>0.44</v>
      </c>
      <c r="CJ19" s="45">
        <v>0.4</v>
      </c>
      <c r="CK19" s="46">
        <v>0.42000000000000004</v>
      </c>
      <c r="CL19" s="44">
        <v>37.71</v>
      </c>
      <c r="CM19">
        <v>35.31</v>
      </c>
      <c r="CN19">
        <v>36.510000000000005</v>
      </c>
      <c r="CO19">
        <v>7.33</v>
      </c>
      <c r="CP19">
        <v>2.33</v>
      </c>
      <c r="CQ19">
        <v>4.83</v>
      </c>
    </row>
    <row r="20" spans="1:95">
      <c r="A20" s="223">
        <v>45307</v>
      </c>
      <c r="B20" s="90" t="s">
        <v>97</v>
      </c>
      <c r="C20" s="44">
        <v>146.91</v>
      </c>
      <c r="D20" s="45">
        <v>144.91</v>
      </c>
      <c r="E20" s="46">
        <v>145.91</v>
      </c>
      <c r="F20" s="44">
        <v>160.91999999999999</v>
      </c>
      <c r="G20" s="45">
        <v>157.91999999999999</v>
      </c>
      <c r="H20" s="46">
        <v>159.41999999999999</v>
      </c>
      <c r="I20" s="44">
        <v>110.08</v>
      </c>
      <c r="J20" s="45">
        <v>106.88</v>
      </c>
      <c r="K20" s="46">
        <v>108.47999999999999</v>
      </c>
      <c r="L20" s="45">
        <v>189.26</v>
      </c>
      <c r="M20" s="45">
        <v>181.26</v>
      </c>
      <c r="N20" s="45">
        <v>185.26</v>
      </c>
      <c r="O20" s="44">
        <v>171.08</v>
      </c>
      <c r="P20" s="45">
        <v>169.28</v>
      </c>
      <c r="Q20" s="46">
        <v>170.18</v>
      </c>
      <c r="R20" s="45">
        <v>21.67</v>
      </c>
      <c r="S20" s="45">
        <v>21.07</v>
      </c>
      <c r="T20" s="45">
        <v>21.37</v>
      </c>
      <c r="U20" s="44">
        <v>14.35</v>
      </c>
      <c r="V20" s="45">
        <v>13.75</v>
      </c>
      <c r="W20" s="46">
        <v>14.05</v>
      </c>
      <c r="X20" s="44">
        <v>14.49</v>
      </c>
      <c r="Y20" s="45">
        <v>13.69</v>
      </c>
      <c r="Z20" s="46">
        <v>14.09</v>
      </c>
      <c r="AA20" s="44">
        <v>98.75</v>
      </c>
      <c r="AB20" s="45">
        <v>94.75</v>
      </c>
      <c r="AC20" s="46">
        <v>96.75</v>
      </c>
      <c r="AD20" s="44">
        <v>92.07</v>
      </c>
      <c r="AE20" s="45">
        <v>88.07</v>
      </c>
      <c r="AF20" s="46">
        <v>90.07</v>
      </c>
      <c r="AG20" s="45">
        <v>19.079999999999998</v>
      </c>
      <c r="AH20" s="45">
        <v>18.22</v>
      </c>
      <c r="AI20" s="45">
        <v>18.649999999999999</v>
      </c>
      <c r="AJ20" s="47"/>
      <c r="AK20" s="48"/>
      <c r="AL20" s="49"/>
      <c r="AM20" s="45">
        <v>110.06</v>
      </c>
      <c r="AN20" s="45">
        <v>108.4</v>
      </c>
      <c r="AO20" s="45">
        <v>109.23</v>
      </c>
      <c r="AP20" s="44">
        <v>39.770000000000003</v>
      </c>
      <c r="AQ20" s="45">
        <v>38.17</v>
      </c>
      <c r="AR20" s="46">
        <v>38.97</v>
      </c>
      <c r="AS20" s="45">
        <v>40.47</v>
      </c>
      <c r="AT20" s="45">
        <v>39.11</v>
      </c>
      <c r="AU20" s="45">
        <v>39.79</v>
      </c>
      <c r="AV20" s="44">
        <v>20.59</v>
      </c>
      <c r="AW20" s="45">
        <v>19.989999999999998</v>
      </c>
      <c r="AX20" s="46">
        <v>20.29</v>
      </c>
      <c r="AY20" s="44">
        <v>4.24</v>
      </c>
      <c r="AZ20" s="45">
        <v>4.08</v>
      </c>
      <c r="BA20" s="46">
        <v>4.16</v>
      </c>
      <c r="BB20" s="44">
        <v>1.92</v>
      </c>
      <c r="BC20" s="50">
        <v>1.6199999999999999</v>
      </c>
      <c r="BD20" s="51">
        <v>1.77</v>
      </c>
      <c r="BE20" s="45">
        <v>0.67</v>
      </c>
      <c r="BF20" s="50">
        <v>0.37000000000000005</v>
      </c>
      <c r="BG20" s="50">
        <v>0.52</v>
      </c>
      <c r="BH20" s="44">
        <v>481.73</v>
      </c>
      <c r="BI20" s="45">
        <v>465.73</v>
      </c>
      <c r="BJ20" s="46">
        <v>473.73</v>
      </c>
      <c r="BK20" s="45">
        <v>40.770000000000003</v>
      </c>
      <c r="BL20" s="45">
        <v>39.410000000000004</v>
      </c>
      <c r="BM20" s="45">
        <v>40.090000000000003</v>
      </c>
      <c r="BN20" s="52">
        <v>1.06</v>
      </c>
      <c r="BO20" s="50">
        <v>0.82000000000000006</v>
      </c>
      <c r="BP20" s="51">
        <v>0.94000000000000006</v>
      </c>
      <c r="BQ20" s="45">
        <v>9.6300000000000008</v>
      </c>
      <c r="BR20" s="45">
        <v>7.6300000000000008</v>
      </c>
      <c r="BS20" s="45">
        <v>8.6300000000000008</v>
      </c>
      <c r="BT20" s="44">
        <v>11.19</v>
      </c>
      <c r="BU20" s="45">
        <v>10.79</v>
      </c>
      <c r="BV20" s="46">
        <v>10.989999999999998</v>
      </c>
      <c r="BW20" s="44">
        <v>2.78</v>
      </c>
      <c r="BX20" s="50">
        <v>2.5</v>
      </c>
      <c r="BY20" s="51">
        <v>2.6399999999999997</v>
      </c>
      <c r="BZ20" s="44">
        <v>9.2899999999999991</v>
      </c>
      <c r="CA20" s="45">
        <v>6.2899999999999991</v>
      </c>
      <c r="CB20" s="46">
        <v>7.7899999999999991</v>
      </c>
      <c r="CC20" s="44">
        <v>6.58</v>
      </c>
      <c r="CD20" s="45">
        <v>6.34</v>
      </c>
      <c r="CE20" s="46">
        <v>6.46</v>
      </c>
      <c r="CF20" s="44">
        <v>1.91</v>
      </c>
      <c r="CG20" s="45">
        <v>1.41</v>
      </c>
      <c r="CH20" s="46">
        <v>1.66</v>
      </c>
      <c r="CI20" s="44">
        <v>0.44</v>
      </c>
      <c r="CJ20" s="45">
        <v>0.4</v>
      </c>
      <c r="CK20" s="46">
        <v>0.42000000000000004</v>
      </c>
      <c r="CL20" s="44">
        <v>37.659999999999997</v>
      </c>
      <c r="CM20">
        <v>35.26</v>
      </c>
      <c r="CN20">
        <v>36.459999999999994</v>
      </c>
      <c r="CO20">
        <v>7.35</v>
      </c>
      <c r="CP20">
        <v>2.3499999999999996</v>
      </c>
      <c r="CQ20">
        <v>4.8499999999999996</v>
      </c>
    </row>
    <row r="21" spans="1:95">
      <c r="A21" s="223">
        <v>45308</v>
      </c>
      <c r="B21" s="90" t="s">
        <v>98</v>
      </c>
      <c r="C21" s="44">
        <v>148.44</v>
      </c>
      <c r="D21" s="45">
        <v>146.44</v>
      </c>
      <c r="E21" s="46">
        <v>147.44</v>
      </c>
      <c r="F21" s="44">
        <v>161.87</v>
      </c>
      <c r="G21" s="45">
        <v>158.87</v>
      </c>
      <c r="H21" s="46">
        <v>160.37</v>
      </c>
      <c r="I21" s="44">
        <v>110.9</v>
      </c>
      <c r="J21" s="45">
        <v>107.7</v>
      </c>
      <c r="K21" s="46">
        <v>109.30000000000001</v>
      </c>
      <c r="L21" s="45">
        <v>190.33</v>
      </c>
      <c r="M21" s="45">
        <v>182.33</v>
      </c>
      <c r="N21" s="45">
        <v>186.33</v>
      </c>
      <c r="O21" s="44">
        <v>172</v>
      </c>
      <c r="P21" s="45">
        <v>170.2</v>
      </c>
      <c r="Q21" s="46">
        <v>171.1</v>
      </c>
      <c r="R21" s="45">
        <v>21.8</v>
      </c>
      <c r="S21" s="45">
        <v>21.2</v>
      </c>
      <c r="T21" s="45">
        <v>21.5</v>
      </c>
      <c r="U21" s="44">
        <v>14.39</v>
      </c>
      <c r="V21" s="45">
        <v>13.790000000000001</v>
      </c>
      <c r="W21" s="46">
        <v>14.09</v>
      </c>
      <c r="X21" s="44">
        <v>14.53</v>
      </c>
      <c r="Y21" s="45">
        <v>13.729999999999999</v>
      </c>
      <c r="Z21" s="46">
        <v>14.129999999999999</v>
      </c>
      <c r="AA21" s="44">
        <v>99.19</v>
      </c>
      <c r="AB21" s="45">
        <v>95.19</v>
      </c>
      <c r="AC21" s="46">
        <v>97.19</v>
      </c>
      <c r="AD21" s="44">
        <v>92.51</v>
      </c>
      <c r="AE21" s="45">
        <v>88.51</v>
      </c>
      <c r="AF21" s="46">
        <v>90.51</v>
      </c>
      <c r="AG21" s="45">
        <v>19.27</v>
      </c>
      <c r="AH21" s="45">
        <v>18.41</v>
      </c>
      <c r="AI21" s="45">
        <v>18.84</v>
      </c>
      <c r="AJ21" s="47"/>
      <c r="AK21" s="48"/>
      <c r="AL21" s="49"/>
      <c r="AM21" s="45">
        <v>110.66</v>
      </c>
      <c r="AN21" s="45">
        <v>109</v>
      </c>
      <c r="AO21" s="45">
        <v>109.83</v>
      </c>
      <c r="AP21" s="44">
        <v>40.18</v>
      </c>
      <c r="AQ21" s="45">
        <v>38.58</v>
      </c>
      <c r="AR21" s="46">
        <v>39.379999999999995</v>
      </c>
      <c r="AS21" s="45">
        <v>40.76</v>
      </c>
      <c r="AT21" s="45">
        <v>39.4</v>
      </c>
      <c r="AU21" s="45">
        <v>40.08</v>
      </c>
      <c r="AV21" s="44">
        <v>20.73</v>
      </c>
      <c r="AW21" s="45">
        <v>20.13</v>
      </c>
      <c r="AX21" s="46">
        <v>20.43</v>
      </c>
      <c r="AY21" s="44">
        <v>4.24</v>
      </c>
      <c r="AZ21" s="45">
        <v>4.08</v>
      </c>
      <c r="BA21" s="46">
        <v>4.16</v>
      </c>
      <c r="BB21" s="44">
        <v>1.93</v>
      </c>
      <c r="BC21" s="50">
        <v>1.63</v>
      </c>
      <c r="BD21" s="51">
        <v>1.7799999999999998</v>
      </c>
      <c r="BE21" s="45">
        <v>0.68</v>
      </c>
      <c r="BF21" s="50">
        <v>0.38000000000000006</v>
      </c>
      <c r="BG21" s="50">
        <v>0.53</v>
      </c>
      <c r="BH21" s="44">
        <v>487.79</v>
      </c>
      <c r="BI21" s="45">
        <v>471.79</v>
      </c>
      <c r="BJ21" s="46">
        <v>479.79</v>
      </c>
      <c r="BK21" s="45">
        <v>41.19</v>
      </c>
      <c r="BL21" s="45">
        <v>39.83</v>
      </c>
      <c r="BM21" s="45">
        <v>40.51</v>
      </c>
      <c r="BN21" s="52">
        <v>1.07</v>
      </c>
      <c r="BO21" s="50">
        <v>0.83000000000000007</v>
      </c>
      <c r="BP21" s="51">
        <v>0.95000000000000007</v>
      </c>
      <c r="BQ21" s="45">
        <v>9.56</v>
      </c>
      <c r="BR21" s="45">
        <v>7.5600000000000005</v>
      </c>
      <c r="BS21" s="45">
        <v>8.56</v>
      </c>
      <c r="BT21" s="44">
        <v>11.23</v>
      </c>
      <c r="BU21" s="45">
        <v>10.83</v>
      </c>
      <c r="BV21" s="46">
        <v>11.030000000000001</v>
      </c>
      <c r="BW21" s="44">
        <v>2.8</v>
      </c>
      <c r="BX21" s="50">
        <v>2.5199999999999996</v>
      </c>
      <c r="BY21" s="51">
        <v>2.6599999999999997</v>
      </c>
      <c r="BZ21" s="44">
        <v>9.2799999999999994</v>
      </c>
      <c r="CA21" s="45">
        <v>6.2799999999999994</v>
      </c>
      <c r="CB21" s="46">
        <v>7.7799999999999994</v>
      </c>
      <c r="CC21" s="44">
        <v>6.61</v>
      </c>
      <c r="CD21" s="45">
        <v>6.37</v>
      </c>
      <c r="CE21" s="46">
        <v>6.49</v>
      </c>
      <c r="CF21" s="44">
        <v>1.92</v>
      </c>
      <c r="CG21" s="45">
        <v>1.42</v>
      </c>
      <c r="CH21" s="46">
        <v>1.67</v>
      </c>
      <c r="CI21" s="44">
        <v>0.44</v>
      </c>
      <c r="CJ21" s="45">
        <v>0.4</v>
      </c>
      <c r="CK21" s="46">
        <v>0.42000000000000004</v>
      </c>
      <c r="CL21" s="44">
        <v>37.74</v>
      </c>
      <c r="CM21">
        <v>35.340000000000003</v>
      </c>
      <c r="CN21">
        <v>36.540000000000006</v>
      </c>
      <c r="CO21">
        <v>7.4</v>
      </c>
      <c r="CP21">
        <v>2.4000000000000004</v>
      </c>
      <c r="CQ21">
        <v>4.9000000000000004</v>
      </c>
    </row>
    <row r="22" spans="1:95">
      <c r="A22" s="223">
        <v>45309</v>
      </c>
      <c r="B22" s="90" t="s">
        <v>99</v>
      </c>
      <c r="C22" s="45">
        <v>149.26</v>
      </c>
      <c r="D22" s="45">
        <v>147.26</v>
      </c>
      <c r="E22" s="45">
        <v>148.26</v>
      </c>
      <c r="F22" s="44">
        <v>162.91</v>
      </c>
      <c r="G22" s="45">
        <v>159.91</v>
      </c>
      <c r="H22" s="46">
        <v>161.41</v>
      </c>
      <c r="I22" s="45">
        <v>111.42</v>
      </c>
      <c r="J22" s="45">
        <v>108.22</v>
      </c>
      <c r="K22" s="45">
        <v>109.82</v>
      </c>
      <c r="L22" s="44">
        <v>191.92</v>
      </c>
      <c r="M22" s="45">
        <v>183.92</v>
      </c>
      <c r="N22" s="46">
        <v>187.92</v>
      </c>
      <c r="O22" s="45">
        <v>172.34</v>
      </c>
      <c r="P22" s="45">
        <v>170.54</v>
      </c>
      <c r="Q22" s="45">
        <v>171.44</v>
      </c>
      <c r="R22" s="44">
        <v>21.94</v>
      </c>
      <c r="S22" s="45">
        <v>21.34</v>
      </c>
      <c r="T22" s="46">
        <v>21.64</v>
      </c>
      <c r="U22" s="44">
        <v>14.38</v>
      </c>
      <c r="V22" s="45">
        <v>13.780000000000001</v>
      </c>
      <c r="W22" s="46">
        <v>14.080000000000002</v>
      </c>
      <c r="X22" s="44">
        <v>14.59</v>
      </c>
      <c r="Y22" s="45">
        <v>13.79</v>
      </c>
      <c r="Z22" s="46">
        <v>14.19</v>
      </c>
      <c r="AA22" s="44">
        <v>99.1</v>
      </c>
      <c r="AB22" s="45">
        <v>95.1</v>
      </c>
      <c r="AC22" s="46">
        <v>97.1</v>
      </c>
      <c r="AD22" s="45">
        <v>92.68</v>
      </c>
      <c r="AE22" s="45">
        <v>88.68</v>
      </c>
      <c r="AF22" s="45">
        <v>90.68</v>
      </c>
      <c r="AG22" s="44">
        <v>19.39</v>
      </c>
      <c r="AH22" s="45">
        <v>18.53</v>
      </c>
      <c r="AI22" s="46">
        <v>18.96</v>
      </c>
      <c r="AJ22" s="47"/>
      <c r="AK22" s="48"/>
      <c r="AL22" s="49"/>
      <c r="AM22" s="44">
        <v>111.17</v>
      </c>
      <c r="AN22" s="45">
        <v>109.51</v>
      </c>
      <c r="AO22" s="46">
        <v>110.34</v>
      </c>
      <c r="AP22" s="44">
        <v>40.4</v>
      </c>
      <c r="AQ22" s="45">
        <v>38.799999999999997</v>
      </c>
      <c r="AR22" s="46">
        <v>39.599999999999994</v>
      </c>
      <c r="AS22" s="45">
        <v>41.11</v>
      </c>
      <c r="AT22" s="45">
        <v>39.75</v>
      </c>
      <c r="AU22" s="45">
        <v>40.43</v>
      </c>
      <c r="AV22" s="44">
        <v>20.84</v>
      </c>
      <c r="AW22" s="45">
        <v>20.239999999999998</v>
      </c>
      <c r="AX22" s="46">
        <v>20.54</v>
      </c>
      <c r="AY22" s="44">
        <v>4.26</v>
      </c>
      <c r="AZ22" s="45">
        <v>4.0999999999999996</v>
      </c>
      <c r="BA22" s="46">
        <v>4.18</v>
      </c>
      <c r="BB22" s="44">
        <v>1.94</v>
      </c>
      <c r="BC22" s="50">
        <v>1.64</v>
      </c>
      <c r="BD22" s="51">
        <v>1.79</v>
      </c>
      <c r="BE22" s="44">
        <v>0.68</v>
      </c>
      <c r="BF22" s="50">
        <v>0.38000000000000006</v>
      </c>
      <c r="BG22" s="51">
        <v>0.53</v>
      </c>
      <c r="BH22" s="44">
        <v>490.3</v>
      </c>
      <c r="BI22" s="45">
        <v>474.3</v>
      </c>
      <c r="BJ22" s="46">
        <v>482.3</v>
      </c>
      <c r="BK22" s="45">
        <v>41.42</v>
      </c>
      <c r="BL22" s="45">
        <v>40.06</v>
      </c>
      <c r="BM22" s="45">
        <v>40.74</v>
      </c>
      <c r="BN22" s="52">
        <v>1.07</v>
      </c>
      <c r="BO22" s="50">
        <v>0.83000000000000007</v>
      </c>
      <c r="BP22" s="51">
        <v>0.95000000000000007</v>
      </c>
      <c r="BQ22" s="45">
        <v>9.6300000000000008</v>
      </c>
      <c r="BR22" s="45">
        <v>7.6300000000000008</v>
      </c>
      <c r="BS22" s="45">
        <v>8.6300000000000008</v>
      </c>
      <c r="BT22" s="44">
        <v>11.27</v>
      </c>
      <c r="BU22" s="45">
        <v>10.87</v>
      </c>
      <c r="BV22" s="46">
        <v>11.07</v>
      </c>
      <c r="BW22" s="44">
        <v>2.81</v>
      </c>
      <c r="BX22" s="50">
        <v>2.5300000000000002</v>
      </c>
      <c r="BY22" s="51">
        <v>2.67</v>
      </c>
      <c r="BZ22" s="44">
        <v>9.2799999999999994</v>
      </c>
      <c r="CA22" s="45">
        <v>6.2799999999999994</v>
      </c>
      <c r="CB22" s="46">
        <v>7.7799999999999994</v>
      </c>
      <c r="CC22" s="44">
        <v>6.65</v>
      </c>
      <c r="CD22" s="45">
        <v>6.41</v>
      </c>
      <c r="CE22" s="46">
        <v>6.53</v>
      </c>
      <c r="CF22" s="45">
        <v>1.92</v>
      </c>
      <c r="CG22" s="45">
        <v>1.42</v>
      </c>
      <c r="CH22" s="45">
        <v>1.67</v>
      </c>
      <c r="CI22" s="44">
        <v>0.45</v>
      </c>
      <c r="CJ22" s="45">
        <v>0.41000000000000003</v>
      </c>
      <c r="CK22" s="46">
        <v>0.43000000000000005</v>
      </c>
      <c r="CL22" s="44">
        <v>37.82</v>
      </c>
      <c r="CM22">
        <v>35.42</v>
      </c>
      <c r="CN22">
        <v>36.620000000000005</v>
      </c>
      <c r="CO22">
        <v>7.42</v>
      </c>
      <c r="CP22">
        <v>2.42</v>
      </c>
      <c r="CQ22">
        <v>4.92</v>
      </c>
    </row>
    <row r="23" spans="1:95">
      <c r="A23" s="223">
        <v>45310</v>
      </c>
      <c r="B23" s="90" t="s">
        <v>100</v>
      </c>
      <c r="C23" s="44">
        <v>149.19</v>
      </c>
      <c r="D23" s="45">
        <v>147.19</v>
      </c>
      <c r="E23" s="46">
        <v>148.19</v>
      </c>
      <c r="F23" s="44">
        <v>162.75</v>
      </c>
      <c r="G23" s="45">
        <v>159.75</v>
      </c>
      <c r="H23" s="46">
        <v>161.25</v>
      </c>
      <c r="I23" s="44">
        <v>111.48</v>
      </c>
      <c r="J23" s="45">
        <v>108.28</v>
      </c>
      <c r="K23" s="46">
        <v>109.88</v>
      </c>
      <c r="L23" s="45">
        <v>192.35</v>
      </c>
      <c r="M23" s="45">
        <v>184.35</v>
      </c>
      <c r="N23" s="45">
        <v>188.35</v>
      </c>
      <c r="O23" s="44">
        <v>171.57</v>
      </c>
      <c r="P23" s="45">
        <v>169.76999999999998</v>
      </c>
      <c r="Q23" s="46">
        <v>170.67</v>
      </c>
      <c r="R23" s="45">
        <v>21.92</v>
      </c>
      <c r="S23" s="45">
        <v>21.32</v>
      </c>
      <c r="T23" s="45">
        <v>21.62</v>
      </c>
      <c r="U23" s="44">
        <v>14.39</v>
      </c>
      <c r="V23" s="45">
        <v>13.790000000000001</v>
      </c>
      <c r="W23" s="46">
        <v>14.09</v>
      </c>
      <c r="X23" s="44">
        <v>14.53</v>
      </c>
      <c r="Y23" s="45">
        <v>13.729999999999999</v>
      </c>
      <c r="Z23" s="46">
        <v>14.129999999999999</v>
      </c>
      <c r="AA23" s="44">
        <v>99.57</v>
      </c>
      <c r="AB23" s="45">
        <v>95.57</v>
      </c>
      <c r="AC23" s="46">
        <v>97.57</v>
      </c>
      <c r="AD23" s="44">
        <v>92.75</v>
      </c>
      <c r="AE23" s="45">
        <v>88.75</v>
      </c>
      <c r="AF23" s="46">
        <v>90.75</v>
      </c>
      <c r="AG23" s="45">
        <v>19.38</v>
      </c>
      <c r="AH23" s="45">
        <v>18.52</v>
      </c>
      <c r="AI23" s="45">
        <v>18.95</v>
      </c>
      <c r="AJ23" s="47"/>
      <c r="AK23" s="48"/>
      <c r="AL23" s="49"/>
      <c r="AM23" s="45">
        <v>111.12</v>
      </c>
      <c r="AN23" s="45">
        <v>109.46000000000001</v>
      </c>
      <c r="AO23" s="45">
        <v>110.29</v>
      </c>
      <c r="AP23" s="44">
        <v>40.380000000000003</v>
      </c>
      <c r="AQ23" s="45">
        <v>38.78</v>
      </c>
      <c r="AR23" s="46">
        <v>39.58</v>
      </c>
      <c r="AS23" s="45">
        <v>41.09</v>
      </c>
      <c r="AT23" s="45">
        <v>39.730000000000004</v>
      </c>
      <c r="AU23" s="45">
        <v>40.410000000000004</v>
      </c>
      <c r="AV23" s="44">
        <v>20.85</v>
      </c>
      <c r="AW23" s="45">
        <v>20.25</v>
      </c>
      <c r="AX23" s="46">
        <v>20.55</v>
      </c>
      <c r="AY23" s="44">
        <v>4.26</v>
      </c>
      <c r="AZ23" s="45">
        <v>4.0999999999999996</v>
      </c>
      <c r="BA23" s="46">
        <v>4.18</v>
      </c>
      <c r="BB23" s="44">
        <v>1.94</v>
      </c>
      <c r="BC23" s="50">
        <v>1.64</v>
      </c>
      <c r="BD23" s="51">
        <v>1.79</v>
      </c>
      <c r="BE23" s="45">
        <v>0.69</v>
      </c>
      <c r="BF23" s="50">
        <v>0.38999999999999996</v>
      </c>
      <c r="BG23" s="50">
        <v>0.53999999999999992</v>
      </c>
      <c r="BH23" s="44">
        <v>488.67</v>
      </c>
      <c r="BI23" s="45">
        <v>472.67</v>
      </c>
      <c r="BJ23" s="46">
        <v>480.67</v>
      </c>
      <c r="BK23" s="45">
        <v>41.4</v>
      </c>
      <c r="BL23" s="45">
        <v>40.04</v>
      </c>
      <c r="BM23" s="45">
        <v>40.72</v>
      </c>
      <c r="BN23" s="52">
        <v>1.07</v>
      </c>
      <c r="BO23" s="50">
        <v>0.83000000000000007</v>
      </c>
      <c r="BP23" s="51">
        <v>0.95000000000000007</v>
      </c>
      <c r="BQ23" s="45">
        <v>9.64</v>
      </c>
      <c r="BR23" s="45">
        <v>7.6400000000000006</v>
      </c>
      <c r="BS23" s="45">
        <v>8.64</v>
      </c>
      <c r="BT23" s="44">
        <v>11.32</v>
      </c>
      <c r="BU23" s="45">
        <v>10.92</v>
      </c>
      <c r="BV23" s="46">
        <v>11.120000000000001</v>
      </c>
      <c r="BW23" s="44">
        <v>2.82</v>
      </c>
      <c r="BX23" s="50">
        <v>2.54</v>
      </c>
      <c r="BY23" s="51">
        <v>2.6799999999999997</v>
      </c>
      <c r="BZ23" s="44">
        <v>9.34</v>
      </c>
      <c r="CA23" s="45">
        <v>6.34</v>
      </c>
      <c r="CB23" s="46">
        <v>7.84</v>
      </c>
      <c r="CC23" s="44">
        <v>6.63</v>
      </c>
      <c r="CD23" s="45">
        <v>6.39</v>
      </c>
      <c r="CE23" s="46">
        <v>6.51</v>
      </c>
      <c r="CF23" s="44">
        <v>1.91</v>
      </c>
      <c r="CG23" s="45">
        <v>1.41</v>
      </c>
      <c r="CH23" s="46">
        <v>1.66</v>
      </c>
      <c r="CI23" s="44">
        <v>0.44</v>
      </c>
      <c r="CJ23" s="45">
        <v>0.4</v>
      </c>
      <c r="CK23" s="46">
        <v>0.42000000000000004</v>
      </c>
      <c r="CL23" s="44">
        <v>37.99</v>
      </c>
      <c r="CM23">
        <v>35.590000000000003</v>
      </c>
      <c r="CN23">
        <v>36.790000000000006</v>
      </c>
      <c r="CO23">
        <v>7.43</v>
      </c>
      <c r="CP23">
        <v>2.4299999999999997</v>
      </c>
      <c r="CQ23">
        <v>4.93</v>
      </c>
    </row>
    <row r="24" spans="1:95">
      <c r="A24" s="223">
        <v>45311</v>
      </c>
      <c r="B24" s="90" t="s">
        <v>307</v>
      </c>
      <c r="C24" s="44"/>
      <c r="D24" s="45"/>
      <c r="E24" s="46"/>
      <c r="F24" s="44"/>
      <c r="G24" s="45"/>
      <c r="H24" s="46"/>
      <c r="I24" s="44"/>
      <c r="J24" s="45"/>
      <c r="K24" s="46"/>
      <c r="L24" s="45"/>
      <c r="M24" s="45"/>
      <c r="N24" s="45"/>
      <c r="O24" s="44"/>
      <c r="P24" s="45"/>
      <c r="Q24" s="46"/>
      <c r="R24" s="45"/>
      <c r="S24" s="45"/>
      <c r="T24" s="45"/>
      <c r="U24" s="44"/>
      <c r="V24" s="45"/>
      <c r="W24" s="46"/>
      <c r="X24" s="44"/>
      <c r="Y24" s="45"/>
      <c r="Z24" s="46"/>
      <c r="AA24" s="44"/>
      <c r="AB24" s="45"/>
      <c r="AC24" s="46"/>
      <c r="AD24" s="44"/>
      <c r="AE24" s="45"/>
      <c r="AF24" s="46"/>
      <c r="AG24" s="45"/>
      <c r="AH24" s="45"/>
      <c r="AI24" s="45"/>
      <c r="AJ24" s="47"/>
      <c r="AK24" s="48"/>
      <c r="AL24" s="49"/>
      <c r="AM24" s="45"/>
      <c r="AN24" s="45"/>
      <c r="AO24" s="45"/>
      <c r="AP24" s="44"/>
      <c r="AQ24" s="45"/>
      <c r="AR24" s="46"/>
      <c r="AS24" s="45"/>
      <c r="AT24" s="45"/>
      <c r="AU24" s="45"/>
      <c r="AV24" s="44"/>
      <c r="AW24" s="45"/>
      <c r="AX24" s="46"/>
      <c r="AY24" s="44"/>
      <c r="AZ24" s="45"/>
      <c r="BA24" s="46"/>
      <c r="BB24" s="44"/>
      <c r="BC24" s="50"/>
      <c r="BD24" s="51"/>
      <c r="BE24" s="45"/>
      <c r="BF24" s="50"/>
      <c r="BG24" s="50"/>
      <c r="BH24" s="44"/>
      <c r="BI24" s="45"/>
      <c r="BJ24" s="46"/>
      <c r="BK24" s="45"/>
      <c r="BL24" s="45"/>
      <c r="BM24" s="45"/>
      <c r="BN24" s="52"/>
      <c r="BO24" s="50"/>
      <c r="BP24" s="51"/>
      <c r="BQ24" s="45"/>
      <c r="BR24" s="45"/>
      <c r="BS24" s="45"/>
      <c r="BT24" s="44"/>
      <c r="BU24" s="45"/>
      <c r="BV24" s="46"/>
      <c r="BW24" s="44"/>
      <c r="BX24" s="50"/>
      <c r="BY24" s="51"/>
      <c r="BZ24" s="44"/>
      <c r="CA24" s="45"/>
      <c r="CB24" s="46"/>
      <c r="CC24" s="44"/>
      <c r="CD24" s="45"/>
      <c r="CE24" s="46"/>
      <c r="CF24" s="44"/>
      <c r="CG24" s="45"/>
      <c r="CH24" s="46"/>
      <c r="CI24" s="44"/>
      <c r="CJ24" s="45"/>
      <c r="CK24" s="46"/>
      <c r="CL24" s="44"/>
    </row>
    <row r="25" spans="1:95">
      <c r="A25" s="223">
        <v>45312</v>
      </c>
      <c r="B25" s="90" t="s">
        <v>308</v>
      </c>
      <c r="C25" s="44"/>
      <c r="D25" s="45"/>
      <c r="E25" s="46"/>
      <c r="F25" s="44"/>
      <c r="G25" s="45"/>
      <c r="H25" s="46"/>
      <c r="I25" s="44"/>
      <c r="J25" s="45"/>
      <c r="K25" s="46"/>
      <c r="L25" s="45"/>
      <c r="M25" s="45"/>
      <c r="N25" s="45"/>
      <c r="O25" s="44"/>
      <c r="P25" s="45"/>
      <c r="Q25" s="46"/>
      <c r="R25" s="45"/>
      <c r="S25" s="45"/>
      <c r="T25" s="45"/>
      <c r="U25" s="44"/>
      <c r="V25" s="45"/>
      <c r="W25" s="46"/>
      <c r="X25" s="44"/>
      <c r="Y25" s="45"/>
      <c r="Z25" s="46"/>
      <c r="AA25" s="44"/>
      <c r="AB25" s="45"/>
      <c r="AC25" s="46"/>
      <c r="AD25" s="44"/>
      <c r="AE25" s="45"/>
      <c r="AF25" s="46"/>
      <c r="AG25" s="45"/>
      <c r="AH25" s="45"/>
      <c r="AI25" s="45"/>
      <c r="AJ25" s="47"/>
      <c r="AK25" s="48"/>
      <c r="AL25" s="49"/>
      <c r="AM25" s="45"/>
      <c r="AN25" s="45"/>
      <c r="AO25" s="45"/>
      <c r="AP25" s="44"/>
      <c r="AQ25" s="45"/>
      <c r="AR25" s="46"/>
      <c r="AS25" s="45"/>
      <c r="AT25" s="45"/>
      <c r="AU25" s="45"/>
      <c r="AV25" s="44"/>
      <c r="AW25" s="45"/>
      <c r="AX25" s="46"/>
      <c r="AY25" s="44"/>
      <c r="AZ25" s="45"/>
      <c r="BA25" s="46"/>
      <c r="BB25" s="44"/>
      <c r="BC25" s="50"/>
      <c r="BD25" s="51"/>
      <c r="BE25" s="45"/>
      <c r="BF25" s="50"/>
      <c r="BG25" s="50"/>
      <c r="BH25" s="44"/>
      <c r="BI25" s="45"/>
      <c r="BJ25" s="46"/>
      <c r="BK25" s="45"/>
      <c r="BL25" s="45"/>
      <c r="BM25" s="45"/>
      <c r="BN25" s="52"/>
      <c r="BO25" s="50"/>
      <c r="BP25" s="51"/>
      <c r="BQ25" s="45"/>
      <c r="BR25" s="45"/>
      <c r="BS25" s="45"/>
      <c r="BT25" s="44"/>
      <c r="BU25" s="45"/>
      <c r="BV25" s="46"/>
      <c r="BW25" s="44"/>
      <c r="BX25" s="50"/>
      <c r="BY25" s="51"/>
      <c r="BZ25" s="44"/>
      <c r="CA25" s="45"/>
      <c r="CB25" s="46"/>
      <c r="CC25" s="44"/>
      <c r="CD25" s="45"/>
      <c r="CE25" s="46"/>
      <c r="CF25" s="44"/>
      <c r="CG25" s="45"/>
      <c r="CH25" s="46"/>
      <c r="CI25" s="44"/>
      <c r="CJ25" s="45"/>
      <c r="CK25" s="46"/>
      <c r="CL25" s="44"/>
    </row>
    <row r="26" spans="1:95">
      <c r="A26" s="223">
        <v>45313</v>
      </c>
      <c r="B26" s="90" t="s">
        <v>96</v>
      </c>
      <c r="C26" s="44">
        <v>149.19999999999999</v>
      </c>
      <c r="D26" s="45">
        <v>147.19999999999999</v>
      </c>
      <c r="E26" s="46">
        <v>148.19999999999999</v>
      </c>
      <c r="F26" s="44">
        <v>163.02000000000001</v>
      </c>
      <c r="G26" s="45">
        <v>160.02000000000001</v>
      </c>
      <c r="H26" s="46">
        <v>161.52000000000001</v>
      </c>
      <c r="I26" s="44">
        <v>111.95</v>
      </c>
      <c r="J26" s="45">
        <v>108.75</v>
      </c>
      <c r="K26" s="46">
        <v>110.35</v>
      </c>
      <c r="L26" s="45">
        <v>192.35</v>
      </c>
      <c r="M26" s="45">
        <v>184.35</v>
      </c>
      <c r="N26" s="45">
        <v>188.35</v>
      </c>
      <c r="O26" s="44">
        <v>171.58</v>
      </c>
      <c r="P26" s="45">
        <v>169.78</v>
      </c>
      <c r="Q26" s="46">
        <v>170.68</v>
      </c>
      <c r="R26" s="45">
        <v>21.95</v>
      </c>
      <c r="S26" s="45">
        <v>21.349999999999998</v>
      </c>
      <c r="T26" s="45">
        <v>21.65</v>
      </c>
      <c r="U26" s="44">
        <v>14.44</v>
      </c>
      <c r="V26" s="45">
        <v>13.84</v>
      </c>
      <c r="W26" s="46">
        <v>14.14</v>
      </c>
      <c r="X26" s="44">
        <v>14.56</v>
      </c>
      <c r="Y26" s="45">
        <v>13.76</v>
      </c>
      <c r="Z26" s="46">
        <v>14.16</v>
      </c>
      <c r="AA26" s="44">
        <v>99.86</v>
      </c>
      <c r="AB26" s="45">
        <v>95.86</v>
      </c>
      <c r="AC26" s="46">
        <v>97.86</v>
      </c>
      <c r="AD26" s="44">
        <v>92.79</v>
      </c>
      <c r="AE26" s="45">
        <v>88.79</v>
      </c>
      <c r="AF26" s="46">
        <v>90.79</v>
      </c>
      <c r="AG26" s="45">
        <v>19.38</v>
      </c>
      <c r="AH26" s="45">
        <v>18.52</v>
      </c>
      <c r="AI26" s="45">
        <v>18.95</v>
      </c>
      <c r="AJ26" s="47"/>
      <c r="AK26" s="48"/>
      <c r="AL26" s="49"/>
      <c r="AM26" s="45">
        <v>111.47</v>
      </c>
      <c r="AN26" s="45">
        <v>109.81</v>
      </c>
      <c r="AO26" s="45">
        <v>110.64</v>
      </c>
      <c r="AP26" s="44">
        <v>40.369999999999997</v>
      </c>
      <c r="AQ26" s="45">
        <v>38.769999999999996</v>
      </c>
      <c r="AR26" s="46">
        <v>39.569999999999993</v>
      </c>
      <c r="AS26" s="45">
        <v>41.09</v>
      </c>
      <c r="AT26" s="45">
        <v>39.730000000000004</v>
      </c>
      <c r="AU26" s="45">
        <v>40.410000000000004</v>
      </c>
      <c r="AV26" s="44">
        <v>20.89</v>
      </c>
      <c r="AW26" s="45">
        <v>20.29</v>
      </c>
      <c r="AX26" s="46">
        <v>20.59</v>
      </c>
      <c r="AY26" s="44">
        <v>4.26</v>
      </c>
      <c r="AZ26" s="45">
        <v>4.0999999999999996</v>
      </c>
      <c r="BA26" s="46">
        <v>4.18</v>
      </c>
      <c r="BB26" s="44">
        <v>1.94</v>
      </c>
      <c r="BC26" s="50">
        <v>1.64</v>
      </c>
      <c r="BD26" s="51">
        <v>1.79</v>
      </c>
      <c r="BE26" s="45">
        <v>0.69</v>
      </c>
      <c r="BF26" s="50">
        <v>0.38999999999999996</v>
      </c>
      <c r="BG26" s="50">
        <v>0.53999999999999992</v>
      </c>
      <c r="BH26" s="44">
        <v>490.42</v>
      </c>
      <c r="BI26" s="45">
        <v>474.42</v>
      </c>
      <c r="BJ26" s="46">
        <v>482.42</v>
      </c>
      <c r="BK26" s="45">
        <v>41.41</v>
      </c>
      <c r="BL26" s="45">
        <v>40.049999999999997</v>
      </c>
      <c r="BM26" s="45">
        <v>40.729999999999997</v>
      </c>
      <c r="BN26" s="52">
        <v>1.07</v>
      </c>
      <c r="BO26" s="50">
        <v>0.83000000000000007</v>
      </c>
      <c r="BP26" s="51">
        <v>0.95000000000000007</v>
      </c>
      <c r="BQ26" s="45">
        <v>9.67</v>
      </c>
      <c r="BR26" s="45">
        <v>7.67</v>
      </c>
      <c r="BS26" s="45">
        <v>8.67</v>
      </c>
      <c r="BT26" s="44">
        <v>11.31</v>
      </c>
      <c r="BU26" s="45">
        <v>10.91</v>
      </c>
      <c r="BV26" s="46">
        <v>11.11</v>
      </c>
      <c r="BW26" s="44">
        <v>2.81</v>
      </c>
      <c r="BX26" s="50">
        <v>2.5300000000000002</v>
      </c>
      <c r="BY26" s="51">
        <v>2.67</v>
      </c>
      <c r="BZ26" s="44">
        <v>9.2899999999999991</v>
      </c>
      <c r="CA26" s="45">
        <v>6.2899999999999991</v>
      </c>
      <c r="CB26" s="46">
        <v>7.7899999999999991</v>
      </c>
      <c r="CC26" s="44">
        <v>6.64</v>
      </c>
      <c r="CD26" s="45">
        <v>6.3999999999999995</v>
      </c>
      <c r="CE26" s="46">
        <v>6.52</v>
      </c>
      <c r="CF26" s="44">
        <v>1.93</v>
      </c>
      <c r="CG26" s="45">
        <v>1.43</v>
      </c>
      <c r="CH26" s="46">
        <v>1.68</v>
      </c>
      <c r="CI26" s="44">
        <v>0.44</v>
      </c>
      <c r="CJ26" s="45">
        <v>0.4</v>
      </c>
      <c r="CK26" s="46">
        <v>0.42000000000000004</v>
      </c>
      <c r="CL26" s="44">
        <v>38.32</v>
      </c>
      <c r="CM26">
        <v>35.92</v>
      </c>
      <c r="CN26">
        <v>37.120000000000005</v>
      </c>
      <c r="CO26">
        <v>7.41</v>
      </c>
      <c r="CP26">
        <v>2.41</v>
      </c>
      <c r="CQ26">
        <v>4.91</v>
      </c>
    </row>
    <row r="27" spans="1:95">
      <c r="A27" s="223">
        <v>45314</v>
      </c>
      <c r="B27" s="90" t="s">
        <v>97</v>
      </c>
      <c r="C27" s="45">
        <v>149.15</v>
      </c>
      <c r="D27" s="45">
        <v>147.15</v>
      </c>
      <c r="E27" s="45">
        <v>148.15</v>
      </c>
      <c r="F27" s="44">
        <v>162.72999999999999</v>
      </c>
      <c r="G27" s="45">
        <v>159.72999999999999</v>
      </c>
      <c r="H27" s="46">
        <v>161.22999999999999</v>
      </c>
      <c r="I27" s="45">
        <v>111.56</v>
      </c>
      <c r="J27" s="45">
        <v>108.36</v>
      </c>
      <c r="K27" s="45">
        <v>109.96000000000001</v>
      </c>
      <c r="L27" s="44">
        <v>192.33</v>
      </c>
      <c r="M27" s="45">
        <v>184.33</v>
      </c>
      <c r="N27" s="46">
        <v>188.33</v>
      </c>
      <c r="O27" s="45">
        <v>171.42</v>
      </c>
      <c r="P27" s="45">
        <v>169.61999999999998</v>
      </c>
      <c r="Q27" s="45">
        <v>170.51999999999998</v>
      </c>
      <c r="R27" s="44">
        <v>21.92</v>
      </c>
      <c r="S27" s="45">
        <v>21.32</v>
      </c>
      <c r="T27" s="46">
        <v>21.62</v>
      </c>
      <c r="U27" s="44">
        <v>14.38</v>
      </c>
      <c r="V27" s="45">
        <v>13.780000000000001</v>
      </c>
      <c r="W27" s="46">
        <v>14.080000000000002</v>
      </c>
      <c r="X27" s="44">
        <v>14.57</v>
      </c>
      <c r="Y27" s="45">
        <v>13.77</v>
      </c>
      <c r="Z27" s="46">
        <v>14.17</v>
      </c>
      <c r="AA27" s="44">
        <v>99.51</v>
      </c>
      <c r="AB27" s="45">
        <v>95.51</v>
      </c>
      <c r="AC27" s="46">
        <v>97.51</v>
      </c>
      <c r="AD27" s="45">
        <v>92.1</v>
      </c>
      <c r="AE27" s="45">
        <v>88.1</v>
      </c>
      <c r="AF27" s="45">
        <v>90.1</v>
      </c>
      <c r="AG27" s="44">
        <v>19.38</v>
      </c>
      <c r="AH27" s="45">
        <v>18.52</v>
      </c>
      <c r="AI27" s="46">
        <v>18.95</v>
      </c>
      <c r="AJ27" s="47"/>
      <c r="AK27" s="48"/>
      <c r="AL27" s="49"/>
      <c r="AM27" s="44">
        <v>111.27</v>
      </c>
      <c r="AN27" s="45">
        <v>109.61</v>
      </c>
      <c r="AO27" s="46">
        <v>110.44</v>
      </c>
      <c r="AP27" s="44">
        <v>40.36</v>
      </c>
      <c r="AQ27" s="45">
        <v>38.76</v>
      </c>
      <c r="AR27" s="46">
        <v>39.56</v>
      </c>
      <c r="AS27" s="45">
        <v>41.08</v>
      </c>
      <c r="AT27" s="45">
        <v>39.72</v>
      </c>
      <c r="AU27" s="45">
        <v>40.4</v>
      </c>
      <c r="AV27" s="44">
        <v>20.9</v>
      </c>
      <c r="AW27" s="45">
        <v>20.299999999999997</v>
      </c>
      <c r="AX27" s="46">
        <v>20.599999999999998</v>
      </c>
      <c r="AY27" s="44">
        <v>4.25</v>
      </c>
      <c r="AZ27" s="45">
        <v>4.09</v>
      </c>
      <c r="BA27" s="46">
        <v>4.17</v>
      </c>
      <c r="BB27" s="44">
        <v>1.94</v>
      </c>
      <c r="BC27" s="50">
        <v>1.64</v>
      </c>
      <c r="BD27" s="51">
        <v>1.79</v>
      </c>
      <c r="BE27" s="44">
        <v>0.68</v>
      </c>
      <c r="BF27" s="50">
        <v>0.38000000000000006</v>
      </c>
      <c r="BG27" s="51">
        <v>0.53</v>
      </c>
      <c r="BH27" s="44">
        <v>490.26</v>
      </c>
      <c r="BI27" s="45">
        <v>474.26</v>
      </c>
      <c r="BJ27" s="46">
        <v>482.26</v>
      </c>
      <c r="BK27" s="45">
        <v>41.38</v>
      </c>
      <c r="BL27" s="45">
        <v>40.020000000000003</v>
      </c>
      <c r="BM27" s="45">
        <v>40.700000000000003</v>
      </c>
      <c r="BN27" s="52">
        <v>1.07</v>
      </c>
      <c r="BO27" s="50">
        <v>0.83000000000000007</v>
      </c>
      <c r="BP27" s="51">
        <v>0.95000000000000007</v>
      </c>
      <c r="BQ27" s="45">
        <v>9.6300000000000008</v>
      </c>
      <c r="BR27" s="45">
        <v>7.6300000000000008</v>
      </c>
      <c r="BS27" s="45">
        <v>8.6300000000000008</v>
      </c>
      <c r="BT27" s="44">
        <v>11.29</v>
      </c>
      <c r="BU27" s="45">
        <v>10.889999999999999</v>
      </c>
      <c r="BV27" s="46">
        <v>11.09</v>
      </c>
      <c r="BW27" s="44">
        <v>2.79</v>
      </c>
      <c r="BX27" s="50">
        <v>2.5099999999999998</v>
      </c>
      <c r="BY27" s="51">
        <v>2.65</v>
      </c>
      <c r="BZ27" s="44">
        <v>9.2100000000000009</v>
      </c>
      <c r="CA27" s="45">
        <v>6.2100000000000009</v>
      </c>
      <c r="CB27" s="46">
        <v>7.7100000000000009</v>
      </c>
      <c r="CC27" s="44">
        <v>6.63</v>
      </c>
      <c r="CD27" s="45">
        <v>6.39</v>
      </c>
      <c r="CE27" s="46">
        <v>6.51</v>
      </c>
      <c r="CF27" s="45">
        <v>1.93</v>
      </c>
      <c r="CG27" s="45">
        <v>1.43</v>
      </c>
      <c r="CH27" s="45">
        <v>1.68</v>
      </c>
      <c r="CI27" s="44">
        <v>0.44</v>
      </c>
      <c r="CJ27" s="45">
        <v>0.4</v>
      </c>
      <c r="CK27" s="46">
        <v>0.42000000000000004</v>
      </c>
      <c r="CL27" s="44">
        <v>38.18</v>
      </c>
      <c r="CM27">
        <v>35.78</v>
      </c>
      <c r="CN27">
        <v>36.980000000000004</v>
      </c>
      <c r="CO27">
        <v>7.4</v>
      </c>
      <c r="CP27">
        <v>2.4000000000000004</v>
      </c>
      <c r="CQ27">
        <v>4.9000000000000004</v>
      </c>
    </row>
    <row r="28" spans="1:95">
      <c r="A28" s="223">
        <v>45315</v>
      </c>
      <c r="B28" s="90" t="s">
        <v>98</v>
      </c>
      <c r="C28" s="44">
        <v>149.16999999999999</v>
      </c>
      <c r="D28" s="45">
        <v>147.16999999999999</v>
      </c>
      <c r="E28" s="46">
        <v>148.16999999999999</v>
      </c>
      <c r="F28" s="44">
        <v>162.4</v>
      </c>
      <c r="G28" s="45">
        <v>159.4</v>
      </c>
      <c r="H28" s="46">
        <v>160.9</v>
      </c>
      <c r="I28" s="44">
        <v>111.66</v>
      </c>
      <c r="J28" s="45">
        <v>108.46</v>
      </c>
      <c r="K28" s="46">
        <v>110.06</v>
      </c>
      <c r="L28" s="45">
        <v>192.18</v>
      </c>
      <c r="M28" s="45">
        <v>184.18</v>
      </c>
      <c r="N28" s="45">
        <v>188.18</v>
      </c>
      <c r="O28" s="44">
        <v>171.27</v>
      </c>
      <c r="P28" s="45">
        <v>169.47</v>
      </c>
      <c r="Q28" s="46">
        <v>170.37</v>
      </c>
      <c r="R28" s="45">
        <v>21.88</v>
      </c>
      <c r="S28" s="45">
        <v>21.279999999999998</v>
      </c>
      <c r="T28" s="45">
        <v>21.58</v>
      </c>
      <c r="U28" s="44">
        <v>14.41</v>
      </c>
      <c r="V28" s="45">
        <v>13.81</v>
      </c>
      <c r="W28" s="46">
        <v>14.11</v>
      </c>
      <c r="X28" s="44">
        <v>14.53</v>
      </c>
      <c r="Y28" s="45">
        <v>13.729999999999999</v>
      </c>
      <c r="Z28" s="46">
        <v>14.129999999999999</v>
      </c>
      <c r="AA28" s="44">
        <v>99.47</v>
      </c>
      <c r="AB28" s="45">
        <v>95.47</v>
      </c>
      <c r="AC28" s="46">
        <v>97.47</v>
      </c>
      <c r="AD28" s="44">
        <v>92.37</v>
      </c>
      <c r="AE28" s="45">
        <v>88.37</v>
      </c>
      <c r="AF28" s="46">
        <v>90.37</v>
      </c>
      <c r="AG28" s="45">
        <v>19.37</v>
      </c>
      <c r="AH28" s="45">
        <v>18.510000000000002</v>
      </c>
      <c r="AI28" s="45">
        <v>18.940000000000001</v>
      </c>
      <c r="AJ28" s="47"/>
      <c r="AK28" s="48"/>
      <c r="AL28" s="49"/>
      <c r="AM28" s="45">
        <v>111.34</v>
      </c>
      <c r="AN28" s="45">
        <v>109.68</v>
      </c>
      <c r="AO28" s="45">
        <v>110.51</v>
      </c>
      <c r="AP28" s="44">
        <v>40.4</v>
      </c>
      <c r="AQ28" s="45">
        <v>38.799999999999997</v>
      </c>
      <c r="AR28" s="46">
        <v>39.599999999999994</v>
      </c>
      <c r="AS28" s="45">
        <v>41.09</v>
      </c>
      <c r="AT28" s="45">
        <v>39.730000000000004</v>
      </c>
      <c r="AU28" s="45">
        <v>40.410000000000004</v>
      </c>
      <c r="AV28" s="44">
        <v>20.98</v>
      </c>
      <c r="AW28" s="45">
        <v>20.38</v>
      </c>
      <c r="AX28" s="46">
        <v>20.68</v>
      </c>
      <c r="AY28" s="44">
        <v>4.22</v>
      </c>
      <c r="AZ28" s="45">
        <v>4.0599999999999996</v>
      </c>
      <c r="BA28" s="46">
        <v>4.1399999999999997</v>
      </c>
      <c r="BB28" s="44">
        <v>1.94</v>
      </c>
      <c r="BC28" s="50">
        <v>1.64</v>
      </c>
      <c r="BD28" s="51">
        <v>1.79</v>
      </c>
      <c r="BE28" s="45">
        <v>0.68</v>
      </c>
      <c r="BF28" s="50">
        <v>0.38000000000000006</v>
      </c>
      <c r="BG28" s="50">
        <v>0.53</v>
      </c>
      <c r="BH28" s="44">
        <v>490.48</v>
      </c>
      <c r="BI28" s="45">
        <v>474.48</v>
      </c>
      <c r="BJ28" s="46">
        <v>482.48</v>
      </c>
      <c r="BK28" s="45">
        <v>41.41</v>
      </c>
      <c r="BL28" s="45">
        <v>40.049999999999997</v>
      </c>
      <c r="BM28" s="45">
        <v>40.729999999999997</v>
      </c>
      <c r="BN28" s="52">
        <v>1.07</v>
      </c>
      <c r="BO28" s="50">
        <v>0.83000000000000007</v>
      </c>
      <c r="BP28" s="51">
        <v>0.95000000000000007</v>
      </c>
      <c r="BQ28" s="45">
        <v>9.56</v>
      </c>
      <c r="BR28" s="45">
        <v>7.5600000000000005</v>
      </c>
      <c r="BS28" s="45">
        <v>8.56</v>
      </c>
      <c r="BT28" s="44">
        <v>11.28</v>
      </c>
      <c r="BU28" s="45">
        <v>10.879999999999999</v>
      </c>
      <c r="BV28" s="46">
        <v>11.079999999999998</v>
      </c>
      <c r="BW28" s="44">
        <v>2.8</v>
      </c>
      <c r="BX28" s="50">
        <v>2.5199999999999996</v>
      </c>
      <c r="BY28" s="51">
        <v>2.6599999999999997</v>
      </c>
      <c r="BZ28" s="44">
        <v>9.2899999999999991</v>
      </c>
      <c r="CA28" s="45">
        <v>6.2899999999999991</v>
      </c>
      <c r="CB28" s="46">
        <v>7.7899999999999991</v>
      </c>
      <c r="CC28" s="44">
        <v>6.59</v>
      </c>
      <c r="CD28" s="45">
        <v>6.35</v>
      </c>
      <c r="CE28" s="46">
        <v>6.47</v>
      </c>
      <c r="CF28" s="44">
        <v>1.92</v>
      </c>
      <c r="CG28" s="45">
        <v>1.42</v>
      </c>
      <c r="CH28" s="46">
        <v>1.67</v>
      </c>
      <c r="CI28" s="44">
        <v>0.44</v>
      </c>
      <c r="CJ28" s="45">
        <v>0.4</v>
      </c>
      <c r="CK28" s="46">
        <v>0.42000000000000004</v>
      </c>
      <c r="CL28" s="44">
        <v>37.840000000000003</v>
      </c>
      <c r="CM28">
        <v>35.440000000000005</v>
      </c>
      <c r="CN28">
        <v>36.64</v>
      </c>
      <c r="CO28">
        <v>7.4</v>
      </c>
      <c r="CP28">
        <v>2.4000000000000004</v>
      </c>
      <c r="CQ28">
        <v>4.9000000000000004</v>
      </c>
    </row>
    <row r="29" spans="1:95">
      <c r="A29" s="223">
        <v>45316</v>
      </c>
      <c r="B29" s="90" t="s">
        <v>99</v>
      </c>
      <c r="C29" s="44">
        <v>148.86000000000001</v>
      </c>
      <c r="D29" s="45">
        <v>146.86000000000001</v>
      </c>
      <c r="E29" s="46">
        <v>147.86000000000001</v>
      </c>
      <c r="F29" s="44">
        <v>162.31</v>
      </c>
      <c r="G29" s="45">
        <v>159.31</v>
      </c>
      <c r="H29" s="46">
        <v>160.81</v>
      </c>
      <c r="I29" s="44">
        <v>110.9</v>
      </c>
      <c r="J29" s="45">
        <v>107.7</v>
      </c>
      <c r="K29" s="46">
        <v>109.30000000000001</v>
      </c>
      <c r="L29" s="45">
        <v>191.93</v>
      </c>
      <c r="M29" s="45">
        <v>183.93</v>
      </c>
      <c r="N29" s="45">
        <v>187.93</v>
      </c>
      <c r="O29" s="44">
        <v>171.94</v>
      </c>
      <c r="P29" s="45">
        <v>170.14</v>
      </c>
      <c r="Q29" s="46">
        <v>171.04</v>
      </c>
      <c r="R29" s="45">
        <v>21.87</v>
      </c>
      <c r="S29" s="45">
        <v>21.27</v>
      </c>
      <c r="T29" s="45">
        <v>21.57</v>
      </c>
      <c r="U29" s="44">
        <v>14.41</v>
      </c>
      <c r="V29" s="45">
        <v>13.81</v>
      </c>
      <c r="W29" s="46">
        <v>14.11</v>
      </c>
      <c r="X29" s="44">
        <v>14.55</v>
      </c>
      <c r="Y29" s="45">
        <v>13.75</v>
      </c>
      <c r="Z29" s="46">
        <v>14.15</v>
      </c>
      <c r="AA29" s="44">
        <v>99.17</v>
      </c>
      <c r="AB29" s="45">
        <v>95.17</v>
      </c>
      <c r="AC29" s="46">
        <v>97.17</v>
      </c>
      <c r="AD29" s="44">
        <v>92.33</v>
      </c>
      <c r="AE29" s="45">
        <v>88.33</v>
      </c>
      <c r="AF29" s="46">
        <v>90.33</v>
      </c>
      <c r="AG29" s="45">
        <v>19.34</v>
      </c>
      <c r="AH29" s="45">
        <v>18.48</v>
      </c>
      <c r="AI29" s="45">
        <v>18.91</v>
      </c>
      <c r="AJ29" s="47"/>
      <c r="AK29" s="48"/>
      <c r="AL29" s="49"/>
      <c r="AM29" s="45">
        <v>111.21</v>
      </c>
      <c r="AN29" s="45">
        <v>109.55</v>
      </c>
      <c r="AO29" s="45">
        <v>110.38</v>
      </c>
      <c r="AP29" s="44">
        <v>40.29</v>
      </c>
      <c r="AQ29" s="45">
        <v>38.69</v>
      </c>
      <c r="AR29" s="46">
        <v>39.489999999999995</v>
      </c>
      <c r="AS29" s="45">
        <v>41.01</v>
      </c>
      <c r="AT29" s="45">
        <v>39.65</v>
      </c>
      <c r="AU29" s="45">
        <v>40.33</v>
      </c>
      <c r="AV29" s="44">
        <v>20.96</v>
      </c>
      <c r="AW29" s="45">
        <v>20.36</v>
      </c>
      <c r="AX29" s="46">
        <v>20.66</v>
      </c>
      <c r="AY29" s="44">
        <v>4.22</v>
      </c>
      <c r="AZ29" s="45">
        <v>4.0599999999999996</v>
      </c>
      <c r="BA29" s="46">
        <v>4.1399999999999997</v>
      </c>
      <c r="BB29" s="44">
        <v>1.94</v>
      </c>
      <c r="BC29" s="50">
        <v>1.64</v>
      </c>
      <c r="BD29" s="51">
        <v>1.79</v>
      </c>
      <c r="BE29" s="45">
        <v>0.68</v>
      </c>
      <c r="BF29" s="50">
        <v>0.38000000000000006</v>
      </c>
      <c r="BG29" s="50">
        <v>0.53</v>
      </c>
      <c r="BH29" s="44">
        <v>489.47</v>
      </c>
      <c r="BI29" s="45">
        <v>473.47</v>
      </c>
      <c r="BJ29" s="46">
        <v>481.47</v>
      </c>
      <c r="BK29" s="45">
        <v>41.32</v>
      </c>
      <c r="BL29" s="45">
        <v>39.96</v>
      </c>
      <c r="BM29" s="45">
        <v>40.64</v>
      </c>
      <c r="BN29" s="52">
        <v>1.07</v>
      </c>
      <c r="BO29" s="50">
        <v>0.83000000000000007</v>
      </c>
      <c r="BP29" s="51">
        <v>0.95000000000000007</v>
      </c>
      <c r="BQ29" s="45">
        <v>9.58</v>
      </c>
      <c r="BR29" s="45">
        <v>7.58</v>
      </c>
      <c r="BS29" s="45">
        <v>8.58</v>
      </c>
      <c r="BT29" s="44">
        <v>11.3</v>
      </c>
      <c r="BU29" s="45">
        <v>10.9</v>
      </c>
      <c r="BV29" s="46">
        <v>11.100000000000001</v>
      </c>
      <c r="BW29" s="44">
        <v>2.79</v>
      </c>
      <c r="BX29" s="50">
        <v>2.5099999999999998</v>
      </c>
      <c r="BY29" s="51">
        <v>2.65</v>
      </c>
      <c r="BZ29" s="44">
        <v>9.32</v>
      </c>
      <c r="CA29" s="45">
        <v>6.32</v>
      </c>
      <c r="CB29" s="46">
        <v>7.82</v>
      </c>
      <c r="CC29" s="44">
        <v>6.59</v>
      </c>
      <c r="CD29" s="45">
        <v>6.35</v>
      </c>
      <c r="CE29" s="46">
        <v>6.47</v>
      </c>
      <c r="CF29" s="44">
        <v>1.92</v>
      </c>
      <c r="CG29" s="45">
        <v>1.42</v>
      </c>
      <c r="CH29" s="46">
        <v>1.67</v>
      </c>
      <c r="CI29" s="44">
        <v>0.44</v>
      </c>
      <c r="CJ29" s="45">
        <v>0.4</v>
      </c>
      <c r="CK29" s="46">
        <v>0.42000000000000004</v>
      </c>
      <c r="CL29" s="44">
        <v>37.96</v>
      </c>
      <c r="CM29">
        <v>35.56</v>
      </c>
      <c r="CN29">
        <v>36.760000000000005</v>
      </c>
      <c r="CO29">
        <v>7.39</v>
      </c>
      <c r="CP29">
        <v>2.3899999999999997</v>
      </c>
      <c r="CQ29">
        <v>4.8899999999999997</v>
      </c>
    </row>
    <row r="30" spans="1:95">
      <c r="A30" s="223">
        <v>45317</v>
      </c>
      <c r="B30" s="90" t="s">
        <v>100</v>
      </c>
      <c r="C30" s="44">
        <v>148.69999999999999</v>
      </c>
      <c r="D30" s="45">
        <v>146.69999999999999</v>
      </c>
      <c r="E30" s="46">
        <v>147.69999999999999</v>
      </c>
      <c r="F30" s="44">
        <v>161.66999999999999</v>
      </c>
      <c r="G30" s="45">
        <v>158.66999999999999</v>
      </c>
      <c r="H30" s="46">
        <v>160.16999999999999</v>
      </c>
      <c r="I30" s="44">
        <v>111.2</v>
      </c>
      <c r="J30" s="45">
        <v>108</v>
      </c>
      <c r="K30" s="46">
        <v>109.6</v>
      </c>
      <c r="L30" s="45">
        <v>191.62</v>
      </c>
      <c r="M30" s="45">
        <v>183.62</v>
      </c>
      <c r="N30" s="45">
        <v>187.62</v>
      </c>
      <c r="O30" s="44">
        <v>171.14</v>
      </c>
      <c r="P30" s="45">
        <v>169.33999999999997</v>
      </c>
      <c r="Q30" s="46">
        <v>170.23999999999998</v>
      </c>
      <c r="R30" s="45">
        <v>21.78</v>
      </c>
      <c r="S30" s="45">
        <v>21.18</v>
      </c>
      <c r="T30" s="45">
        <v>21.48</v>
      </c>
      <c r="U30" s="44">
        <v>14.46</v>
      </c>
      <c r="V30" s="45">
        <v>13.860000000000001</v>
      </c>
      <c r="W30" s="46">
        <v>14.16</v>
      </c>
      <c r="X30" s="44">
        <v>14.53</v>
      </c>
      <c r="Y30" s="45">
        <v>13.729999999999999</v>
      </c>
      <c r="Z30" s="46">
        <v>14.129999999999999</v>
      </c>
      <c r="AA30" s="44">
        <v>99.23</v>
      </c>
      <c r="AB30" s="45">
        <v>95.23</v>
      </c>
      <c r="AC30" s="46">
        <v>97.23</v>
      </c>
      <c r="AD30" s="44">
        <v>92.2</v>
      </c>
      <c r="AE30" s="45">
        <v>88.2</v>
      </c>
      <c r="AF30" s="46">
        <v>90.2</v>
      </c>
      <c r="AG30" s="45">
        <v>19.32</v>
      </c>
      <c r="AH30" s="45">
        <v>18.46</v>
      </c>
      <c r="AI30" s="45">
        <v>18.89</v>
      </c>
      <c r="AJ30" s="47"/>
      <c r="AK30" s="48"/>
      <c r="AL30" s="49"/>
      <c r="AM30" s="45">
        <v>111</v>
      </c>
      <c r="AN30" s="45">
        <v>109.34</v>
      </c>
      <c r="AO30" s="45">
        <v>110.17</v>
      </c>
      <c r="AP30" s="44">
        <v>40.25</v>
      </c>
      <c r="AQ30" s="45">
        <v>38.65</v>
      </c>
      <c r="AR30" s="46">
        <v>39.450000000000003</v>
      </c>
      <c r="AS30" s="45">
        <v>40.97</v>
      </c>
      <c r="AT30" s="45">
        <v>39.61</v>
      </c>
      <c r="AU30" s="45">
        <v>40.29</v>
      </c>
      <c r="AV30" s="44">
        <v>20.87</v>
      </c>
      <c r="AW30" s="45">
        <v>20.27</v>
      </c>
      <c r="AX30" s="46">
        <v>20.57</v>
      </c>
      <c r="AY30" s="44">
        <v>4.21</v>
      </c>
      <c r="AZ30" s="45">
        <v>4.05</v>
      </c>
      <c r="BA30" s="46">
        <v>4.13</v>
      </c>
      <c r="BB30" s="44">
        <v>1.94</v>
      </c>
      <c r="BC30" s="50">
        <v>1.64</v>
      </c>
      <c r="BD30" s="51">
        <v>1.79</v>
      </c>
      <c r="BE30" s="45">
        <v>0.68</v>
      </c>
      <c r="BF30" s="50">
        <v>0.38000000000000006</v>
      </c>
      <c r="BG30" s="50">
        <v>0.53</v>
      </c>
      <c r="BH30" s="44">
        <v>488.95</v>
      </c>
      <c r="BI30" s="45">
        <v>472.95</v>
      </c>
      <c r="BJ30" s="46">
        <v>480.95</v>
      </c>
      <c r="BK30" s="45">
        <v>41.27</v>
      </c>
      <c r="BL30" s="45">
        <v>39.910000000000004</v>
      </c>
      <c r="BM30" s="45">
        <v>40.590000000000003</v>
      </c>
      <c r="BN30" s="52">
        <v>1.06</v>
      </c>
      <c r="BO30" s="50">
        <v>0.82000000000000006</v>
      </c>
      <c r="BP30" s="51">
        <v>0.94000000000000006</v>
      </c>
      <c r="BQ30" s="45">
        <v>9.59</v>
      </c>
      <c r="BR30" s="45">
        <v>7.59</v>
      </c>
      <c r="BS30" s="45">
        <v>8.59</v>
      </c>
      <c r="BT30" s="44">
        <v>11.26</v>
      </c>
      <c r="BU30" s="45">
        <v>10.86</v>
      </c>
      <c r="BV30" s="46">
        <v>11.059999999999999</v>
      </c>
      <c r="BW30" s="44">
        <v>2.77</v>
      </c>
      <c r="BX30" s="50">
        <v>2.4900000000000002</v>
      </c>
      <c r="BY30" s="51">
        <v>2.63</v>
      </c>
      <c r="BZ30" s="44">
        <v>9.32</v>
      </c>
      <c r="CA30" s="45">
        <v>6.32</v>
      </c>
      <c r="CB30" s="46">
        <v>7.82</v>
      </c>
      <c r="CC30" s="44">
        <v>6.6</v>
      </c>
      <c r="CD30" s="45">
        <v>6.3599999999999994</v>
      </c>
      <c r="CE30" s="46">
        <v>6.4799999999999995</v>
      </c>
      <c r="CF30" s="44">
        <v>1.91</v>
      </c>
      <c r="CG30" s="45">
        <v>1.41</v>
      </c>
      <c r="CH30" s="46">
        <v>1.66</v>
      </c>
      <c r="CI30" s="44">
        <v>0.44</v>
      </c>
      <c r="CJ30" s="45">
        <v>0.4</v>
      </c>
      <c r="CK30" s="46">
        <v>0.42000000000000004</v>
      </c>
      <c r="CL30" s="44">
        <v>37.840000000000003</v>
      </c>
      <c r="CM30">
        <v>35.440000000000005</v>
      </c>
      <c r="CN30">
        <v>36.64</v>
      </c>
      <c r="CO30">
        <v>7.39</v>
      </c>
      <c r="CP30">
        <v>2.3899999999999997</v>
      </c>
      <c r="CQ30">
        <v>4.8899999999999997</v>
      </c>
    </row>
    <row r="31" spans="1:95">
      <c r="A31" s="223">
        <v>45318</v>
      </c>
      <c r="B31" s="90" t="s">
        <v>307</v>
      </c>
      <c r="C31" s="45"/>
      <c r="D31" s="45"/>
      <c r="E31" s="45"/>
      <c r="F31" s="44"/>
      <c r="G31" s="45"/>
      <c r="H31" s="46"/>
      <c r="I31" s="45"/>
      <c r="J31" s="45"/>
      <c r="K31" s="45"/>
      <c r="L31" s="44"/>
      <c r="M31" s="45"/>
      <c r="N31" s="46"/>
      <c r="O31" s="45"/>
      <c r="P31" s="45"/>
      <c r="Q31" s="45"/>
      <c r="R31" s="44"/>
      <c r="S31" s="45"/>
      <c r="T31" s="46"/>
      <c r="U31" s="44"/>
      <c r="V31" s="45"/>
      <c r="W31" s="46"/>
      <c r="X31" s="44"/>
      <c r="Y31" s="45"/>
      <c r="Z31" s="46"/>
      <c r="AA31" s="44"/>
      <c r="AB31" s="45"/>
      <c r="AC31" s="46"/>
      <c r="AD31" s="45"/>
      <c r="AE31" s="45"/>
      <c r="AF31" s="45"/>
      <c r="AG31" s="44"/>
      <c r="AH31" s="45"/>
      <c r="AI31" s="46"/>
      <c r="AJ31" s="47"/>
      <c r="AK31" s="48"/>
      <c r="AL31" s="49"/>
      <c r="AM31" s="44"/>
      <c r="AN31" s="45"/>
      <c r="AO31" s="46"/>
      <c r="AP31" s="44"/>
      <c r="AQ31" s="45"/>
      <c r="AR31" s="46"/>
      <c r="AS31" s="45"/>
      <c r="AT31" s="45"/>
      <c r="AU31" s="45"/>
      <c r="AV31" s="44"/>
      <c r="AW31" s="45"/>
      <c r="AX31" s="46"/>
      <c r="AY31" s="44"/>
      <c r="AZ31" s="45"/>
      <c r="BA31" s="46"/>
      <c r="BB31" s="44"/>
      <c r="BC31" s="50"/>
      <c r="BD31" s="51"/>
      <c r="BE31" s="44"/>
      <c r="BF31" s="50"/>
      <c r="BG31" s="51"/>
      <c r="BH31" s="44"/>
      <c r="BI31" s="45"/>
      <c r="BJ31" s="46"/>
      <c r="BK31" s="45"/>
      <c r="BL31" s="45"/>
      <c r="BM31" s="45"/>
      <c r="BN31" s="52"/>
      <c r="BO31" s="50"/>
      <c r="BP31" s="51"/>
      <c r="BQ31" s="45"/>
      <c r="BR31" s="45"/>
      <c r="BS31" s="45"/>
      <c r="BT31" s="44"/>
      <c r="BU31" s="45"/>
      <c r="BV31" s="46"/>
      <c r="BW31" s="44"/>
      <c r="BX31" s="50"/>
      <c r="BY31" s="51"/>
      <c r="BZ31" s="44"/>
      <c r="CA31" s="45"/>
      <c r="CB31" s="46"/>
      <c r="CC31" s="44"/>
      <c r="CD31" s="45"/>
      <c r="CE31" s="46"/>
      <c r="CF31" s="45"/>
      <c r="CG31" s="45"/>
      <c r="CH31" s="45"/>
      <c r="CI31" s="44"/>
      <c r="CJ31" s="45"/>
      <c r="CK31" s="46"/>
      <c r="CL31" s="44"/>
    </row>
    <row r="32" spans="1:95">
      <c r="A32" s="223">
        <v>45319</v>
      </c>
      <c r="B32" s="90" t="s">
        <v>308</v>
      </c>
      <c r="C32" s="44"/>
      <c r="D32" s="45"/>
      <c r="E32" s="46"/>
      <c r="F32" s="44"/>
      <c r="G32" s="45"/>
      <c r="H32" s="46"/>
      <c r="I32" s="44"/>
      <c r="J32" s="45"/>
      <c r="K32" s="46"/>
      <c r="L32" s="45"/>
      <c r="M32" s="45"/>
      <c r="N32" s="45"/>
      <c r="O32" s="44"/>
      <c r="P32" s="45"/>
      <c r="Q32" s="46"/>
      <c r="R32" s="45"/>
      <c r="S32" s="45"/>
      <c r="T32" s="45"/>
      <c r="U32" s="44"/>
      <c r="V32" s="45"/>
      <c r="W32" s="46"/>
      <c r="X32" s="44"/>
      <c r="Y32" s="45"/>
      <c r="Z32" s="46"/>
      <c r="AA32" s="44"/>
      <c r="AB32" s="45"/>
      <c r="AC32" s="46"/>
      <c r="AD32" s="44"/>
      <c r="AE32" s="45"/>
      <c r="AF32" s="46"/>
      <c r="AG32" s="45"/>
      <c r="AH32" s="45"/>
      <c r="AI32" s="45"/>
      <c r="AJ32" s="47"/>
      <c r="AK32" s="48"/>
      <c r="AL32" s="49"/>
      <c r="AM32" s="45"/>
      <c r="AN32" s="45"/>
      <c r="AO32" s="45"/>
      <c r="AP32" s="44"/>
      <c r="AQ32" s="45"/>
      <c r="AR32" s="46"/>
      <c r="AS32" s="45"/>
      <c r="AT32" s="45"/>
      <c r="AU32" s="45"/>
      <c r="AV32" s="44"/>
      <c r="AW32" s="45"/>
      <c r="AX32" s="46"/>
      <c r="AY32" s="44"/>
      <c r="AZ32" s="45"/>
      <c r="BA32" s="46"/>
      <c r="BB32" s="44"/>
      <c r="BC32" s="50"/>
      <c r="BD32" s="51"/>
      <c r="BE32" s="45"/>
      <c r="BF32" s="50"/>
      <c r="BG32" s="50"/>
      <c r="BH32" s="44"/>
      <c r="BI32" s="45"/>
      <c r="BJ32" s="46"/>
      <c r="BK32" s="45"/>
      <c r="BL32" s="45"/>
      <c r="BM32" s="45"/>
      <c r="BN32" s="52"/>
      <c r="BO32" s="50"/>
      <c r="BP32" s="51"/>
      <c r="BQ32" s="45"/>
      <c r="BR32" s="45"/>
      <c r="BS32" s="45"/>
      <c r="BT32" s="44"/>
      <c r="BU32" s="45"/>
      <c r="BV32" s="46"/>
      <c r="BW32" s="44"/>
      <c r="BX32" s="50"/>
      <c r="BY32" s="51"/>
      <c r="BZ32" s="44"/>
      <c r="CA32" s="45"/>
      <c r="CB32" s="46"/>
      <c r="CC32" s="44"/>
      <c r="CD32" s="45"/>
      <c r="CE32" s="46"/>
      <c r="CF32" s="44"/>
      <c r="CG32" s="45"/>
      <c r="CH32" s="46"/>
      <c r="CI32" s="44"/>
      <c r="CJ32" s="45"/>
      <c r="CK32" s="46"/>
      <c r="CL32" s="44"/>
    </row>
    <row r="33" spans="1:95">
      <c r="A33" s="223">
        <v>45320</v>
      </c>
      <c r="B33" s="90" t="s">
        <v>96</v>
      </c>
      <c r="C33" s="44">
        <v>149.25</v>
      </c>
      <c r="D33" s="45">
        <v>147.25</v>
      </c>
      <c r="E33" s="46">
        <v>148.25</v>
      </c>
      <c r="F33" s="44">
        <v>162.22999999999999</v>
      </c>
      <c r="G33" s="45">
        <v>159.22999999999999</v>
      </c>
      <c r="H33" s="46">
        <v>160.72999999999999</v>
      </c>
      <c r="I33" s="44">
        <v>111.75</v>
      </c>
      <c r="J33" s="45">
        <v>108.55</v>
      </c>
      <c r="K33" s="46">
        <v>110.15</v>
      </c>
      <c r="L33" s="45">
        <v>192.11</v>
      </c>
      <c r="M33" s="45">
        <v>184.11</v>
      </c>
      <c r="N33" s="45">
        <v>188.11</v>
      </c>
      <c r="O33" s="44">
        <v>172.49</v>
      </c>
      <c r="P33" s="45">
        <v>170.69</v>
      </c>
      <c r="Q33" s="46">
        <v>171.59</v>
      </c>
      <c r="R33" s="45">
        <v>21.86</v>
      </c>
      <c r="S33" s="45">
        <v>21.259999999999998</v>
      </c>
      <c r="T33" s="45">
        <v>21.56</v>
      </c>
      <c r="U33" s="44">
        <v>14.51</v>
      </c>
      <c r="V33" s="45">
        <v>13.91</v>
      </c>
      <c r="W33" s="46">
        <v>14.21</v>
      </c>
      <c r="X33" s="44">
        <v>14.57</v>
      </c>
      <c r="Y33" s="45">
        <v>13.77</v>
      </c>
      <c r="Z33" s="46">
        <v>14.17</v>
      </c>
      <c r="AA33" s="44">
        <v>99.49</v>
      </c>
      <c r="AB33" s="45">
        <v>95.49</v>
      </c>
      <c r="AC33" s="46">
        <v>97.49</v>
      </c>
      <c r="AD33" s="44">
        <v>92.37</v>
      </c>
      <c r="AE33" s="45">
        <v>88.37</v>
      </c>
      <c r="AF33" s="46">
        <v>90.37</v>
      </c>
      <c r="AG33" s="45">
        <v>19.399999999999999</v>
      </c>
      <c r="AH33" s="45">
        <v>18.54</v>
      </c>
      <c r="AI33" s="45">
        <v>18.97</v>
      </c>
      <c r="AJ33" s="47"/>
      <c r="AK33" s="48"/>
      <c r="AL33" s="49"/>
      <c r="AM33" s="45">
        <v>111.23</v>
      </c>
      <c r="AN33" s="45">
        <v>109.57000000000001</v>
      </c>
      <c r="AO33" s="45">
        <v>110.4</v>
      </c>
      <c r="AP33" s="44">
        <v>40.29</v>
      </c>
      <c r="AQ33" s="45">
        <v>38.69</v>
      </c>
      <c r="AR33" s="46">
        <v>39.489999999999995</v>
      </c>
      <c r="AS33" s="45">
        <v>41.11</v>
      </c>
      <c r="AT33" s="45">
        <v>39.75</v>
      </c>
      <c r="AU33" s="45">
        <v>40.43</v>
      </c>
      <c r="AV33" s="44">
        <v>20.91</v>
      </c>
      <c r="AW33" s="45">
        <v>20.309999999999999</v>
      </c>
      <c r="AX33" s="46">
        <v>20.61</v>
      </c>
      <c r="AY33" s="44">
        <v>4.24</v>
      </c>
      <c r="AZ33" s="45">
        <v>4.08</v>
      </c>
      <c r="BA33" s="46">
        <v>4.16</v>
      </c>
      <c r="BB33" s="44">
        <v>1.94</v>
      </c>
      <c r="BC33" s="50">
        <v>1.64</v>
      </c>
      <c r="BD33" s="51">
        <v>1.79</v>
      </c>
      <c r="BE33" s="45">
        <v>0.68</v>
      </c>
      <c r="BF33" s="50">
        <v>0.38000000000000006</v>
      </c>
      <c r="BG33" s="50">
        <v>0.53</v>
      </c>
      <c r="BH33" s="44">
        <v>490.9</v>
      </c>
      <c r="BI33" s="45">
        <v>474.9</v>
      </c>
      <c r="BJ33" s="46">
        <v>482.9</v>
      </c>
      <c r="BK33" s="45">
        <v>41.43</v>
      </c>
      <c r="BL33" s="45">
        <v>40.07</v>
      </c>
      <c r="BM33" s="45">
        <v>40.75</v>
      </c>
      <c r="BN33" s="52">
        <v>1.06</v>
      </c>
      <c r="BO33" s="50">
        <v>0.82000000000000006</v>
      </c>
      <c r="BP33" s="51">
        <v>0.94000000000000006</v>
      </c>
      <c r="BQ33" s="45">
        <v>9.6300000000000008</v>
      </c>
      <c r="BR33" s="45">
        <v>7.6300000000000008</v>
      </c>
      <c r="BS33" s="45">
        <v>8.6300000000000008</v>
      </c>
      <c r="BT33" s="44">
        <v>11.3</v>
      </c>
      <c r="BU33" s="45">
        <v>10.9</v>
      </c>
      <c r="BV33" s="46">
        <v>11.100000000000001</v>
      </c>
      <c r="BW33" s="44">
        <v>2.79</v>
      </c>
      <c r="BX33" s="50">
        <v>2.5099999999999998</v>
      </c>
      <c r="BY33" s="51">
        <v>2.65</v>
      </c>
      <c r="BZ33" s="44">
        <v>9.3800000000000008</v>
      </c>
      <c r="CA33" s="45">
        <v>6.3800000000000008</v>
      </c>
      <c r="CB33" s="46">
        <v>7.8800000000000008</v>
      </c>
      <c r="CC33" s="44">
        <v>6.62</v>
      </c>
      <c r="CD33" s="45">
        <v>6.38</v>
      </c>
      <c r="CE33" s="46">
        <v>6.5</v>
      </c>
      <c r="CF33" s="44">
        <v>1.9</v>
      </c>
      <c r="CG33" s="45">
        <v>1.4</v>
      </c>
      <c r="CH33" s="46">
        <v>1.65</v>
      </c>
      <c r="CI33" s="44">
        <v>0.43</v>
      </c>
      <c r="CJ33" s="45">
        <v>0.39</v>
      </c>
      <c r="CK33" s="46">
        <v>0.41000000000000003</v>
      </c>
      <c r="CL33" s="44">
        <v>38.01</v>
      </c>
      <c r="CM33">
        <v>35.61</v>
      </c>
      <c r="CN33">
        <v>36.81</v>
      </c>
      <c r="CO33">
        <v>7.39</v>
      </c>
      <c r="CP33">
        <v>2.3899999999999997</v>
      </c>
      <c r="CQ33">
        <v>4.8899999999999997</v>
      </c>
    </row>
    <row r="34" spans="1:95">
      <c r="A34" s="223">
        <v>45321</v>
      </c>
      <c r="B34" s="90" t="s">
        <v>97</v>
      </c>
      <c r="C34" s="44">
        <v>148.38</v>
      </c>
      <c r="D34" s="45">
        <v>146.38</v>
      </c>
      <c r="E34" s="46">
        <v>147.38</v>
      </c>
      <c r="F34" s="44">
        <v>161.30000000000001</v>
      </c>
      <c r="G34" s="45">
        <v>158.30000000000001</v>
      </c>
      <c r="H34" s="46">
        <v>159.80000000000001</v>
      </c>
      <c r="I34" s="44">
        <v>111.57</v>
      </c>
      <c r="J34" s="45">
        <v>108.36999999999999</v>
      </c>
      <c r="K34" s="46">
        <v>109.97</v>
      </c>
      <c r="L34" s="45">
        <v>191.45</v>
      </c>
      <c r="M34" s="45">
        <v>183.45</v>
      </c>
      <c r="N34" s="45">
        <v>187.45</v>
      </c>
      <c r="O34" s="44">
        <v>172.01</v>
      </c>
      <c r="P34" s="45">
        <v>170.20999999999998</v>
      </c>
      <c r="Q34" s="46">
        <v>171.10999999999999</v>
      </c>
      <c r="R34" s="45">
        <v>21.74</v>
      </c>
      <c r="S34" s="45">
        <v>21.139999999999997</v>
      </c>
      <c r="T34" s="45">
        <v>21.439999999999998</v>
      </c>
      <c r="U34" s="44">
        <v>14.46</v>
      </c>
      <c r="V34" s="45">
        <v>13.860000000000001</v>
      </c>
      <c r="W34" s="46">
        <v>14.16</v>
      </c>
      <c r="X34" s="44">
        <v>14.58</v>
      </c>
      <c r="Y34" s="45">
        <v>13.78</v>
      </c>
      <c r="Z34" s="46">
        <v>14.18</v>
      </c>
      <c r="AA34" s="44">
        <v>99.61</v>
      </c>
      <c r="AB34" s="45">
        <v>95.61</v>
      </c>
      <c r="AC34" s="46">
        <v>97.61</v>
      </c>
      <c r="AD34" s="44">
        <v>92.54</v>
      </c>
      <c r="AE34" s="45">
        <v>88.54</v>
      </c>
      <c r="AF34" s="46">
        <v>90.54</v>
      </c>
      <c r="AG34" s="45">
        <v>19.29</v>
      </c>
      <c r="AH34" s="45">
        <v>18.43</v>
      </c>
      <c r="AI34" s="45">
        <v>18.86</v>
      </c>
      <c r="AJ34" s="47"/>
      <c r="AK34" s="48"/>
      <c r="AL34" s="49"/>
      <c r="AM34" s="45">
        <v>110.91</v>
      </c>
      <c r="AN34" s="45">
        <v>109.25</v>
      </c>
      <c r="AO34" s="45">
        <v>110.08</v>
      </c>
      <c r="AP34" s="44">
        <v>40.159999999999997</v>
      </c>
      <c r="AQ34" s="45">
        <v>38.559999999999995</v>
      </c>
      <c r="AR34" s="46">
        <v>39.36</v>
      </c>
      <c r="AS34" s="45">
        <v>40.869999999999997</v>
      </c>
      <c r="AT34" s="45">
        <v>39.51</v>
      </c>
      <c r="AU34" s="45">
        <v>40.19</v>
      </c>
      <c r="AV34" s="44">
        <v>20.81</v>
      </c>
      <c r="AW34" s="45">
        <v>20.209999999999997</v>
      </c>
      <c r="AX34" s="46">
        <v>20.509999999999998</v>
      </c>
      <c r="AY34" s="44">
        <v>4.25</v>
      </c>
      <c r="AZ34" s="45">
        <v>4.09</v>
      </c>
      <c r="BA34" s="46">
        <v>4.17</v>
      </c>
      <c r="BB34" s="44">
        <v>1.93</v>
      </c>
      <c r="BC34" s="50">
        <v>1.63</v>
      </c>
      <c r="BD34" s="51">
        <v>1.7799999999999998</v>
      </c>
      <c r="BE34" s="45">
        <v>0.68</v>
      </c>
      <c r="BF34" s="50">
        <v>0.38000000000000006</v>
      </c>
      <c r="BG34" s="50">
        <v>0.53</v>
      </c>
      <c r="BH34" s="44">
        <v>487.91</v>
      </c>
      <c r="BI34" s="45">
        <v>471.91</v>
      </c>
      <c r="BJ34" s="46">
        <v>479.91</v>
      </c>
      <c r="BK34" s="45">
        <v>41.18</v>
      </c>
      <c r="BL34" s="45">
        <v>39.82</v>
      </c>
      <c r="BM34" s="45">
        <v>40.5</v>
      </c>
      <c r="BN34" s="52">
        <v>1.06</v>
      </c>
      <c r="BO34" s="50">
        <v>0.82000000000000006</v>
      </c>
      <c r="BP34" s="51">
        <v>0.94000000000000006</v>
      </c>
      <c r="BQ34" s="45">
        <v>9.56</v>
      </c>
      <c r="BR34" s="45">
        <v>7.5600000000000005</v>
      </c>
      <c r="BS34" s="45">
        <v>8.56</v>
      </c>
      <c r="BT34" s="44">
        <v>11.29</v>
      </c>
      <c r="BU34" s="45">
        <v>10.889999999999999</v>
      </c>
      <c r="BV34" s="46">
        <v>11.09</v>
      </c>
      <c r="BW34" s="44">
        <v>2.78</v>
      </c>
      <c r="BX34" s="50">
        <v>2.5</v>
      </c>
      <c r="BY34" s="51">
        <v>2.6399999999999997</v>
      </c>
      <c r="BZ34" s="44">
        <v>9.33</v>
      </c>
      <c r="CA34" s="45">
        <v>6.33</v>
      </c>
      <c r="CB34" s="46">
        <v>7.83</v>
      </c>
      <c r="CC34" s="44">
        <v>6.57</v>
      </c>
      <c r="CD34" s="45">
        <v>6.33</v>
      </c>
      <c r="CE34" s="46">
        <v>6.45</v>
      </c>
      <c r="CF34" s="44">
        <v>1.9</v>
      </c>
      <c r="CG34" s="45">
        <v>1.4</v>
      </c>
      <c r="CH34" s="46">
        <v>1.65</v>
      </c>
      <c r="CI34" s="44">
        <v>0.43</v>
      </c>
      <c r="CJ34" s="45">
        <v>0.39</v>
      </c>
      <c r="CK34" s="46">
        <v>0.41000000000000003</v>
      </c>
      <c r="CL34" s="44">
        <v>37.82</v>
      </c>
      <c r="CM34">
        <v>35.42</v>
      </c>
      <c r="CN34">
        <v>36.620000000000005</v>
      </c>
      <c r="CO34">
        <v>7.36</v>
      </c>
      <c r="CP34">
        <v>2.3600000000000003</v>
      </c>
      <c r="CQ34">
        <v>4.8600000000000003</v>
      </c>
    </row>
    <row r="35" spans="1:95">
      <c r="A35" s="223">
        <v>45322</v>
      </c>
      <c r="B35" s="90" t="s">
        <v>98</v>
      </c>
      <c r="C35" s="44">
        <v>148.55000000000001</v>
      </c>
      <c r="D35" s="45">
        <v>146.55000000000001</v>
      </c>
      <c r="E35" s="46">
        <v>147.55000000000001</v>
      </c>
      <c r="F35" s="44">
        <v>161.47</v>
      </c>
      <c r="G35" s="45">
        <v>158.47</v>
      </c>
      <c r="H35" s="46">
        <v>159.97</v>
      </c>
      <c r="I35" s="44">
        <v>111.66</v>
      </c>
      <c r="J35" s="45">
        <v>108.46</v>
      </c>
      <c r="K35" s="46">
        <v>110.06</v>
      </c>
      <c r="L35" s="45">
        <v>191.33</v>
      </c>
      <c r="M35" s="45">
        <v>183.33</v>
      </c>
      <c r="N35" s="45">
        <v>187.33</v>
      </c>
      <c r="O35" s="44">
        <v>172.07</v>
      </c>
      <c r="P35" s="45">
        <v>170.26999999999998</v>
      </c>
      <c r="Q35" s="46">
        <v>171.17</v>
      </c>
      <c r="R35" s="45">
        <v>21.76</v>
      </c>
      <c r="S35" s="45">
        <v>21.16</v>
      </c>
      <c r="T35" s="45">
        <v>21.46</v>
      </c>
      <c r="U35" s="44">
        <v>14.44</v>
      </c>
      <c r="V35" s="45">
        <v>13.84</v>
      </c>
      <c r="W35" s="46">
        <v>14.14</v>
      </c>
      <c r="X35" s="44">
        <v>14.57</v>
      </c>
      <c r="Y35" s="45">
        <v>13.77</v>
      </c>
      <c r="Z35" s="46">
        <v>14.17</v>
      </c>
      <c r="AA35" s="44">
        <v>99.16</v>
      </c>
      <c r="AB35" s="45">
        <v>95.16</v>
      </c>
      <c r="AC35" s="46">
        <v>97.16</v>
      </c>
      <c r="AD35" s="44">
        <v>92.49</v>
      </c>
      <c r="AE35" s="45">
        <v>88.49</v>
      </c>
      <c r="AF35" s="46">
        <v>90.49</v>
      </c>
      <c r="AG35" s="45">
        <v>19.3</v>
      </c>
      <c r="AH35" s="45">
        <v>18.440000000000001</v>
      </c>
      <c r="AI35" s="45">
        <v>18.87</v>
      </c>
      <c r="AJ35" s="47"/>
      <c r="AK35" s="48"/>
      <c r="AL35" s="49"/>
      <c r="AM35" s="45">
        <v>111</v>
      </c>
      <c r="AN35" s="45">
        <v>109.34</v>
      </c>
      <c r="AO35" s="45">
        <v>110.17</v>
      </c>
      <c r="AP35" s="44">
        <v>40.21</v>
      </c>
      <c r="AQ35" s="45">
        <v>38.61</v>
      </c>
      <c r="AR35" s="46">
        <v>39.409999999999997</v>
      </c>
      <c r="AS35" s="45">
        <v>40.92</v>
      </c>
      <c r="AT35" s="45">
        <v>39.56</v>
      </c>
      <c r="AU35" s="45">
        <v>40.24</v>
      </c>
      <c r="AV35" s="44">
        <v>20.82</v>
      </c>
      <c r="AW35" s="45">
        <v>20.22</v>
      </c>
      <c r="AX35" s="46">
        <v>20.52</v>
      </c>
      <c r="AY35" s="44">
        <v>4.26</v>
      </c>
      <c r="AZ35" s="45">
        <v>4.0999999999999996</v>
      </c>
      <c r="BA35" s="46">
        <v>4.18</v>
      </c>
      <c r="BB35" s="44">
        <v>1.94</v>
      </c>
      <c r="BC35" s="50">
        <v>1.64</v>
      </c>
      <c r="BD35" s="51">
        <v>1.79</v>
      </c>
      <c r="BE35" s="45">
        <v>0.68</v>
      </c>
      <c r="BF35" s="50">
        <v>0.38000000000000006</v>
      </c>
      <c r="BG35" s="50">
        <v>0.53</v>
      </c>
      <c r="BH35" s="44">
        <v>488.46</v>
      </c>
      <c r="BI35" s="45">
        <v>472.46</v>
      </c>
      <c r="BJ35" s="46">
        <v>480.46</v>
      </c>
      <c r="BK35" s="45">
        <v>41.24</v>
      </c>
      <c r="BL35" s="45">
        <v>39.880000000000003</v>
      </c>
      <c r="BM35" s="45">
        <v>40.56</v>
      </c>
      <c r="BN35" s="52">
        <v>1.06</v>
      </c>
      <c r="BO35" s="50">
        <v>0.82000000000000006</v>
      </c>
      <c r="BP35" s="51">
        <v>0.94000000000000006</v>
      </c>
      <c r="BQ35" s="45">
        <v>9.6</v>
      </c>
      <c r="BR35" s="45">
        <v>7.6</v>
      </c>
      <c r="BS35" s="45">
        <v>8.6</v>
      </c>
      <c r="BT35" s="44">
        <v>11.29</v>
      </c>
      <c r="BU35" s="45">
        <v>10.889999999999999</v>
      </c>
      <c r="BV35" s="46">
        <v>11.09</v>
      </c>
      <c r="BW35" s="44">
        <v>2.78</v>
      </c>
      <c r="BX35" s="50">
        <v>2.5</v>
      </c>
      <c r="BY35" s="51">
        <v>2.6399999999999997</v>
      </c>
      <c r="BZ35" s="44">
        <v>9.35</v>
      </c>
      <c r="CA35" s="45">
        <v>6.35</v>
      </c>
      <c r="CB35" s="46">
        <v>7.85</v>
      </c>
      <c r="CC35" s="44">
        <v>6.59</v>
      </c>
      <c r="CD35" s="45">
        <v>6.35</v>
      </c>
      <c r="CE35" s="46">
        <v>6.47</v>
      </c>
      <c r="CF35" s="44">
        <v>1.9</v>
      </c>
      <c r="CG35" s="45">
        <v>1.4</v>
      </c>
      <c r="CH35" s="46">
        <v>1.65</v>
      </c>
      <c r="CI35" s="44">
        <v>0.43</v>
      </c>
      <c r="CJ35" s="45">
        <v>0.39</v>
      </c>
      <c r="CK35" s="46">
        <v>0.41000000000000003</v>
      </c>
      <c r="CL35" s="44">
        <v>37.99</v>
      </c>
      <c r="CM35">
        <v>35.590000000000003</v>
      </c>
      <c r="CN35">
        <v>36.790000000000006</v>
      </c>
      <c r="CO35">
        <v>7.37</v>
      </c>
      <c r="CP35">
        <v>2.37</v>
      </c>
      <c r="CQ35">
        <v>4.87</v>
      </c>
    </row>
    <row r="36" spans="1:95">
      <c r="A36" s="223">
        <v>45323</v>
      </c>
      <c r="B36" s="90" t="s">
        <v>99</v>
      </c>
      <c r="C36" s="45">
        <v>147.85</v>
      </c>
      <c r="D36" s="45">
        <v>145.85</v>
      </c>
      <c r="E36" s="45">
        <v>146.85</v>
      </c>
      <c r="F36" s="44">
        <v>160.27000000000001</v>
      </c>
      <c r="G36" s="45">
        <v>157.27000000000001</v>
      </c>
      <c r="H36" s="46">
        <v>158.77000000000001</v>
      </c>
      <c r="I36" s="45">
        <v>110.99</v>
      </c>
      <c r="J36" s="45">
        <v>107.78999999999999</v>
      </c>
      <c r="K36" s="45">
        <v>109.38999999999999</v>
      </c>
      <c r="L36" s="44">
        <v>190.34</v>
      </c>
      <c r="M36" s="45">
        <v>182.34</v>
      </c>
      <c r="N36" s="46">
        <v>186.34</v>
      </c>
      <c r="O36" s="45">
        <v>171.16</v>
      </c>
      <c r="P36" s="45">
        <v>169.35999999999999</v>
      </c>
      <c r="Q36" s="45">
        <v>170.26</v>
      </c>
      <c r="R36" s="44">
        <v>21.6</v>
      </c>
      <c r="S36" s="45">
        <v>21</v>
      </c>
      <c r="T36" s="46">
        <v>21.3</v>
      </c>
      <c r="U36" s="44">
        <v>14.27</v>
      </c>
      <c r="V36" s="45">
        <v>13.67</v>
      </c>
      <c r="W36" s="46">
        <v>13.969999999999999</v>
      </c>
      <c r="X36" s="44">
        <v>14.54</v>
      </c>
      <c r="Y36" s="45">
        <v>13.739999999999998</v>
      </c>
      <c r="Z36" s="46">
        <v>14.139999999999999</v>
      </c>
      <c r="AA36" s="44">
        <v>98.6</v>
      </c>
      <c r="AB36" s="45">
        <v>94.6</v>
      </c>
      <c r="AC36" s="46">
        <v>96.6</v>
      </c>
      <c r="AD36" s="45">
        <v>91.96</v>
      </c>
      <c r="AE36" s="45">
        <v>87.96</v>
      </c>
      <c r="AF36" s="45">
        <v>89.96</v>
      </c>
      <c r="AG36" s="44">
        <v>19.21</v>
      </c>
      <c r="AH36" s="45">
        <v>18.350000000000001</v>
      </c>
      <c r="AI36" s="46">
        <v>18.78</v>
      </c>
      <c r="AJ36" s="47"/>
      <c r="AK36" s="48"/>
      <c r="AL36" s="49"/>
      <c r="AM36" s="44">
        <v>110.46</v>
      </c>
      <c r="AN36" s="45">
        <v>108.8</v>
      </c>
      <c r="AO36" s="46">
        <v>109.63</v>
      </c>
      <c r="AP36" s="44">
        <v>40.020000000000003</v>
      </c>
      <c r="AQ36" s="45">
        <v>38.42</v>
      </c>
      <c r="AR36" s="46">
        <v>39.22</v>
      </c>
      <c r="AS36" s="45">
        <v>40.729999999999997</v>
      </c>
      <c r="AT36" s="45">
        <v>39.369999999999997</v>
      </c>
      <c r="AU36" s="45">
        <v>40.049999999999997</v>
      </c>
      <c r="AV36" s="44">
        <v>20.74</v>
      </c>
      <c r="AW36" s="45">
        <v>20.139999999999997</v>
      </c>
      <c r="AX36" s="46">
        <v>20.439999999999998</v>
      </c>
      <c r="AY36" s="44">
        <v>4.22</v>
      </c>
      <c r="AZ36" s="45">
        <v>4.0599999999999996</v>
      </c>
      <c r="BA36" s="46">
        <v>4.1399999999999997</v>
      </c>
      <c r="BB36" s="44">
        <v>1.93</v>
      </c>
      <c r="BC36" s="50">
        <v>1.63</v>
      </c>
      <c r="BD36" s="51">
        <v>1.7799999999999998</v>
      </c>
      <c r="BE36" s="44">
        <v>0.68</v>
      </c>
      <c r="BF36" s="50">
        <v>0.38000000000000006</v>
      </c>
      <c r="BG36" s="51">
        <v>0.53</v>
      </c>
      <c r="BH36" s="44">
        <v>486.49</v>
      </c>
      <c r="BI36" s="45">
        <v>470.49</v>
      </c>
      <c r="BJ36" s="46">
        <v>478.49</v>
      </c>
      <c r="BK36" s="45">
        <v>41.05</v>
      </c>
      <c r="BL36" s="45">
        <v>39.69</v>
      </c>
      <c r="BM36" s="45">
        <v>40.369999999999997</v>
      </c>
      <c r="BN36" s="52">
        <v>1.05</v>
      </c>
      <c r="BO36" s="50">
        <v>0.81</v>
      </c>
      <c r="BP36" s="51">
        <v>0.93</v>
      </c>
      <c r="BQ36" s="45">
        <v>9.5399999999999991</v>
      </c>
      <c r="BR36" s="45">
        <v>7.5399999999999991</v>
      </c>
      <c r="BS36" s="45">
        <v>8.5399999999999991</v>
      </c>
      <c r="BT36" s="44">
        <v>11.24</v>
      </c>
      <c r="BU36" s="45">
        <v>10.84</v>
      </c>
      <c r="BV36" s="46">
        <v>11.04</v>
      </c>
      <c r="BW36" s="44">
        <v>2.77</v>
      </c>
      <c r="BX36" s="50">
        <v>2.4900000000000002</v>
      </c>
      <c r="BY36" s="51">
        <v>2.63</v>
      </c>
      <c r="BZ36" s="44">
        <v>9.3800000000000008</v>
      </c>
      <c r="CA36" s="45">
        <v>6.3800000000000008</v>
      </c>
      <c r="CB36" s="46">
        <v>7.8800000000000008</v>
      </c>
      <c r="CC36" s="44">
        <v>6.53</v>
      </c>
      <c r="CD36" s="45">
        <v>6.29</v>
      </c>
      <c r="CE36" s="46">
        <v>6.41</v>
      </c>
      <c r="CF36" s="45">
        <v>1.88</v>
      </c>
      <c r="CG36" s="45">
        <v>1.38</v>
      </c>
      <c r="CH36" s="45">
        <v>1.63</v>
      </c>
      <c r="CI36" s="44">
        <v>0.43</v>
      </c>
      <c r="CJ36" s="45">
        <v>0.39</v>
      </c>
      <c r="CK36" s="46">
        <v>0.41000000000000003</v>
      </c>
      <c r="CL36" s="44">
        <v>37.9</v>
      </c>
      <c r="CM36">
        <v>35.5</v>
      </c>
      <c r="CN36">
        <v>36.700000000000003</v>
      </c>
      <c r="CO36">
        <v>7.34</v>
      </c>
      <c r="CP36">
        <v>2.34</v>
      </c>
      <c r="CQ36">
        <v>4.84</v>
      </c>
    </row>
    <row r="37" spans="1:95">
      <c r="A37" s="223">
        <v>45324</v>
      </c>
      <c r="B37" s="90" t="s">
        <v>100</v>
      </c>
      <c r="C37" s="44">
        <v>147.49</v>
      </c>
      <c r="D37" s="45">
        <v>145.49</v>
      </c>
      <c r="E37" s="46">
        <v>146.49</v>
      </c>
      <c r="F37" s="44">
        <v>160.84</v>
      </c>
      <c r="G37" s="45">
        <v>157.84</v>
      </c>
      <c r="H37" s="46">
        <v>159.34</v>
      </c>
      <c r="I37" s="44">
        <v>111.11</v>
      </c>
      <c r="J37" s="45">
        <v>107.91</v>
      </c>
      <c r="K37" s="46">
        <v>109.50999999999999</v>
      </c>
      <c r="L37" s="45">
        <v>190.73</v>
      </c>
      <c r="M37" s="45">
        <v>182.73</v>
      </c>
      <c r="N37" s="45">
        <v>186.73</v>
      </c>
      <c r="O37" s="44">
        <v>171.77</v>
      </c>
      <c r="P37" s="45">
        <v>169.97</v>
      </c>
      <c r="Q37" s="46">
        <v>170.87</v>
      </c>
      <c r="R37" s="45">
        <v>21.67</v>
      </c>
      <c r="S37" s="45">
        <v>21.07</v>
      </c>
      <c r="T37" s="45">
        <v>21.37</v>
      </c>
      <c r="U37" s="44">
        <v>14.35</v>
      </c>
      <c r="V37" s="45">
        <v>13.75</v>
      </c>
      <c r="W37" s="46">
        <v>14.05</v>
      </c>
      <c r="X37" s="44">
        <v>14.51</v>
      </c>
      <c r="Y37" s="45">
        <v>13.709999999999999</v>
      </c>
      <c r="Z37" s="46">
        <v>14.11</v>
      </c>
      <c r="AA37" s="44">
        <v>98.41</v>
      </c>
      <c r="AB37" s="45">
        <v>94.41</v>
      </c>
      <c r="AC37" s="46">
        <v>96.41</v>
      </c>
      <c r="AD37" s="44">
        <v>92.06</v>
      </c>
      <c r="AE37" s="45">
        <v>88.06</v>
      </c>
      <c r="AF37" s="46">
        <v>90.06</v>
      </c>
      <c r="AG37" s="45">
        <v>19.16</v>
      </c>
      <c r="AH37" s="45">
        <v>18.3</v>
      </c>
      <c r="AI37" s="45">
        <v>18.73</v>
      </c>
      <c r="AJ37" s="47"/>
      <c r="AK37" s="48"/>
      <c r="AL37" s="49"/>
      <c r="AM37" s="45">
        <v>110.41</v>
      </c>
      <c r="AN37" s="45">
        <v>108.75</v>
      </c>
      <c r="AO37" s="45">
        <v>109.58</v>
      </c>
      <c r="AP37" s="44">
        <v>39.93</v>
      </c>
      <c r="AQ37" s="45">
        <v>38.33</v>
      </c>
      <c r="AR37" s="46">
        <v>39.129999999999995</v>
      </c>
      <c r="AS37" s="45">
        <v>40.630000000000003</v>
      </c>
      <c r="AT37" s="45">
        <v>39.270000000000003</v>
      </c>
      <c r="AU37" s="45">
        <v>39.950000000000003</v>
      </c>
      <c r="AV37" s="44">
        <v>20.67</v>
      </c>
      <c r="AW37" s="45">
        <v>20.07</v>
      </c>
      <c r="AX37" s="46">
        <v>20.37</v>
      </c>
      <c r="AY37" s="44">
        <v>4.2300000000000004</v>
      </c>
      <c r="AZ37" s="45">
        <v>4.07</v>
      </c>
      <c r="BA37" s="46">
        <v>4.1500000000000004</v>
      </c>
      <c r="BB37" s="44">
        <v>1.93</v>
      </c>
      <c r="BC37" s="50">
        <v>1.63</v>
      </c>
      <c r="BD37" s="51">
        <v>1.7799999999999998</v>
      </c>
      <c r="BE37" s="45">
        <v>0.68</v>
      </c>
      <c r="BF37" s="50">
        <v>0.38000000000000006</v>
      </c>
      <c r="BG37" s="50">
        <v>0.53</v>
      </c>
      <c r="BH37" s="44">
        <v>485.17</v>
      </c>
      <c r="BI37" s="45">
        <v>469.17</v>
      </c>
      <c r="BJ37" s="46">
        <v>477.17</v>
      </c>
      <c r="BK37" s="45">
        <v>40.94</v>
      </c>
      <c r="BL37" s="45">
        <v>39.58</v>
      </c>
      <c r="BM37" s="45">
        <v>40.26</v>
      </c>
      <c r="BN37" s="52">
        <v>1.05</v>
      </c>
      <c r="BO37" s="50">
        <v>0.81</v>
      </c>
      <c r="BP37" s="51">
        <v>0.93</v>
      </c>
      <c r="BQ37" s="45">
        <v>9.58</v>
      </c>
      <c r="BR37" s="45">
        <v>7.58</v>
      </c>
      <c r="BS37" s="45">
        <v>8.58</v>
      </c>
      <c r="BT37" s="44">
        <v>11.26</v>
      </c>
      <c r="BU37" s="45">
        <v>10.86</v>
      </c>
      <c r="BV37" s="46">
        <v>11.059999999999999</v>
      </c>
      <c r="BW37" s="44">
        <v>2.77</v>
      </c>
      <c r="BX37" s="50">
        <v>2.4900000000000002</v>
      </c>
      <c r="BY37" s="51">
        <v>2.63</v>
      </c>
      <c r="BZ37" s="44">
        <v>9.39</v>
      </c>
      <c r="CA37" s="45">
        <v>6.3900000000000006</v>
      </c>
      <c r="CB37" s="46">
        <v>7.8900000000000006</v>
      </c>
      <c r="CC37" s="44">
        <v>6.54</v>
      </c>
      <c r="CD37" s="45">
        <v>6.3</v>
      </c>
      <c r="CE37" s="46">
        <v>6.42</v>
      </c>
      <c r="CF37" s="44">
        <v>1.87</v>
      </c>
      <c r="CG37" s="45">
        <v>1.37</v>
      </c>
      <c r="CH37" s="46">
        <v>1.62</v>
      </c>
      <c r="CI37" s="44">
        <v>0.44</v>
      </c>
      <c r="CJ37" s="45">
        <v>0.4</v>
      </c>
      <c r="CK37" s="46">
        <v>0.42000000000000004</v>
      </c>
      <c r="CL37" s="44">
        <v>38.130000000000003</v>
      </c>
      <c r="CM37">
        <v>35.730000000000004</v>
      </c>
      <c r="CN37">
        <v>36.930000000000007</v>
      </c>
      <c r="CO37">
        <v>7.33</v>
      </c>
      <c r="CP37">
        <v>2.33</v>
      </c>
      <c r="CQ37">
        <v>4.83</v>
      </c>
    </row>
    <row r="38" spans="1:95">
      <c r="A38" s="223">
        <v>45325</v>
      </c>
      <c r="B38" s="90" t="s">
        <v>307</v>
      </c>
      <c r="C38" s="44"/>
      <c r="D38" s="45"/>
      <c r="E38" s="46"/>
      <c r="F38" s="44"/>
      <c r="G38" s="45"/>
      <c r="H38" s="46"/>
      <c r="I38" s="44"/>
      <c r="J38" s="45"/>
      <c r="K38" s="46"/>
      <c r="L38" s="45"/>
      <c r="M38" s="45"/>
      <c r="N38" s="45"/>
      <c r="O38" s="44"/>
      <c r="P38" s="45"/>
      <c r="Q38" s="46"/>
      <c r="R38" s="45"/>
      <c r="S38" s="45"/>
      <c r="T38" s="45"/>
      <c r="U38" s="44"/>
      <c r="V38" s="45"/>
      <c r="W38" s="46"/>
      <c r="X38" s="44"/>
      <c r="Y38" s="45"/>
      <c r="Z38" s="46"/>
      <c r="AA38" s="44"/>
      <c r="AB38" s="45"/>
      <c r="AC38" s="46"/>
      <c r="AD38" s="44"/>
      <c r="AE38" s="45"/>
      <c r="AF38" s="46"/>
      <c r="AG38" s="45"/>
      <c r="AH38" s="45"/>
      <c r="AI38" s="45"/>
      <c r="AJ38" s="47"/>
      <c r="AK38" s="48"/>
      <c r="AL38" s="49"/>
      <c r="AM38" s="45"/>
      <c r="AN38" s="45"/>
      <c r="AO38" s="45"/>
      <c r="AP38" s="44"/>
      <c r="AQ38" s="45"/>
      <c r="AR38" s="46"/>
      <c r="AS38" s="45"/>
      <c r="AT38" s="45"/>
      <c r="AU38" s="45"/>
      <c r="AV38" s="44"/>
      <c r="AW38" s="45"/>
      <c r="AX38" s="46"/>
      <c r="AY38" s="44"/>
      <c r="AZ38" s="45"/>
      <c r="BA38" s="46"/>
      <c r="BB38" s="44"/>
      <c r="BC38" s="50"/>
      <c r="BD38" s="51"/>
      <c r="BE38" s="45"/>
      <c r="BF38" s="50"/>
      <c r="BG38" s="50"/>
      <c r="BH38" s="44"/>
      <c r="BI38" s="45"/>
      <c r="BJ38" s="46"/>
      <c r="BK38" s="45"/>
      <c r="BL38" s="45"/>
      <c r="BM38" s="45"/>
      <c r="BN38" s="52"/>
      <c r="BO38" s="50"/>
      <c r="BP38" s="51"/>
      <c r="BQ38" s="45"/>
      <c r="BR38" s="45"/>
      <c r="BS38" s="45"/>
      <c r="BT38" s="44"/>
      <c r="BU38" s="45"/>
      <c r="BV38" s="46"/>
      <c r="BW38" s="44"/>
      <c r="BX38" s="50"/>
      <c r="BY38" s="51"/>
      <c r="BZ38" s="44"/>
      <c r="CA38" s="45"/>
      <c r="CB38" s="46"/>
      <c r="CC38" s="44"/>
      <c r="CD38" s="45"/>
      <c r="CE38" s="46"/>
      <c r="CF38" s="44"/>
      <c r="CG38" s="45"/>
      <c r="CH38" s="46"/>
      <c r="CI38" s="44"/>
      <c r="CJ38" s="45"/>
      <c r="CK38" s="46"/>
      <c r="CL38" s="44"/>
    </row>
    <row r="39" spans="1:95">
      <c r="A39" s="223">
        <v>45326</v>
      </c>
      <c r="B39" s="90" t="s">
        <v>308</v>
      </c>
      <c r="C39" s="44"/>
      <c r="D39" s="45"/>
      <c r="E39" s="46"/>
      <c r="F39" s="44"/>
      <c r="G39" s="45"/>
      <c r="H39" s="46"/>
      <c r="I39" s="44"/>
      <c r="J39" s="45"/>
      <c r="K39" s="46"/>
      <c r="L39" s="45"/>
      <c r="M39" s="45"/>
      <c r="N39" s="45"/>
      <c r="O39" s="44"/>
      <c r="P39" s="45"/>
      <c r="Q39" s="46"/>
      <c r="R39" s="45"/>
      <c r="S39" s="45"/>
      <c r="T39" s="45"/>
      <c r="U39" s="44"/>
      <c r="V39" s="45"/>
      <c r="W39" s="46"/>
      <c r="X39" s="44"/>
      <c r="Y39" s="45"/>
      <c r="Z39" s="46"/>
      <c r="AA39" s="44"/>
      <c r="AB39" s="45"/>
      <c r="AC39" s="46"/>
      <c r="AD39" s="44"/>
      <c r="AE39" s="45"/>
      <c r="AF39" s="46"/>
      <c r="AG39" s="45"/>
      <c r="AH39" s="45"/>
      <c r="AI39" s="45"/>
      <c r="AJ39" s="47"/>
      <c r="AK39" s="48"/>
      <c r="AL39" s="49"/>
      <c r="AM39" s="45"/>
      <c r="AN39" s="45"/>
      <c r="AO39" s="45"/>
      <c r="AP39" s="44"/>
      <c r="AQ39" s="45"/>
      <c r="AR39" s="46"/>
      <c r="AS39" s="45"/>
      <c r="AT39" s="45"/>
      <c r="AU39" s="45"/>
      <c r="AV39" s="44"/>
      <c r="AW39" s="45"/>
      <c r="AX39" s="46"/>
      <c r="AY39" s="44"/>
      <c r="AZ39" s="45"/>
      <c r="BA39" s="46"/>
      <c r="BB39" s="44"/>
      <c r="BC39" s="50"/>
      <c r="BD39" s="51"/>
      <c r="BE39" s="45"/>
      <c r="BF39" s="50"/>
      <c r="BG39" s="50"/>
      <c r="BH39" s="44"/>
      <c r="BI39" s="45"/>
      <c r="BJ39" s="46"/>
      <c r="BK39" s="45"/>
      <c r="BL39" s="45"/>
      <c r="BM39" s="45"/>
      <c r="BN39" s="52"/>
      <c r="BO39" s="50"/>
      <c r="BP39" s="51"/>
      <c r="BQ39" s="45"/>
      <c r="BR39" s="45"/>
      <c r="BS39" s="45"/>
      <c r="BT39" s="44"/>
      <c r="BU39" s="45"/>
      <c r="BV39" s="46"/>
      <c r="BW39" s="44"/>
      <c r="BX39" s="50"/>
      <c r="BY39" s="51"/>
      <c r="BZ39" s="44"/>
      <c r="CA39" s="45"/>
      <c r="CB39" s="46"/>
      <c r="CC39" s="44"/>
      <c r="CD39" s="45"/>
      <c r="CE39" s="46"/>
      <c r="CF39" s="44"/>
      <c r="CG39" s="45"/>
      <c r="CH39" s="46"/>
      <c r="CI39" s="44"/>
      <c r="CJ39" s="45"/>
      <c r="CK39" s="46"/>
      <c r="CL39" s="44"/>
    </row>
    <row r="40" spans="1:95">
      <c r="A40" s="223">
        <v>45327</v>
      </c>
      <c r="B40" s="90" t="s">
        <v>96</v>
      </c>
      <c r="C40" s="45">
        <v>149.76</v>
      </c>
      <c r="D40" s="45">
        <v>147.76</v>
      </c>
      <c r="E40" s="45">
        <v>148.76</v>
      </c>
      <c r="F40" s="44">
        <v>161.77000000000001</v>
      </c>
      <c r="G40" s="45">
        <v>158.77000000000001</v>
      </c>
      <c r="H40" s="46">
        <v>160.27000000000001</v>
      </c>
      <c r="I40" s="45">
        <v>111.92</v>
      </c>
      <c r="J40" s="45">
        <v>108.72</v>
      </c>
      <c r="K40" s="45">
        <v>110.32</v>
      </c>
      <c r="L40" s="44">
        <v>191.56</v>
      </c>
      <c r="M40" s="45">
        <v>183.56</v>
      </c>
      <c r="N40" s="46">
        <v>187.56</v>
      </c>
      <c r="O40" s="45">
        <v>172.34</v>
      </c>
      <c r="P40" s="45">
        <v>170.54</v>
      </c>
      <c r="Q40" s="45">
        <v>171.44</v>
      </c>
      <c r="R40" s="44">
        <v>21.8</v>
      </c>
      <c r="S40" s="45">
        <v>21.2</v>
      </c>
      <c r="T40" s="46">
        <v>21.5</v>
      </c>
      <c r="U40" s="44">
        <v>14.29</v>
      </c>
      <c r="V40" s="45">
        <v>13.69</v>
      </c>
      <c r="W40" s="46">
        <v>13.989999999999998</v>
      </c>
      <c r="X40" s="44">
        <v>14.53</v>
      </c>
      <c r="Y40" s="45">
        <v>13.729999999999999</v>
      </c>
      <c r="Z40" s="46">
        <v>14.129999999999999</v>
      </c>
      <c r="AA40" s="44">
        <v>98.55</v>
      </c>
      <c r="AB40" s="45">
        <v>94.55</v>
      </c>
      <c r="AC40" s="46">
        <v>96.55</v>
      </c>
      <c r="AD40" s="45">
        <v>92.03</v>
      </c>
      <c r="AE40" s="45">
        <v>88.03</v>
      </c>
      <c r="AF40" s="45">
        <v>90.03</v>
      </c>
      <c r="AG40" s="44">
        <v>19.45</v>
      </c>
      <c r="AH40" s="45">
        <v>18.59</v>
      </c>
      <c r="AI40" s="46">
        <v>19.02</v>
      </c>
      <c r="AJ40" s="47"/>
      <c r="AK40" s="48"/>
      <c r="AL40" s="49"/>
      <c r="AM40" s="44">
        <v>111.47</v>
      </c>
      <c r="AN40" s="45">
        <v>109.81</v>
      </c>
      <c r="AO40" s="46">
        <v>110.64</v>
      </c>
      <c r="AP40" s="44">
        <v>40.53</v>
      </c>
      <c r="AQ40" s="45">
        <v>38.93</v>
      </c>
      <c r="AR40" s="46">
        <v>39.730000000000004</v>
      </c>
      <c r="AS40" s="45">
        <v>41.25</v>
      </c>
      <c r="AT40" s="45">
        <v>39.89</v>
      </c>
      <c r="AU40" s="45">
        <v>40.57</v>
      </c>
      <c r="AV40" s="44">
        <v>20.9</v>
      </c>
      <c r="AW40" s="45">
        <v>20.299999999999997</v>
      </c>
      <c r="AX40" s="46">
        <v>20.599999999999998</v>
      </c>
      <c r="AY40" s="44">
        <v>4.25</v>
      </c>
      <c r="AZ40" s="45">
        <v>4.09</v>
      </c>
      <c r="BA40" s="46">
        <v>4.17</v>
      </c>
      <c r="BB40" s="44">
        <v>1.95</v>
      </c>
      <c r="BC40" s="50">
        <v>1.65</v>
      </c>
      <c r="BD40" s="51">
        <v>1.7999999999999998</v>
      </c>
      <c r="BE40" s="44">
        <v>0.69</v>
      </c>
      <c r="BF40" s="50">
        <v>0.38999999999999996</v>
      </c>
      <c r="BG40" s="51">
        <v>0.53999999999999992</v>
      </c>
      <c r="BH40" s="44">
        <v>492.24</v>
      </c>
      <c r="BI40" s="45">
        <v>476.24</v>
      </c>
      <c r="BJ40" s="46">
        <v>484.24</v>
      </c>
      <c r="BK40" s="45">
        <v>41.56</v>
      </c>
      <c r="BL40" s="45">
        <v>40.200000000000003</v>
      </c>
      <c r="BM40" s="45">
        <v>40.880000000000003</v>
      </c>
      <c r="BN40" s="52">
        <v>1.07</v>
      </c>
      <c r="BO40" s="50">
        <v>0.83000000000000007</v>
      </c>
      <c r="BP40" s="51">
        <v>0.95000000000000007</v>
      </c>
      <c r="BQ40" s="45">
        <v>9.66</v>
      </c>
      <c r="BR40" s="45">
        <v>7.66</v>
      </c>
      <c r="BS40" s="45">
        <v>8.66</v>
      </c>
      <c r="BT40" s="44">
        <v>11.33</v>
      </c>
      <c r="BU40" s="45">
        <v>10.93</v>
      </c>
      <c r="BV40" s="46">
        <v>11.129999999999999</v>
      </c>
      <c r="BW40" s="44">
        <v>2.82</v>
      </c>
      <c r="BX40" s="50">
        <v>2.54</v>
      </c>
      <c r="BY40" s="51">
        <v>2.6799999999999997</v>
      </c>
      <c r="BZ40" s="44">
        <v>9.35</v>
      </c>
      <c r="CA40" s="45">
        <v>6.35</v>
      </c>
      <c r="CB40" s="46">
        <v>7.85</v>
      </c>
      <c r="CC40" s="44">
        <v>6.55</v>
      </c>
      <c r="CD40" s="45">
        <v>6.31</v>
      </c>
      <c r="CE40" s="46">
        <v>6.43</v>
      </c>
      <c r="CF40" s="45">
        <v>1.89</v>
      </c>
      <c r="CG40" s="45">
        <v>1.39</v>
      </c>
      <c r="CH40" s="45">
        <v>1.64</v>
      </c>
      <c r="CI40" s="44">
        <v>0.44</v>
      </c>
      <c r="CJ40" s="45">
        <v>0.4</v>
      </c>
      <c r="CK40" s="46">
        <v>0.42000000000000004</v>
      </c>
      <c r="CL40" s="44">
        <v>38.32</v>
      </c>
      <c r="CM40">
        <v>35.92</v>
      </c>
      <c r="CN40">
        <v>37.120000000000005</v>
      </c>
      <c r="CO40">
        <v>7.39</v>
      </c>
      <c r="CP40">
        <v>2.3899999999999997</v>
      </c>
      <c r="CQ40">
        <v>4.8899999999999997</v>
      </c>
    </row>
    <row r="41" spans="1:95">
      <c r="A41" s="223">
        <v>45328</v>
      </c>
      <c r="B41" s="90" t="s">
        <v>97</v>
      </c>
      <c r="C41" s="44">
        <v>149.68</v>
      </c>
      <c r="D41" s="45">
        <v>147.68</v>
      </c>
      <c r="E41" s="46">
        <v>148.68</v>
      </c>
      <c r="F41" s="44">
        <v>161.26</v>
      </c>
      <c r="G41" s="45">
        <v>158.26</v>
      </c>
      <c r="H41" s="46">
        <v>159.76</v>
      </c>
      <c r="I41" s="44">
        <v>111.44</v>
      </c>
      <c r="J41" s="45">
        <v>108.24</v>
      </c>
      <c r="K41" s="46">
        <v>109.84</v>
      </c>
      <c r="L41" s="45">
        <v>190.46</v>
      </c>
      <c r="M41" s="45">
        <v>182.46</v>
      </c>
      <c r="N41" s="45">
        <v>186.46</v>
      </c>
      <c r="O41" s="44">
        <v>171.68</v>
      </c>
      <c r="P41" s="45">
        <v>169.88</v>
      </c>
      <c r="Q41" s="46">
        <v>170.78</v>
      </c>
      <c r="R41" s="45">
        <v>21.72</v>
      </c>
      <c r="S41" s="45">
        <v>21.119999999999997</v>
      </c>
      <c r="T41" s="45">
        <v>21.419999999999998</v>
      </c>
      <c r="U41" s="44">
        <v>14.22</v>
      </c>
      <c r="V41" s="45">
        <v>13.620000000000001</v>
      </c>
      <c r="W41" s="46">
        <v>13.920000000000002</v>
      </c>
      <c r="X41" s="44">
        <v>14.43</v>
      </c>
      <c r="Y41" s="45">
        <v>13.629999999999999</v>
      </c>
      <c r="Z41" s="46">
        <v>14.03</v>
      </c>
      <c r="AA41" s="44">
        <v>98.4</v>
      </c>
      <c r="AB41" s="45">
        <v>94.4</v>
      </c>
      <c r="AC41" s="46">
        <v>96.4</v>
      </c>
      <c r="AD41" s="44">
        <v>92.01</v>
      </c>
      <c r="AE41" s="45">
        <v>88.01</v>
      </c>
      <c r="AF41" s="46">
        <v>90.01</v>
      </c>
      <c r="AG41" s="45">
        <v>19.440000000000001</v>
      </c>
      <c r="AH41" s="45">
        <v>18.580000000000002</v>
      </c>
      <c r="AI41" s="45">
        <v>19.010000000000002</v>
      </c>
      <c r="AJ41" s="47"/>
      <c r="AK41" s="48"/>
      <c r="AL41" s="49"/>
      <c r="AM41" s="45">
        <v>111.23</v>
      </c>
      <c r="AN41" s="45">
        <v>109.57000000000001</v>
      </c>
      <c r="AO41" s="45">
        <v>110.4</v>
      </c>
      <c r="AP41" s="44">
        <v>40.51</v>
      </c>
      <c r="AQ41" s="45">
        <v>38.909999999999997</v>
      </c>
      <c r="AR41" s="46">
        <v>39.709999999999994</v>
      </c>
      <c r="AS41" s="45">
        <v>41.23</v>
      </c>
      <c r="AT41" s="45">
        <v>39.869999999999997</v>
      </c>
      <c r="AU41" s="45">
        <v>40.549999999999997</v>
      </c>
      <c r="AV41" s="44">
        <v>20.9</v>
      </c>
      <c r="AW41" s="45">
        <v>20.299999999999997</v>
      </c>
      <c r="AX41" s="46">
        <v>20.599999999999998</v>
      </c>
      <c r="AY41" s="44">
        <v>4.24</v>
      </c>
      <c r="AZ41" s="45">
        <v>4.08</v>
      </c>
      <c r="BA41" s="46">
        <v>4.16</v>
      </c>
      <c r="BB41" s="44">
        <v>1.95</v>
      </c>
      <c r="BC41" s="50">
        <v>1.65</v>
      </c>
      <c r="BD41" s="51">
        <v>1.7999999999999998</v>
      </c>
      <c r="BE41" s="45">
        <v>0.69</v>
      </c>
      <c r="BF41" s="50">
        <v>0.38999999999999996</v>
      </c>
      <c r="BG41" s="50">
        <v>0.53999999999999992</v>
      </c>
      <c r="BH41" s="44">
        <v>491.83</v>
      </c>
      <c r="BI41" s="45">
        <v>475.83</v>
      </c>
      <c r="BJ41" s="46">
        <v>483.83</v>
      </c>
      <c r="BK41" s="45">
        <v>41.54</v>
      </c>
      <c r="BL41" s="45">
        <v>40.18</v>
      </c>
      <c r="BM41" s="45">
        <v>40.86</v>
      </c>
      <c r="BN41" s="52">
        <v>1.07</v>
      </c>
      <c r="BO41" s="50">
        <v>0.83000000000000007</v>
      </c>
      <c r="BP41" s="51">
        <v>0.95000000000000007</v>
      </c>
      <c r="BQ41" s="45">
        <v>9.69</v>
      </c>
      <c r="BR41" s="45">
        <v>7.6899999999999995</v>
      </c>
      <c r="BS41" s="45">
        <v>8.69</v>
      </c>
      <c r="BT41" s="44">
        <v>11.37</v>
      </c>
      <c r="BU41" s="45">
        <v>10.969999999999999</v>
      </c>
      <c r="BV41" s="46">
        <v>11.169999999999998</v>
      </c>
      <c r="BW41" s="44">
        <v>2.8</v>
      </c>
      <c r="BX41" s="50">
        <v>2.5199999999999996</v>
      </c>
      <c r="BY41" s="51">
        <v>2.6599999999999997</v>
      </c>
      <c r="BZ41" s="44">
        <v>9.3000000000000007</v>
      </c>
      <c r="CA41" s="45">
        <v>6.3000000000000007</v>
      </c>
      <c r="CB41" s="46">
        <v>7.8000000000000007</v>
      </c>
      <c r="CC41" s="44">
        <v>6.51</v>
      </c>
      <c r="CD41" s="45">
        <v>6.27</v>
      </c>
      <c r="CE41" s="46">
        <v>6.39</v>
      </c>
      <c r="CF41" s="44">
        <v>1.89</v>
      </c>
      <c r="CG41" s="45">
        <v>1.39</v>
      </c>
      <c r="CH41" s="46">
        <v>1.64</v>
      </c>
      <c r="CI41" s="44">
        <v>0.43</v>
      </c>
      <c r="CJ41" s="45">
        <v>0.39</v>
      </c>
      <c r="CK41" s="46">
        <v>0.41000000000000003</v>
      </c>
      <c r="CL41" s="44">
        <v>38.020000000000003</v>
      </c>
      <c r="CM41">
        <v>35.620000000000005</v>
      </c>
      <c r="CN41">
        <v>36.820000000000007</v>
      </c>
      <c r="CO41">
        <v>7.37</v>
      </c>
      <c r="CP41">
        <v>2.37</v>
      </c>
      <c r="CQ41">
        <v>4.87</v>
      </c>
    </row>
    <row r="42" spans="1:95">
      <c r="A42" s="223">
        <v>45329</v>
      </c>
      <c r="B42" s="90" t="s">
        <v>98</v>
      </c>
      <c r="C42" s="44">
        <v>148.88</v>
      </c>
      <c r="D42" s="45">
        <v>146.88</v>
      </c>
      <c r="E42" s="46">
        <v>147.88</v>
      </c>
      <c r="F42" s="44">
        <v>160.62</v>
      </c>
      <c r="G42" s="45">
        <v>157.62</v>
      </c>
      <c r="H42" s="46">
        <v>159.12</v>
      </c>
      <c r="I42" s="44">
        <v>111.23</v>
      </c>
      <c r="J42" s="45">
        <v>108.03</v>
      </c>
      <c r="K42" s="46">
        <v>109.63</v>
      </c>
      <c r="L42" s="45">
        <v>190.34</v>
      </c>
      <c r="M42" s="45">
        <v>182.34</v>
      </c>
      <c r="N42" s="45">
        <v>186.34</v>
      </c>
      <c r="O42" s="44">
        <v>170.94</v>
      </c>
      <c r="P42" s="45">
        <v>169.14</v>
      </c>
      <c r="Q42" s="46">
        <v>170.04</v>
      </c>
      <c r="R42" s="45">
        <v>21.63</v>
      </c>
      <c r="S42" s="45">
        <v>21.029999999999998</v>
      </c>
      <c r="T42" s="45">
        <v>21.33</v>
      </c>
      <c r="U42" s="44">
        <v>14.27</v>
      </c>
      <c r="V42" s="45">
        <v>13.67</v>
      </c>
      <c r="W42" s="46">
        <v>13.969999999999999</v>
      </c>
      <c r="X42" s="44">
        <v>14.48</v>
      </c>
      <c r="Y42" s="45">
        <v>13.68</v>
      </c>
      <c r="Z42" s="46">
        <v>14.08</v>
      </c>
      <c r="AA42" s="44">
        <v>98.54</v>
      </c>
      <c r="AB42" s="45">
        <v>94.54</v>
      </c>
      <c r="AC42" s="46">
        <v>96.54</v>
      </c>
      <c r="AD42" s="44">
        <v>92.18</v>
      </c>
      <c r="AE42" s="45">
        <v>88.18</v>
      </c>
      <c r="AF42" s="46">
        <v>90.18</v>
      </c>
      <c r="AG42" s="45">
        <v>19.34</v>
      </c>
      <c r="AH42" s="45">
        <v>18.48</v>
      </c>
      <c r="AI42" s="45">
        <v>18.91</v>
      </c>
      <c r="AJ42" s="47"/>
      <c r="AK42" s="48"/>
      <c r="AL42" s="49"/>
      <c r="AM42" s="45">
        <v>110.88</v>
      </c>
      <c r="AN42" s="45">
        <v>109.22</v>
      </c>
      <c r="AO42" s="45">
        <v>110.05</v>
      </c>
      <c r="AP42" s="44">
        <v>40.299999999999997</v>
      </c>
      <c r="AQ42" s="45">
        <v>38.699999999999996</v>
      </c>
      <c r="AR42" s="46">
        <v>39.5</v>
      </c>
      <c r="AS42" s="45">
        <v>41.01</v>
      </c>
      <c r="AT42" s="45">
        <v>39.65</v>
      </c>
      <c r="AU42" s="45">
        <v>40.33</v>
      </c>
      <c r="AV42" s="44">
        <v>20.84</v>
      </c>
      <c r="AW42" s="45">
        <v>20.239999999999998</v>
      </c>
      <c r="AX42" s="46">
        <v>20.54</v>
      </c>
      <c r="AY42" s="44">
        <v>4.24</v>
      </c>
      <c r="AZ42" s="45">
        <v>4.08</v>
      </c>
      <c r="BA42" s="46">
        <v>4.16</v>
      </c>
      <c r="BB42" s="44">
        <v>1.94</v>
      </c>
      <c r="BC42" s="50">
        <v>1.64</v>
      </c>
      <c r="BD42" s="51">
        <v>1.79</v>
      </c>
      <c r="BE42" s="45">
        <v>0.68</v>
      </c>
      <c r="BF42" s="50">
        <v>0.38000000000000006</v>
      </c>
      <c r="BG42" s="50">
        <v>0.53</v>
      </c>
      <c r="BH42" s="44">
        <v>489.38</v>
      </c>
      <c r="BI42" s="45">
        <v>473.38</v>
      </c>
      <c r="BJ42" s="46">
        <v>481.38</v>
      </c>
      <c r="BK42" s="45">
        <v>41.32</v>
      </c>
      <c r="BL42" s="45">
        <v>39.96</v>
      </c>
      <c r="BM42" s="45">
        <v>40.64</v>
      </c>
      <c r="BN42" s="52">
        <v>1.06</v>
      </c>
      <c r="BO42" s="50">
        <v>0.82000000000000006</v>
      </c>
      <c r="BP42" s="51">
        <v>0.94000000000000006</v>
      </c>
      <c r="BQ42" s="45">
        <v>9.68</v>
      </c>
      <c r="BR42" s="45">
        <v>7.68</v>
      </c>
      <c r="BS42" s="45">
        <v>8.68</v>
      </c>
      <c r="BT42" s="44">
        <v>11.39</v>
      </c>
      <c r="BU42" s="45">
        <v>10.99</v>
      </c>
      <c r="BV42" s="46">
        <v>11.190000000000001</v>
      </c>
      <c r="BW42" s="44">
        <v>2.79</v>
      </c>
      <c r="BX42" s="50">
        <v>2.5099999999999998</v>
      </c>
      <c r="BY42" s="51">
        <v>2.65</v>
      </c>
      <c r="BZ42" s="44">
        <v>9.35</v>
      </c>
      <c r="CA42" s="45">
        <v>6.35</v>
      </c>
      <c r="CB42" s="46">
        <v>7.85</v>
      </c>
      <c r="CC42" s="44">
        <v>6.51</v>
      </c>
      <c r="CD42" s="45">
        <v>6.27</v>
      </c>
      <c r="CE42" s="46">
        <v>6.39</v>
      </c>
      <c r="CF42" s="44">
        <v>1.88</v>
      </c>
      <c r="CG42" s="45">
        <v>1.38</v>
      </c>
      <c r="CH42" s="46">
        <v>1.63</v>
      </c>
      <c r="CI42" s="44">
        <v>0.43</v>
      </c>
      <c r="CJ42" s="45">
        <v>0.39</v>
      </c>
      <c r="CK42" s="46">
        <v>0.41000000000000003</v>
      </c>
      <c r="CL42" s="44">
        <v>37.799999999999997</v>
      </c>
      <c r="CM42">
        <v>35.4</v>
      </c>
      <c r="CN42">
        <v>36.599999999999994</v>
      </c>
      <c r="CO42">
        <v>7.34</v>
      </c>
      <c r="CP42">
        <v>2.34</v>
      </c>
      <c r="CQ42">
        <v>4.84</v>
      </c>
    </row>
    <row r="43" spans="1:95">
      <c r="A43" s="223">
        <v>45330</v>
      </c>
      <c r="B43" s="90" t="s">
        <v>99</v>
      </c>
      <c r="C43" s="44">
        <v>149.15</v>
      </c>
      <c r="D43" s="45">
        <v>147.15</v>
      </c>
      <c r="E43" s="46">
        <v>148.15</v>
      </c>
      <c r="F43" s="44">
        <v>161.18</v>
      </c>
      <c r="G43" s="45">
        <v>158.18</v>
      </c>
      <c r="H43" s="46">
        <v>159.68</v>
      </c>
      <c r="I43" s="44">
        <v>111.68</v>
      </c>
      <c r="J43" s="45">
        <v>108.48</v>
      </c>
      <c r="K43" s="46">
        <v>110.08000000000001</v>
      </c>
      <c r="L43" s="45">
        <v>191.13</v>
      </c>
      <c r="M43" s="45">
        <v>183.13</v>
      </c>
      <c r="N43" s="45">
        <v>187.13</v>
      </c>
      <c r="O43" s="44">
        <v>170.45</v>
      </c>
      <c r="P43" s="45">
        <v>168.64999999999998</v>
      </c>
      <c r="Q43" s="46">
        <v>169.54999999999998</v>
      </c>
      <c r="R43" s="45">
        <v>21.71</v>
      </c>
      <c r="S43" s="45">
        <v>21.11</v>
      </c>
      <c r="T43" s="45">
        <v>21.41</v>
      </c>
      <c r="U43" s="44">
        <v>14.31</v>
      </c>
      <c r="V43" s="45">
        <v>13.71</v>
      </c>
      <c r="W43" s="46">
        <v>14.010000000000002</v>
      </c>
      <c r="X43" s="44">
        <v>14.54</v>
      </c>
      <c r="Y43" s="45">
        <v>13.739999999999998</v>
      </c>
      <c r="Z43" s="46">
        <v>14.139999999999999</v>
      </c>
      <c r="AA43" s="44">
        <v>98.67</v>
      </c>
      <c r="AB43" s="45">
        <v>94.67</v>
      </c>
      <c r="AC43" s="46">
        <v>96.67</v>
      </c>
      <c r="AD43" s="44">
        <v>92.59</v>
      </c>
      <c r="AE43" s="45">
        <v>88.59</v>
      </c>
      <c r="AF43" s="46">
        <v>90.59</v>
      </c>
      <c r="AG43" s="45">
        <v>19.38</v>
      </c>
      <c r="AH43" s="45">
        <v>18.52</v>
      </c>
      <c r="AI43" s="45">
        <v>18.95</v>
      </c>
      <c r="AJ43" s="47"/>
      <c r="AK43" s="48"/>
      <c r="AL43" s="49"/>
      <c r="AM43" s="45">
        <v>111.16</v>
      </c>
      <c r="AN43" s="45">
        <v>109.5</v>
      </c>
      <c r="AO43" s="45">
        <v>110.33</v>
      </c>
      <c r="AP43" s="44">
        <v>40.369999999999997</v>
      </c>
      <c r="AQ43" s="45">
        <v>38.769999999999996</v>
      </c>
      <c r="AR43" s="46">
        <v>39.569999999999993</v>
      </c>
      <c r="AS43" s="45">
        <v>41.08</v>
      </c>
      <c r="AT43" s="45">
        <v>39.72</v>
      </c>
      <c r="AU43" s="45">
        <v>40.4</v>
      </c>
      <c r="AV43" s="44">
        <v>20.85</v>
      </c>
      <c r="AW43" s="45">
        <v>20.25</v>
      </c>
      <c r="AX43" s="46">
        <v>20.55</v>
      </c>
      <c r="AY43" s="44">
        <v>4.24</v>
      </c>
      <c r="AZ43" s="45">
        <v>4.08</v>
      </c>
      <c r="BA43" s="46">
        <v>4.16</v>
      </c>
      <c r="BB43" s="44">
        <v>1.95</v>
      </c>
      <c r="BC43" s="50">
        <v>1.65</v>
      </c>
      <c r="BD43" s="51">
        <v>1.7999999999999998</v>
      </c>
      <c r="BE43" s="45">
        <v>0.68</v>
      </c>
      <c r="BF43" s="50">
        <v>0.38000000000000006</v>
      </c>
      <c r="BG43" s="50">
        <v>0.53</v>
      </c>
      <c r="BH43" s="44">
        <v>490.1</v>
      </c>
      <c r="BI43" s="45">
        <v>474.1</v>
      </c>
      <c r="BJ43" s="46">
        <v>482.1</v>
      </c>
      <c r="BK43" s="45">
        <v>41.39</v>
      </c>
      <c r="BL43" s="45">
        <v>40.03</v>
      </c>
      <c r="BM43" s="45">
        <v>40.71</v>
      </c>
      <c r="BN43" s="52">
        <v>1.07</v>
      </c>
      <c r="BO43" s="50">
        <v>0.83000000000000007</v>
      </c>
      <c r="BP43" s="51">
        <v>0.95000000000000007</v>
      </c>
      <c r="BQ43" s="45">
        <v>9.69</v>
      </c>
      <c r="BR43" s="45">
        <v>7.6899999999999995</v>
      </c>
      <c r="BS43" s="45">
        <v>8.69</v>
      </c>
      <c r="BT43" s="44">
        <v>11.4</v>
      </c>
      <c r="BU43" s="45">
        <v>11</v>
      </c>
      <c r="BV43" s="46">
        <v>11.2</v>
      </c>
      <c r="BW43" s="44">
        <v>2.81</v>
      </c>
      <c r="BX43" s="50">
        <v>2.5300000000000002</v>
      </c>
      <c r="BY43" s="51">
        <v>2.67</v>
      </c>
      <c r="BZ43" s="44">
        <v>9.35</v>
      </c>
      <c r="CA43" s="45">
        <v>6.35</v>
      </c>
      <c r="CB43" s="46">
        <v>7.85</v>
      </c>
      <c r="CC43" s="44">
        <v>6.52</v>
      </c>
      <c r="CD43" s="45">
        <v>6.2799999999999994</v>
      </c>
      <c r="CE43" s="46">
        <v>6.3999999999999995</v>
      </c>
      <c r="CF43" s="44">
        <v>1.87</v>
      </c>
      <c r="CG43" s="45">
        <v>1.37</v>
      </c>
      <c r="CH43" s="46">
        <v>1.62</v>
      </c>
      <c r="CI43" s="44">
        <v>0.43</v>
      </c>
      <c r="CJ43" s="45">
        <v>0.39</v>
      </c>
      <c r="CK43" s="46">
        <v>0.41000000000000003</v>
      </c>
      <c r="CL43" s="44">
        <v>37.979999999999997</v>
      </c>
      <c r="CM43">
        <v>35.58</v>
      </c>
      <c r="CN43">
        <v>36.78</v>
      </c>
      <c r="CO43">
        <v>7.35</v>
      </c>
      <c r="CP43">
        <v>2.3499999999999996</v>
      </c>
      <c r="CQ43">
        <v>4.8499999999999996</v>
      </c>
    </row>
    <row r="44" spans="1:95">
      <c r="A44" s="223">
        <v>45331</v>
      </c>
      <c r="B44" s="90" t="s">
        <v>100</v>
      </c>
      <c r="C44" s="44">
        <v>150.53</v>
      </c>
      <c r="D44" s="45">
        <v>148.53</v>
      </c>
      <c r="E44" s="46">
        <v>149.53</v>
      </c>
      <c r="F44" s="44">
        <v>162.59</v>
      </c>
      <c r="G44" s="45">
        <v>159.59</v>
      </c>
      <c r="H44" s="46">
        <v>161.09</v>
      </c>
      <c r="I44" s="44">
        <v>112.68</v>
      </c>
      <c r="J44" s="45">
        <v>109.48</v>
      </c>
      <c r="K44" s="46">
        <v>111.08000000000001</v>
      </c>
      <c r="L44" s="45">
        <v>192.63</v>
      </c>
      <c r="M44" s="45">
        <v>184.63</v>
      </c>
      <c r="N44" s="45">
        <v>188.63</v>
      </c>
      <c r="O44" s="44">
        <v>171.95</v>
      </c>
      <c r="P44" s="45">
        <v>170.14999999999998</v>
      </c>
      <c r="Q44" s="46">
        <v>171.04999999999998</v>
      </c>
      <c r="R44" s="45">
        <v>21.91</v>
      </c>
      <c r="S44" s="45">
        <v>21.31</v>
      </c>
      <c r="T44" s="45">
        <v>21.61</v>
      </c>
      <c r="U44" s="44">
        <v>14.36</v>
      </c>
      <c r="V44" s="45">
        <v>13.76</v>
      </c>
      <c r="W44" s="46">
        <v>14.059999999999999</v>
      </c>
      <c r="X44" s="44">
        <v>14.67</v>
      </c>
      <c r="Y44" s="45">
        <v>13.87</v>
      </c>
      <c r="Z44" s="46">
        <v>14.27</v>
      </c>
      <c r="AA44" s="44">
        <v>99.02</v>
      </c>
      <c r="AB44" s="45">
        <v>95.02</v>
      </c>
      <c r="AC44" s="46">
        <v>97.02</v>
      </c>
      <c r="AD44" s="44">
        <v>93.45</v>
      </c>
      <c r="AE44" s="45">
        <v>89.45</v>
      </c>
      <c r="AF44" s="46">
        <v>91.45</v>
      </c>
      <c r="AG44" s="45">
        <v>19.55</v>
      </c>
      <c r="AH44" s="45">
        <v>18.690000000000001</v>
      </c>
      <c r="AI44" s="45">
        <v>19.12</v>
      </c>
      <c r="AJ44" s="47"/>
      <c r="AK44" s="48"/>
      <c r="AL44" s="49"/>
      <c r="AM44" s="45">
        <v>111.78</v>
      </c>
      <c r="AN44" s="45">
        <v>110.12</v>
      </c>
      <c r="AO44" s="45">
        <v>110.95</v>
      </c>
      <c r="AP44" s="44">
        <v>40.74</v>
      </c>
      <c r="AQ44" s="45">
        <v>39.14</v>
      </c>
      <c r="AR44" s="46">
        <v>39.94</v>
      </c>
      <c r="AS44" s="45">
        <v>41.46</v>
      </c>
      <c r="AT44" s="45">
        <v>40.1</v>
      </c>
      <c r="AU44" s="45">
        <v>40.78</v>
      </c>
      <c r="AV44" s="44">
        <v>21.03</v>
      </c>
      <c r="AW44" s="45">
        <v>20.43</v>
      </c>
      <c r="AX44" s="46">
        <v>20.73</v>
      </c>
      <c r="AY44" s="44">
        <v>4.25</v>
      </c>
      <c r="AZ44" s="45">
        <v>4.09</v>
      </c>
      <c r="BA44" s="46">
        <v>4.17</v>
      </c>
      <c r="BB44" s="44">
        <v>1.96</v>
      </c>
      <c r="BC44" s="50">
        <v>1.66</v>
      </c>
      <c r="BD44" s="51">
        <v>1.81</v>
      </c>
      <c r="BE44" s="45">
        <v>0.69</v>
      </c>
      <c r="BF44" s="50">
        <v>0.38999999999999996</v>
      </c>
      <c r="BG44" s="50">
        <v>0.53999999999999992</v>
      </c>
      <c r="BH44" s="44">
        <v>494.28</v>
      </c>
      <c r="BI44" s="45">
        <v>478.28</v>
      </c>
      <c r="BJ44" s="46">
        <v>486.28</v>
      </c>
      <c r="BK44" s="45">
        <v>41.77</v>
      </c>
      <c r="BL44" s="45">
        <v>40.410000000000004</v>
      </c>
      <c r="BM44" s="45">
        <v>41.09</v>
      </c>
      <c r="BN44" s="52">
        <v>1.08</v>
      </c>
      <c r="BO44" s="50">
        <v>0.84000000000000008</v>
      </c>
      <c r="BP44" s="51">
        <v>0.96000000000000008</v>
      </c>
      <c r="BQ44" s="45">
        <v>9.73</v>
      </c>
      <c r="BR44" s="45">
        <v>7.73</v>
      </c>
      <c r="BS44" s="45">
        <v>8.73</v>
      </c>
      <c r="BT44" s="44">
        <v>11.44</v>
      </c>
      <c r="BU44" s="45">
        <v>11.04</v>
      </c>
      <c r="BV44" s="46">
        <v>11.239999999999998</v>
      </c>
      <c r="BW44" s="44">
        <v>2.84</v>
      </c>
      <c r="BX44" s="50">
        <v>2.5599999999999996</v>
      </c>
      <c r="BY44" s="51">
        <v>2.6999999999999997</v>
      </c>
      <c r="BZ44" s="44">
        <v>9.3800000000000008</v>
      </c>
      <c r="CA44" s="45">
        <v>6.3800000000000008</v>
      </c>
      <c r="CB44" s="46">
        <v>7.8800000000000008</v>
      </c>
      <c r="CC44" s="44">
        <v>6.51</v>
      </c>
      <c r="CD44" s="45">
        <v>6.27</v>
      </c>
      <c r="CE44" s="46">
        <v>6.39</v>
      </c>
      <c r="CF44" s="44">
        <v>1.89</v>
      </c>
      <c r="CG44" s="45">
        <v>1.39</v>
      </c>
      <c r="CH44" s="46">
        <v>1.64</v>
      </c>
      <c r="CI44" s="44">
        <v>0.44</v>
      </c>
      <c r="CJ44" s="45">
        <v>0.4</v>
      </c>
      <c r="CK44" s="46">
        <v>0.42000000000000004</v>
      </c>
      <c r="CL44" s="44">
        <v>38.450000000000003</v>
      </c>
      <c r="CM44">
        <v>36.050000000000004</v>
      </c>
      <c r="CN44">
        <v>37.25</v>
      </c>
      <c r="CO44">
        <v>7.39</v>
      </c>
      <c r="CP44">
        <v>2.3899999999999997</v>
      </c>
      <c r="CQ44">
        <v>4.8899999999999997</v>
      </c>
    </row>
    <row r="45" spans="1:95">
      <c r="A45" s="223">
        <v>45332</v>
      </c>
      <c r="B45" s="90" t="s">
        <v>307</v>
      </c>
      <c r="C45" s="44"/>
      <c r="D45" s="45"/>
      <c r="E45" s="46"/>
      <c r="F45" s="44"/>
      <c r="G45" s="45"/>
      <c r="H45" s="46"/>
      <c r="I45" s="44"/>
      <c r="J45" s="45"/>
      <c r="K45" s="46"/>
      <c r="L45" s="45"/>
      <c r="M45" s="45"/>
      <c r="N45" s="45"/>
      <c r="O45" s="44"/>
      <c r="P45" s="45"/>
      <c r="Q45" s="46"/>
      <c r="R45" s="45"/>
      <c r="S45" s="45"/>
      <c r="T45" s="45"/>
      <c r="U45" s="44"/>
      <c r="V45" s="45"/>
      <c r="W45" s="46"/>
      <c r="X45" s="44"/>
      <c r="Y45" s="45"/>
      <c r="Z45" s="46"/>
      <c r="AA45" s="44"/>
      <c r="AB45" s="45"/>
      <c r="AC45" s="46"/>
      <c r="AD45" s="44"/>
      <c r="AE45" s="45"/>
      <c r="AF45" s="46"/>
      <c r="AG45" s="45"/>
      <c r="AH45" s="45"/>
      <c r="AI45" s="45"/>
      <c r="AJ45" s="47"/>
      <c r="AK45" s="48"/>
      <c r="AL45" s="49"/>
      <c r="AM45" s="45"/>
      <c r="AN45" s="45"/>
      <c r="AO45" s="45"/>
      <c r="AP45" s="44"/>
      <c r="AQ45" s="45"/>
      <c r="AR45" s="46"/>
      <c r="AS45" s="45"/>
      <c r="AT45" s="45"/>
      <c r="AU45" s="45"/>
      <c r="AV45" s="44"/>
      <c r="AW45" s="45"/>
      <c r="AX45" s="46"/>
      <c r="AY45" s="44"/>
      <c r="AZ45" s="45"/>
      <c r="BA45" s="46"/>
      <c r="BB45" s="44"/>
      <c r="BC45" s="50"/>
      <c r="BD45" s="51"/>
      <c r="BE45" s="45"/>
      <c r="BF45" s="50"/>
      <c r="BG45" s="50"/>
      <c r="BH45" s="44"/>
      <c r="BI45" s="45"/>
      <c r="BJ45" s="46"/>
      <c r="BK45" s="45"/>
      <c r="BL45" s="45"/>
      <c r="BM45" s="45"/>
      <c r="BN45" s="52"/>
      <c r="BO45" s="50"/>
      <c r="BP45" s="51"/>
      <c r="BQ45" s="45"/>
      <c r="BR45" s="45"/>
      <c r="BS45" s="45"/>
      <c r="BT45" s="44"/>
      <c r="BU45" s="45"/>
      <c r="BV45" s="46"/>
      <c r="BW45" s="44"/>
      <c r="BX45" s="50"/>
      <c r="BY45" s="51"/>
      <c r="BZ45" s="44"/>
      <c r="CA45" s="45"/>
      <c r="CB45" s="46"/>
      <c r="CC45" s="44"/>
      <c r="CD45" s="45"/>
      <c r="CE45" s="46"/>
      <c r="CF45" s="44"/>
      <c r="CG45" s="45"/>
      <c r="CH45" s="46"/>
      <c r="CI45" s="44"/>
      <c r="CJ45" s="45"/>
      <c r="CK45" s="46"/>
      <c r="CL45" s="44"/>
    </row>
    <row r="46" spans="1:95">
      <c r="A46" s="223">
        <v>45333</v>
      </c>
      <c r="B46" s="90" t="s">
        <v>308</v>
      </c>
      <c r="C46" s="45"/>
      <c r="D46" s="45"/>
      <c r="E46" s="45"/>
      <c r="F46" s="44"/>
      <c r="G46" s="45"/>
      <c r="H46" s="46"/>
      <c r="I46" s="45"/>
      <c r="J46" s="45"/>
      <c r="K46" s="45"/>
      <c r="L46" s="44"/>
      <c r="M46" s="45"/>
      <c r="N46" s="46"/>
      <c r="O46" s="45"/>
      <c r="P46" s="45"/>
      <c r="Q46" s="45"/>
      <c r="R46" s="44"/>
      <c r="S46" s="45"/>
      <c r="T46" s="46"/>
      <c r="U46" s="44"/>
      <c r="V46" s="45"/>
      <c r="W46" s="46"/>
      <c r="X46" s="44"/>
      <c r="Y46" s="45"/>
      <c r="Z46" s="46"/>
      <c r="AA46" s="44"/>
      <c r="AB46" s="45"/>
      <c r="AC46" s="46"/>
      <c r="AD46" s="45"/>
      <c r="AE46" s="45"/>
      <c r="AF46" s="45"/>
      <c r="AG46" s="44"/>
      <c r="AH46" s="45"/>
      <c r="AI46" s="46"/>
      <c r="AJ46" s="47"/>
      <c r="AK46" s="48"/>
      <c r="AL46" s="49"/>
      <c r="AM46" s="44"/>
      <c r="AN46" s="45"/>
      <c r="AO46" s="46"/>
      <c r="AP46" s="44"/>
      <c r="AQ46" s="45"/>
      <c r="AR46" s="46"/>
      <c r="AS46" s="45"/>
      <c r="AT46" s="45"/>
      <c r="AU46" s="45"/>
      <c r="AV46" s="44"/>
      <c r="AW46" s="45"/>
      <c r="AX46" s="46"/>
      <c r="AY46" s="44"/>
      <c r="AZ46" s="45"/>
      <c r="BA46" s="46"/>
      <c r="BB46" s="44"/>
      <c r="BC46" s="50"/>
      <c r="BD46" s="51"/>
      <c r="BE46" s="44"/>
      <c r="BF46" s="50"/>
      <c r="BG46" s="51"/>
      <c r="BH46" s="44"/>
      <c r="BI46" s="45"/>
      <c r="BJ46" s="46"/>
      <c r="BK46" s="45"/>
      <c r="BL46" s="45"/>
      <c r="BM46" s="45"/>
      <c r="BN46" s="52"/>
      <c r="BO46" s="50"/>
      <c r="BP46" s="51"/>
      <c r="BQ46" s="45"/>
      <c r="BR46" s="45"/>
      <c r="BS46" s="45"/>
      <c r="BT46" s="44"/>
      <c r="BU46" s="45"/>
      <c r="BV46" s="46"/>
      <c r="BW46" s="44"/>
      <c r="BX46" s="50"/>
      <c r="BY46" s="51"/>
      <c r="BZ46" s="44"/>
      <c r="CA46" s="45"/>
      <c r="CB46" s="46"/>
      <c r="CC46" s="44"/>
      <c r="CD46" s="45"/>
      <c r="CE46" s="46"/>
      <c r="CF46" s="45"/>
      <c r="CG46" s="45"/>
      <c r="CH46" s="45"/>
      <c r="CI46" s="44"/>
      <c r="CJ46" s="45"/>
      <c r="CK46" s="46"/>
      <c r="CL46" s="44"/>
    </row>
    <row r="47" spans="1:95">
      <c r="A47" s="223">
        <v>45334</v>
      </c>
      <c r="B47" s="90" t="s">
        <v>96</v>
      </c>
      <c r="C47" s="44"/>
      <c r="D47" s="45"/>
      <c r="E47" s="46"/>
      <c r="F47" s="44"/>
      <c r="G47" s="45"/>
      <c r="H47" s="46"/>
      <c r="I47" s="44"/>
      <c r="J47" s="45"/>
      <c r="K47" s="46"/>
      <c r="L47" s="45"/>
      <c r="M47" s="45"/>
      <c r="N47" s="45"/>
      <c r="O47" s="44"/>
      <c r="P47" s="45"/>
      <c r="Q47" s="46"/>
      <c r="R47" s="45"/>
      <c r="S47" s="45"/>
      <c r="T47" s="45"/>
      <c r="U47" s="44"/>
      <c r="V47" s="45"/>
      <c r="W47" s="46"/>
      <c r="X47" s="44"/>
      <c r="Y47" s="45"/>
      <c r="Z47" s="46"/>
      <c r="AA47" s="44"/>
      <c r="AB47" s="45"/>
      <c r="AC47" s="46"/>
      <c r="AD47" s="44"/>
      <c r="AE47" s="45"/>
      <c r="AF47" s="46"/>
      <c r="AG47" s="45"/>
      <c r="AH47" s="45"/>
      <c r="AI47" s="45"/>
      <c r="AJ47" s="47"/>
      <c r="AK47" s="48"/>
      <c r="AL47" s="49"/>
      <c r="AM47" s="45"/>
      <c r="AN47" s="45"/>
      <c r="AO47" s="45"/>
      <c r="AP47" s="44"/>
      <c r="AQ47" s="45"/>
      <c r="AR47" s="46"/>
      <c r="AS47" s="45"/>
      <c r="AT47" s="45"/>
      <c r="AU47" s="45"/>
      <c r="AV47" s="44"/>
      <c r="AW47" s="45"/>
      <c r="AX47" s="46"/>
      <c r="AY47" s="44"/>
      <c r="AZ47" s="45"/>
      <c r="BA47" s="46"/>
      <c r="BB47" s="44"/>
      <c r="BC47" s="50"/>
      <c r="BD47" s="51"/>
      <c r="BE47" s="45"/>
      <c r="BF47" s="50"/>
      <c r="BG47" s="50"/>
      <c r="BH47" s="44"/>
      <c r="BI47" s="45"/>
      <c r="BJ47" s="46"/>
      <c r="BK47" s="45"/>
      <c r="BL47" s="45"/>
      <c r="BM47" s="45"/>
      <c r="BN47" s="52"/>
      <c r="BO47" s="50"/>
      <c r="BP47" s="51"/>
      <c r="BQ47" s="45"/>
      <c r="BR47" s="45"/>
      <c r="BS47" s="45"/>
      <c r="BT47" s="44"/>
      <c r="BU47" s="45"/>
      <c r="BV47" s="46"/>
      <c r="BW47" s="44"/>
      <c r="BX47" s="50"/>
      <c r="BY47" s="51"/>
      <c r="BZ47" s="44"/>
      <c r="CA47" s="45"/>
      <c r="CB47" s="46"/>
      <c r="CC47" s="44"/>
      <c r="CD47" s="45"/>
      <c r="CE47" s="46"/>
      <c r="CF47" s="44"/>
      <c r="CG47" s="45"/>
      <c r="CH47" s="46"/>
      <c r="CI47" s="44"/>
      <c r="CJ47" s="45"/>
      <c r="CK47" s="46"/>
      <c r="CL47" s="44"/>
    </row>
    <row r="48" spans="1:95">
      <c r="A48" s="223">
        <v>45335</v>
      </c>
      <c r="B48" s="90" t="s">
        <v>97</v>
      </c>
      <c r="C48" s="44">
        <v>150.38999999999999</v>
      </c>
      <c r="D48" s="45">
        <v>148.38999999999999</v>
      </c>
      <c r="E48" s="46">
        <v>149.38999999999999</v>
      </c>
      <c r="F48" s="44">
        <v>162.41999999999999</v>
      </c>
      <c r="G48" s="45">
        <v>159.41999999999999</v>
      </c>
      <c r="H48" s="46">
        <v>160.91999999999999</v>
      </c>
      <c r="I48" s="44">
        <v>112.65</v>
      </c>
      <c r="J48" s="45">
        <v>109.45</v>
      </c>
      <c r="K48" s="46">
        <v>111.05000000000001</v>
      </c>
      <c r="L48" s="45">
        <v>192.62</v>
      </c>
      <c r="M48" s="45">
        <v>184.62</v>
      </c>
      <c r="N48" s="45">
        <v>188.62</v>
      </c>
      <c r="O48" s="44">
        <v>171.46</v>
      </c>
      <c r="P48" s="45">
        <v>169.66</v>
      </c>
      <c r="Q48" s="46">
        <v>170.56</v>
      </c>
      <c r="R48" s="45">
        <v>21.89</v>
      </c>
      <c r="S48" s="45">
        <v>21.29</v>
      </c>
      <c r="T48" s="45">
        <v>21.59</v>
      </c>
      <c r="U48" s="44">
        <v>14.52</v>
      </c>
      <c r="V48" s="45">
        <v>13.92</v>
      </c>
      <c r="W48" s="46">
        <v>14.219999999999999</v>
      </c>
      <c r="X48" s="44">
        <v>14.76</v>
      </c>
      <c r="Y48" s="45">
        <v>13.959999999999999</v>
      </c>
      <c r="Z48" s="46">
        <v>14.36</v>
      </c>
      <c r="AA48" s="44">
        <v>99.51</v>
      </c>
      <c r="AB48" s="45">
        <v>95.51</v>
      </c>
      <c r="AC48" s="46">
        <v>97.51</v>
      </c>
      <c r="AD48" s="44">
        <v>93.47</v>
      </c>
      <c r="AE48" s="45">
        <v>89.47</v>
      </c>
      <c r="AF48" s="46">
        <v>91.47</v>
      </c>
      <c r="AG48" s="45">
        <v>19.54</v>
      </c>
      <c r="AH48" s="45">
        <v>18.68</v>
      </c>
      <c r="AI48" s="45">
        <v>19.11</v>
      </c>
      <c r="AJ48" s="47"/>
      <c r="AK48" s="48"/>
      <c r="AL48" s="49"/>
      <c r="AM48" s="45">
        <v>111.88</v>
      </c>
      <c r="AN48" s="45">
        <v>110.22</v>
      </c>
      <c r="AO48" s="45">
        <v>111.05</v>
      </c>
      <c r="AP48" s="44">
        <v>40.700000000000003</v>
      </c>
      <c r="AQ48" s="45">
        <v>39.1</v>
      </c>
      <c r="AR48" s="46">
        <v>39.900000000000006</v>
      </c>
      <c r="AS48" s="45">
        <v>41.42</v>
      </c>
      <c r="AT48" s="45">
        <v>40.06</v>
      </c>
      <c r="AU48" s="45">
        <v>40.74</v>
      </c>
      <c r="AV48" s="44">
        <v>20.99</v>
      </c>
      <c r="AW48" s="45">
        <v>20.389999999999997</v>
      </c>
      <c r="AX48" s="46">
        <v>20.689999999999998</v>
      </c>
      <c r="AY48" s="44">
        <v>4.25</v>
      </c>
      <c r="AZ48" s="45">
        <v>4.09</v>
      </c>
      <c r="BA48" s="46">
        <v>4.17</v>
      </c>
      <c r="BB48" s="44">
        <v>1.96</v>
      </c>
      <c r="BC48" s="50">
        <v>1.66</v>
      </c>
      <c r="BD48" s="51">
        <v>1.81</v>
      </c>
      <c r="BE48" s="45">
        <v>0.69</v>
      </c>
      <c r="BF48" s="50">
        <v>0.38999999999999996</v>
      </c>
      <c r="BG48" s="50">
        <v>0.53999999999999992</v>
      </c>
      <c r="BH48" s="44">
        <v>492.25</v>
      </c>
      <c r="BI48" s="45">
        <v>476.25</v>
      </c>
      <c r="BJ48" s="46">
        <v>484.25</v>
      </c>
      <c r="BK48" s="45">
        <v>41.72</v>
      </c>
      <c r="BL48" s="45">
        <v>40.36</v>
      </c>
      <c r="BM48" s="45">
        <v>41.04</v>
      </c>
      <c r="BN48" s="52">
        <v>1.08</v>
      </c>
      <c r="BO48" s="50">
        <v>0.84000000000000008</v>
      </c>
      <c r="BP48" s="51">
        <v>0.96000000000000008</v>
      </c>
      <c r="BQ48" s="45">
        <v>9.75</v>
      </c>
      <c r="BR48" s="45">
        <v>7.75</v>
      </c>
      <c r="BS48" s="45">
        <v>8.75</v>
      </c>
      <c r="BT48" s="44">
        <v>11.45</v>
      </c>
      <c r="BU48" s="45">
        <v>11.049999999999999</v>
      </c>
      <c r="BV48" s="46">
        <v>11.25</v>
      </c>
      <c r="BW48" s="44">
        <v>2.83</v>
      </c>
      <c r="BX48" s="50">
        <v>2.5499999999999998</v>
      </c>
      <c r="BY48" s="51">
        <v>2.69</v>
      </c>
      <c r="BZ48" s="44">
        <v>9.39</v>
      </c>
      <c r="CA48" s="45">
        <v>6.3900000000000006</v>
      </c>
      <c r="CB48" s="46">
        <v>7.8900000000000006</v>
      </c>
      <c r="CC48" s="44">
        <v>6.51</v>
      </c>
      <c r="CD48" s="45">
        <v>6.27</v>
      </c>
      <c r="CE48" s="46">
        <v>6.39</v>
      </c>
      <c r="CF48" s="44">
        <v>1.89</v>
      </c>
      <c r="CG48" s="45">
        <v>1.39</v>
      </c>
      <c r="CH48" s="46">
        <v>1.64</v>
      </c>
      <c r="CI48" s="44">
        <v>0.44</v>
      </c>
      <c r="CJ48" s="45">
        <v>0.4</v>
      </c>
      <c r="CK48" s="46">
        <v>0.42000000000000004</v>
      </c>
      <c r="CL48" s="44">
        <v>38.56</v>
      </c>
      <c r="CM48">
        <v>36.160000000000004</v>
      </c>
      <c r="CN48">
        <v>37.36</v>
      </c>
      <c r="CO48">
        <v>7.37</v>
      </c>
      <c r="CP48">
        <v>2.37</v>
      </c>
      <c r="CQ48">
        <v>4.87</v>
      </c>
    </row>
    <row r="49" spans="1:95">
      <c r="A49" s="223">
        <v>45336</v>
      </c>
      <c r="B49" s="90" t="s">
        <v>98</v>
      </c>
      <c r="C49" s="44">
        <v>151.68</v>
      </c>
      <c r="D49" s="45">
        <v>149.68</v>
      </c>
      <c r="E49" s="46">
        <v>150.68</v>
      </c>
      <c r="F49" s="44">
        <v>162.94999999999999</v>
      </c>
      <c r="G49" s="45">
        <v>159.94999999999999</v>
      </c>
      <c r="H49" s="46">
        <v>161.44999999999999</v>
      </c>
      <c r="I49" s="44">
        <v>112.68</v>
      </c>
      <c r="J49" s="45">
        <v>109.48</v>
      </c>
      <c r="K49" s="46">
        <v>111.08000000000001</v>
      </c>
      <c r="L49" s="45">
        <v>193.84</v>
      </c>
      <c r="M49" s="45">
        <v>185.84</v>
      </c>
      <c r="N49" s="45">
        <v>189.84</v>
      </c>
      <c r="O49" s="44">
        <v>170.81</v>
      </c>
      <c r="P49" s="45">
        <v>169.01</v>
      </c>
      <c r="Q49" s="46">
        <v>169.91</v>
      </c>
      <c r="R49" s="45">
        <v>21.96</v>
      </c>
      <c r="S49" s="45">
        <v>21.36</v>
      </c>
      <c r="T49" s="45">
        <v>21.66</v>
      </c>
      <c r="U49" s="44">
        <v>14.43</v>
      </c>
      <c r="V49" s="45">
        <v>13.83</v>
      </c>
      <c r="W49" s="46">
        <v>14.129999999999999</v>
      </c>
      <c r="X49" s="44">
        <v>14.65</v>
      </c>
      <c r="Y49" s="45">
        <v>13.85</v>
      </c>
      <c r="Z49" s="46">
        <v>14.25</v>
      </c>
      <c r="AA49" s="44">
        <v>99.26</v>
      </c>
      <c r="AB49" s="45">
        <v>95.26</v>
      </c>
      <c r="AC49" s="46">
        <v>97.26</v>
      </c>
      <c r="AD49" s="44">
        <v>93.27</v>
      </c>
      <c r="AE49" s="45">
        <v>89.27</v>
      </c>
      <c r="AF49" s="46">
        <v>91.27</v>
      </c>
      <c r="AG49" s="45">
        <v>19.7</v>
      </c>
      <c r="AH49" s="45">
        <v>18.84</v>
      </c>
      <c r="AI49" s="45">
        <v>19.27</v>
      </c>
      <c r="AJ49" s="47"/>
      <c r="AK49" s="48"/>
      <c r="AL49" s="49"/>
      <c r="AM49" s="45">
        <v>112.39</v>
      </c>
      <c r="AN49" s="45">
        <v>110.73</v>
      </c>
      <c r="AO49" s="45">
        <v>111.56</v>
      </c>
      <c r="AP49" s="44">
        <v>41.05</v>
      </c>
      <c r="AQ49" s="45">
        <v>39.449999999999996</v>
      </c>
      <c r="AR49" s="46">
        <v>40.25</v>
      </c>
      <c r="AS49" s="45">
        <v>41.77</v>
      </c>
      <c r="AT49" s="45">
        <v>40.410000000000004</v>
      </c>
      <c r="AU49" s="45">
        <v>41.09</v>
      </c>
      <c r="AV49" s="44">
        <v>21.16</v>
      </c>
      <c r="AW49" s="45">
        <v>20.56</v>
      </c>
      <c r="AX49" s="46">
        <v>20.86</v>
      </c>
      <c r="AY49" s="44">
        <v>4.26</v>
      </c>
      <c r="AZ49" s="45">
        <v>4.0999999999999996</v>
      </c>
      <c r="BA49" s="46">
        <v>4.18</v>
      </c>
      <c r="BB49" s="44">
        <v>1.97</v>
      </c>
      <c r="BC49" s="50">
        <v>1.67</v>
      </c>
      <c r="BD49" s="51">
        <v>1.8199999999999998</v>
      </c>
      <c r="BE49" s="45">
        <v>0.69</v>
      </c>
      <c r="BF49" s="50">
        <v>0.38999999999999996</v>
      </c>
      <c r="BG49" s="50">
        <v>0.53999999999999992</v>
      </c>
      <c r="BH49" s="44">
        <v>497.7</v>
      </c>
      <c r="BI49" s="45">
        <v>481.7</v>
      </c>
      <c r="BJ49" s="46">
        <v>489.7</v>
      </c>
      <c r="BK49" s="45">
        <v>42.09</v>
      </c>
      <c r="BL49" s="45">
        <v>40.730000000000004</v>
      </c>
      <c r="BM49" s="45">
        <v>41.410000000000004</v>
      </c>
      <c r="BN49" s="52">
        <v>1.0900000000000001</v>
      </c>
      <c r="BO49" s="50">
        <v>0.85000000000000009</v>
      </c>
      <c r="BP49" s="51">
        <v>0.97000000000000008</v>
      </c>
      <c r="BQ49" s="45">
        <v>9.77</v>
      </c>
      <c r="BR49" s="45">
        <v>7.77</v>
      </c>
      <c r="BS49" s="45">
        <v>8.77</v>
      </c>
      <c r="BT49" s="44">
        <v>11.49</v>
      </c>
      <c r="BU49" s="45">
        <v>11.09</v>
      </c>
      <c r="BV49" s="46">
        <v>11.29</v>
      </c>
      <c r="BW49" s="44">
        <v>2.85</v>
      </c>
      <c r="BX49" s="50">
        <v>2.5700000000000003</v>
      </c>
      <c r="BY49" s="51">
        <v>2.71</v>
      </c>
      <c r="BZ49" s="44">
        <v>9.3699999999999992</v>
      </c>
      <c r="CA49" s="45">
        <v>6.3699999999999992</v>
      </c>
      <c r="CB49" s="46">
        <v>7.8699999999999992</v>
      </c>
      <c r="CC49" s="44">
        <v>6.49</v>
      </c>
      <c r="CD49" s="45">
        <v>6.25</v>
      </c>
      <c r="CE49" s="46">
        <v>6.37</v>
      </c>
      <c r="CF49" s="44">
        <v>1.9</v>
      </c>
      <c r="CG49" s="45">
        <v>1.4</v>
      </c>
      <c r="CH49" s="46">
        <v>1.65</v>
      </c>
      <c r="CI49" s="44">
        <v>0.44</v>
      </c>
      <c r="CJ49" s="45">
        <v>0.4</v>
      </c>
      <c r="CK49" s="46">
        <v>0.42000000000000004</v>
      </c>
      <c r="CL49" s="44">
        <v>38.44</v>
      </c>
      <c r="CM49">
        <v>36.04</v>
      </c>
      <c r="CN49">
        <v>37.239999999999995</v>
      </c>
      <c r="CO49">
        <v>7.41</v>
      </c>
      <c r="CP49">
        <v>2.41</v>
      </c>
      <c r="CQ49">
        <v>4.91</v>
      </c>
    </row>
    <row r="50" spans="1:95">
      <c r="A50" s="223">
        <v>45337</v>
      </c>
      <c r="B50" s="90" t="s">
        <v>99</v>
      </c>
      <c r="C50" s="44">
        <v>151.49</v>
      </c>
      <c r="D50" s="45">
        <v>149.49</v>
      </c>
      <c r="E50" s="46">
        <v>150.49</v>
      </c>
      <c r="F50" s="44">
        <v>163.02000000000001</v>
      </c>
      <c r="G50" s="45">
        <v>160.02000000000001</v>
      </c>
      <c r="H50" s="46">
        <v>161.52000000000001</v>
      </c>
      <c r="I50" s="44">
        <v>112.74</v>
      </c>
      <c r="J50" s="45">
        <v>109.53999999999999</v>
      </c>
      <c r="K50" s="46">
        <v>111.13999999999999</v>
      </c>
      <c r="L50" s="45">
        <v>193.17</v>
      </c>
      <c r="M50" s="45">
        <v>185.17</v>
      </c>
      <c r="N50" s="45">
        <v>189.17</v>
      </c>
      <c r="O50" s="44">
        <v>170.83</v>
      </c>
      <c r="P50" s="45">
        <v>169.03</v>
      </c>
      <c r="Q50" s="46">
        <v>169.93</v>
      </c>
      <c r="R50" s="45">
        <v>21.97</v>
      </c>
      <c r="S50" s="45">
        <v>21.369999999999997</v>
      </c>
      <c r="T50" s="45">
        <v>21.669999999999998</v>
      </c>
      <c r="U50" s="44">
        <v>14.53</v>
      </c>
      <c r="V50" s="45">
        <v>13.93</v>
      </c>
      <c r="W50" s="46">
        <v>14.23</v>
      </c>
      <c r="X50" s="44">
        <v>14.72</v>
      </c>
      <c r="Y50" s="45">
        <v>13.92</v>
      </c>
      <c r="Z50" s="46">
        <v>14.32</v>
      </c>
      <c r="AA50" s="44">
        <v>99.61</v>
      </c>
      <c r="AB50" s="45">
        <v>95.61</v>
      </c>
      <c r="AC50" s="46">
        <v>97.61</v>
      </c>
      <c r="AD50" s="44">
        <v>93.65</v>
      </c>
      <c r="AE50" s="45">
        <v>89.65</v>
      </c>
      <c r="AF50" s="46">
        <v>91.65</v>
      </c>
      <c r="AG50" s="45">
        <v>19.68</v>
      </c>
      <c r="AH50" s="45">
        <v>18.82</v>
      </c>
      <c r="AI50" s="45">
        <v>19.25</v>
      </c>
      <c r="AJ50" s="47"/>
      <c r="AK50" s="48"/>
      <c r="AL50" s="49"/>
      <c r="AM50" s="45">
        <v>112.48</v>
      </c>
      <c r="AN50" s="45">
        <v>110.82000000000001</v>
      </c>
      <c r="AO50" s="45">
        <v>111.65</v>
      </c>
      <c r="AP50" s="44">
        <v>40.99</v>
      </c>
      <c r="AQ50" s="45">
        <v>39.39</v>
      </c>
      <c r="AR50" s="46">
        <v>40.19</v>
      </c>
      <c r="AS50" s="45">
        <v>41.73</v>
      </c>
      <c r="AT50" s="45">
        <v>40.369999999999997</v>
      </c>
      <c r="AU50" s="45">
        <v>41.05</v>
      </c>
      <c r="AV50" s="44">
        <v>21.14</v>
      </c>
      <c r="AW50" s="45">
        <v>20.54</v>
      </c>
      <c r="AX50" s="46">
        <v>20.84</v>
      </c>
      <c r="AY50" s="44">
        <v>4.25</v>
      </c>
      <c r="AZ50" s="45">
        <v>4.09</v>
      </c>
      <c r="BA50" s="46">
        <v>4.17</v>
      </c>
      <c r="BB50" s="44">
        <v>1.97</v>
      </c>
      <c r="BC50" s="50">
        <v>1.67</v>
      </c>
      <c r="BD50" s="51">
        <v>1.8199999999999998</v>
      </c>
      <c r="BE50" s="45">
        <v>0.69</v>
      </c>
      <c r="BF50" s="50">
        <v>0.38999999999999996</v>
      </c>
      <c r="BG50" s="50">
        <v>0.53999999999999992</v>
      </c>
      <c r="BH50" s="44">
        <v>495.65</v>
      </c>
      <c r="BI50" s="45">
        <v>479.65</v>
      </c>
      <c r="BJ50" s="46">
        <v>487.65</v>
      </c>
      <c r="BK50" s="45">
        <v>42.02</v>
      </c>
      <c r="BL50" s="45">
        <v>40.660000000000004</v>
      </c>
      <c r="BM50" s="45">
        <v>41.34</v>
      </c>
      <c r="BN50" s="52">
        <v>1.0900000000000001</v>
      </c>
      <c r="BO50" s="50">
        <v>0.85000000000000009</v>
      </c>
      <c r="BP50" s="51">
        <v>0.97000000000000008</v>
      </c>
      <c r="BQ50" s="45">
        <v>9.81</v>
      </c>
      <c r="BR50" s="45">
        <v>7.8100000000000005</v>
      </c>
      <c r="BS50" s="45">
        <v>8.81</v>
      </c>
      <c r="BT50" s="44">
        <v>11.52</v>
      </c>
      <c r="BU50" s="45">
        <v>11.12</v>
      </c>
      <c r="BV50" s="46">
        <v>11.32</v>
      </c>
      <c r="BW50" s="44">
        <v>2.84</v>
      </c>
      <c r="BX50" s="50">
        <v>2.5599999999999996</v>
      </c>
      <c r="BY50" s="51">
        <v>2.6999999999999997</v>
      </c>
      <c r="BZ50" s="44">
        <v>9.39</v>
      </c>
      <c r="CA50" s="45">
        <v>6.3900000000000006</v>
      </c>
      <c r="CB50" s="46">
        <v>7.8900000000000006</v>
      </c>
      <c r="CC50" s="44">
        <v>6.49</v>
      </c>
      <c r="CD50" s="45">
        <v>6.25</v>
      </c>
      <c r="CE50" s="46">
        <v>6.37</v>
      </c>
      <c r="CF50" s="44">
        <v>1.89</v>
      </c>
      <c r="CG50" s="45">
        <v>1.39</v>
      </c>
      <c r="CH50" s="46">
        <v>1.64</v>
      </c>
      <c r="CI50" s="44">
        <v>0.44</v>
      </c>
      <c r="CJ50" s="45">
        <v>0.4</v>
      </c>
      <c r="CK50" s="46">
        <v>0.42000000000000004</v>
      </c>
      <c r="CL50" s="44">
        <v>38.44</v>
      </c>
      <c r="CM50">
        <v>36.04</v>
      </c>
      <c r="CN50">
        <v>37.239999999999995</v>
      </c>
      <c r="CO50">
        <v>7.41</v>
      </c>
      <c r="CP50">
        <v>2.41</v>
      </c>
      <c r="CQ50">
        <v>4.91</v>
      </c>
    </row>
    <row r="51" spans="1:95">
      <c r="A51" s="223">
        <v>45338</v>
      </c>
      <c r="B51" s="90" t="s">
        <v>100</v>
      </c>
      <c r="C51" s="45">
        <v>151.26</v>
      </c>
      <c r="D51" s="45">
        <v>149.26</v>
      </c>
      <c r="E51" s="45">
        <v>150.26</v>
      </c>
      <c r="F51" s="44">
        <v>163.25</v>
      </c>
      <c r="G51" s="45">
        <v>160.25</v>
      </c>
      <c r="H51" s="46">
        <v>161.75</v>
      </c>
      <c r="I51" s="45">
        <v>113.08</v>
      </c>
      <c r="J51" s="45">
        <v>109.88</v>
      </c>
      <c r="K51" s="45">
        <v>111.47999999999999</v>
      </c>
      <c r="L51" s="44">
        <v>193.09</v>
      </c>
      <c r="M51" s="45">
        <v>185.09</v>
      </c>
      <c r="N51" s="46">
        <v>189.09</v>
      </c>
      <c r="O51" s="45">
        <v>171.49</v>
      </c>
      <c r="P51" s="45">
        <v>169.69</v>
      </c>
      <c r="Q51" s="45">
        <v>170.59</v>
      </c>
      <c r="R51" s="44">
        <v>22</v>
      </c>
      <c r="S51" s="45">
        <v>21.4</v>
      </c>
      <c r="T51" s="46">
        <v>21.7</v>
      </c>
      <c r="U51" s="44">
        <v>14.53</v>
      </c>
      <c r="V51" s="45">
        <v>13.93</v>
      </c>
      <c r="W51" s="46">
        <v>14.23</v>
      </c>
      <c r="X51" s="44">
        <v>14.74</v>
      </c>
      <c r="Y51" s="45">
        <v>13.94</v>
      </c>
      <c r="Z51" s="46">
        <v>14.34</v>
      </c>
      <c r="AA51" s="44">
        <v>99.88</v>
      </c>
      <c r="AB51" s="45">
        <v>95.88</v>
      </c>
      <c r="AC51" s="46">
        <v>97.88</v>
      </c>
      <c r="AD51" s="45">
        <v>93.6</v>
      </c>
      <c r="AE51" s="45">
        <v>89.6</v>
      </c>
      <c r="AF51" s="45">
        <v>91.6</v>
      </c>
      <c r="AG51" s="44">
        <v>19.64</v>
      </c>
      <c r="AH51" s="45">
        <v>18.78</v>
      </c>
      <c r="AI51" s="46">
        <v>19.21</v>
      </c>
      <c r="AJ51" s="47"/>
      <c r="AK51" s="48"/>
      <c r="AL51" s="49"/>
      <c r="AM51" s="44">
        <v>112.42</v>
      </c>
      <c r="AN51" s="45">
        <v>110.76</v>
      </c>
      <c r="AO51" s="46">
        <v>111.59</v>
      </c>
      <c r="AP51" s="44">
        <v>40.93</v>
      </c>
      <c r="AQ51" s="45">
        <v>39.33</v>
      </c>
      <c r="AR51" s="46">
        <v>40.129999999999995</v>
      </c>
      <c r="AS51" s="45">
        <v>41.67</v>
      </c>
      <c r="AT51" s="45">
        <v>40.31</v>
      </c>
      <c r="AU51" s="45">
        <v>40.99</v>
      </c>
      <c r="AV51" s="44">
        <v>21.11</v>
      </c>
      <c r="AW51" s="45">
        <v>20.509999999999998</v>
      </c>
      <c r="AX51" s="46">
        <v>20.81</v>
      </c>
      <c r="AY51" s="44">
        <v>4.25</v>
      </c>
      <c r="AZ51" s="45">
        <v>4.09</v>
      </c>
      <c r="BA51" s="46">
        <v>4.17</v>
      </c>
      <c r="BB51" s="44">
        <v>1.97</v>
      </c>
      <c r="BC51" s="50">
        <v>1.67</v>
      </c>
      <c r="BD51" s="51">
        <v>1.8199999999999998</v>
      </c>
      <c r="BE51" s="44">
        <v>0.69</v>
      </c>
      <c r="BF51" s="50">
        <v>0.38999999999999996</v>
      </c>
      <c r="BG51" s="51">
        <v>0.53999999999999992</v>
      </c>
      <c r="BH51" s="44">
        <v>496.81</v>
      </c>
      <c r="BI51" s="45">
        <v>480.81</v>
      </c>
      <c r="BJ51" s="46">
        <v>488.81</v>
      </c>
      <c r="BK51" s="45">
        <v>41.96</v>
      </c>
      <c r="BL51" s="45">
        <v>40.6</v>
      </c>
      <c r="BM51" s="45">
        <v>41.28</v>
      </c>
      <c r="BN51" s="52">
        <v>1.0900000000000001</v>
      </c>
      <c r="BO51" s="50">
        <v>0.85000000000000009</v>
      </c>
      <c r="BP51" s="51">
        <v>0.97000000000000008</v>
      </c>
      <c r="BQ51" s="45">
        <v>9.82</v>
      </c>
      <c r="BR51" s="45">
        <v>7.82</v>
      </c>
      <c r="BS51" s="45">
        <v>8.82</v>
      </c>
      <c r="BT51" s="44">
        <v>11.5</v>
      </c>
      <c r="BU51" s="45">
        <v>11.1</v>
      </c>
      <c r="BV51" s="46">
        <v>11.3</v>
      </c>
      <c r="BW51" s="44">
        <v>2.84</v>
      </c>
      <c r="BX51" s="50">
        <v>2.5599999999999996</v>
      </c>
      <c r="BY51" s="51">
        <v>2.6999999999999997</v>
      </c>
      <c r="BZ51" s="44">
        <v>9.43</v>
      </c>
      <c r="CA51" s="45">
        <v>6.43</v>
      </c>
      <c r="CB51" s="46">
        <v>7.93</v>
      </c>
      <c r="CC51" s="44">
        <v>6.51</v>
      </c>
      <c r="CD51" s="45">
        <v>6.27</v>
      </c>
      <c r="CE51" s="46">
        <v>6.39</v>
      </c>
      <c r="CF51" s="45">
        <v>1.88</v>
      </c>
      <c r="CG51" s="45">
        <v>1.38</v>
      </c>
      <c r="CH51" s="45">
        <v>1.63</v>
      </c>
      <c r="CI51" s="44">
        <v>0.44</v>
      </c>
      <c r="CJ51" s="45">
        <v>0.4</v>
      </c>
      <c r="CK51" s="46">
        <v>0.42000000000000004</v>
      </c>
      <c r="CL51" s="44">
        <v>38.409999999999997</v>
      </c>
      <c r="CM51">
        <v>36.01</v>
      </c>
      <c r="CN51">
        <v>37.209999999999994</v>
      </c>
      <c r="CO51">
        <v>7.4</v>
      </c>
      <c r="CP51">
        <v>2.4000000000000004</v>
      </c>
      <c r="CQ51">
        <v>4.9000000000000004</v>
      </c>
    </row>
    <row r="52" spans="1:95">
      <c r="A52" s="223">
        <v>45339</v>
      </c>
      <c r="B52" s="90" t="s">
        <v>307</v>
      </c>
      <c r="C52" s="44"/>
      <c r="D52" s="45"/>
      <c r="E52" s="46"/>
      <c r="F52" s="44"/>
      <c r="G52" s="45"/>
      <c r="H52" s="46"/>
      <c r="I52" s="44"/>
      <c r="J52" s="45"/>
      <c r="K52" s="46"/>
      <c r="L52" s="45"/>
      <c r="M52" s="45"/>
      <c r="N52" s="45"/>
      <c r="O52" s="44"/>
      <c r="P52" s="45"/>
      <c r="Q52" s="46"/>
      <c r="R52" s="45"/>
      <c r="S52" s="45"/>
      <c r="T52" s="45"/>
      <c r="U52" s="44"/>
      <c r="V52" s="45"/>
      <c r="W52" s="46"/>
      <c r="X52" s="44"/>
      <c r="Y52" s="45"/>
      <c r="Z52" s="46"/>
      <c r="AA52" s="44"/>
      <c r="AB52" s="45"/>
      <c r="AC52" s="46"/>
      <c r="AD52" s="44"/>
      <c r="AE52" s="45"/>
      <c r="AF52" s="46"/>
      <c r="AG52" s="45"/>
      <c r="AH52" s="45"/>
      <c r="AI52" s="45"/>
      <c r="AJ52" s="47"/>
      <c r="AK52" s="48"/>
      <c r="AL52" s="49"/>
      <c r="AM52" s="45"/>
      <c r="AN52" s="45"/>
      <c r="AO52" s="45"/>
      <c r="AP52" s="44"/>
      <c r="AQ52" s="45"/>
      <c r="AR52" s="46"/>
      <c r="AS52" s="45"/>
      <c r="AT52" s="45"/>
      <c r="AU52" s="45"/>
      <c r="AV52" s="44"/>
      <c r="AW52" s="45"/>
      <c r="AX52" s="46"/>
      <c r="AY52" s="44"/>
      <c r="AZ52" s="45"/>
      <c r="BA52" s="46"/>
      <c r="BB52" s="44"/>
      <c r="BC52" s="50"/>
      <c r="BD52" s="51"/>
      <c r="BE52" s="45"/>
      <c r="BF52" s="50"/>
      <c r="BG52" s="50"/>
      <c r="BH52" s="44"/>
      <c r="BI52" s="45"/>
      <c r="BJ52" s="46"/>
      <c r="BK52" s="45"/>
      <c r="BL52" s="45"/>
      <c r="BM52" s="45"/>
      <c r="BN52" s="52"/>
      <c r="BO52" s="50"/>
      <c r="BP52" s="51"/>
      <c r="BQ52" s="45"/>
      <c r="BR52" s="45"/>
      <c r="BS52" s="45"/>
      <c r="BT52" s="44"/>
      <c r="BU52" s="45"/>
      <c r="BV52" s="46"/>
      <c r="BW52" s="44"/>
      <c r="BX52" s="50"/>
      <c r="BY52" s="51"/>
      <c r="BZ52" s="44"/>
      <c r="CA52" s="45"/>
      <c r="CB52" s="46"/>
      <c r="CC52" s="44"/>
      <c r="CD52" s="45"/>
      <c r="CE52" s="46"/>
      <c r="CF52" s="44"/>
      <c r="CG52" s="45"/>
      <c r="CH52" s="46"/>
      <c r="CI52" s="44"/>
      <c r="CJ52" s="45"/>
      <c r="CK52" s="46"/>
      <c r="CL52" s="44"/>
    </row>
    <row r="53" spans="1:95">
      <c r="A53" s="223">
        <v>45340</v>
      </c>
      <c r="B53" s="90" t="s">
        <v>308</v>
      </c>
      <c r="C53" s="44"/>
      <c r="D53" s="45"/>
      <c r="E53" s="46"/>
      <c r="F53" s="44"/>
      <c r="G53" s="45"/>
      <c r="H53" s="46"/>
      <c r="I53" s="44"/>
      <c r="J53" s="45"/>
      <c r="K53" s="46"/>
      <c r="L53" s="45"/>
      <c r="M53" s="45"/>
      <c r="N53" s="45"/>
      <c r="O53" s="44"/>
      <c r="P53" s="45"/>
      <c r="Q53" s="46"/>
      <c r="R53" s="45"/>
      <c r="S53" s="45"/>
      <c r="T53" s="45"/>
      <c r="U53" s="44"/>
      <c r="V53" s="45"/>
      <c r="W53" s="46"/>
      <c r="X53" s="44"/>
      <c r="Y53" s="45"/>
      <c r="Z53" s="46"/>
      <c r="AA53" s="44"/>
      <c r="AB53" s="45"/>
      <c r="AC53" s="46"/>
      <c r="AD53" s="44"/>
      <c r="AE53" s="45"/>
      <c r="AF53" s="46"/>
      <c r="AG53" s="45"/>
      <c r="AH53" s="45"/>
      <c r="AI53" s="45"/>
      <c r="AJ53" s="47"/>
      <c r="AK53" s="48"/>
      <c r="AL53" s="49"/>
      <c r="AM53" s="45"/>
      <c r="AN53" s="45"/>
      <c r="AO53" s="45"/>
      <c r="AP53" s="44"/>
      <c r="AQ53" s="45"/>
      <c r="AR53" s="46"/>
      <c r="AS53" s="45"/>
      <c r="AT53" s="45"/>
      <c r="AU53" s="45"/>
      <c r="AV53" s="44"/>
      <c r="AW53" s="45"/>
      <c r="AX53" s="46"/>
      <c r="AY53" s="44"/>
      <c r="AZ53" s="45"/>
      <c r="BA53" s="46"/>
      <c r="BB53" s="44"/>
      <c r="BC53" s="50"/>
      <c r="BD53" s="51"/>
      <c r="BE53" s="45"/>
      <c r="BF53" s="50"/>
      <c r="BG53" s="50"/>
      <c r="BH53" s="44"/>
      <c r="BI53" s="45"/>
      <c r="BJ53" s="46"/>
      <c r="BK53" s="45"/>
      <c r="BL53" s="45"/>
      <c r="BM53" s="45"/>
      <c r="BN53" s="52"/>
      <c r="BO53" s="50"/>
      <c r="BP53" s="51"/>
      <c r="BQ53" s="45"/>
      <c r="BR53" s="45"/>
      <c r="BS53" s="45"/>
      <c r="BT53" s="44"/>
      <c r="BU53" s="45"/>
      <c r="BV53" s="46"/>
      <c r="BW53" s="44"/>
      <c r="BX53" s="50"/>
      <c r="BY53" s="51"/>
      <c r="BZ53" s="44"/>
      <c r="CA53" s="45"/>
      <c r="CB53" s="46"/>
      <c r="CC53" s="44"/>
      <c r="CD53" s="45"/>
      <c r="CE53" s="46"/>
      <c r="CF53" s="44"/>
      <c r="CG53" s="45"/>
      <c r="CH53" s="46"/>
      <c r="CI53" s="44"/>
      <c r="CJ53" s="45"/>
      <c r="CK53" s="46"/>
      <c r="CL53" s="44"/>
    </row>
    <row r="54" spans="1:95">
      <c r="A54" s="223">
        <v>45341</v>
      </c>
      <c r="B54" s="90" t="s">
        <v>96</v>
      </c>
      <c r="C54" s="44">
        <v>151.03</v>
      </c>
      <c r="D54" s="45">
        <v>149.03</v>
      </c>
      <c r="E54" s="46">
        <v>150.03</v>
      </c>
      <c r="F54" s="44">
        <v>163.31</v>
      </c>
      <c r="G54" s="45">
        <v>160.31</v>
      </c>
      <c r="H54" s="46">
        <v>161.81</v>
      </c>
      <c r="I54" s="44">
        <v>112.99</v>
      </c>
      <c r="J54" s="45">
        <v>109.78999999999999</v>
      </c>
      <c r="K54" s="46">
        <v>111.38999999999999</v>
      </c>
      <c r="L54" s="45">
        <v>193.35</v>
      </c>
      <c r="M54" s="45">
        <v>185.35</v>
      </c>
      <c r="N54" s="45">
        <v>189.35</v>
      </c>
      <c r="O54" s="44">
        <v>171.39</v>
      </c>
      <c r="P54" s="45">
        <v>169.58999999999997</v>
      </c>
      <c r="Q54" s="46">
        <v>170.48999999999998</v>
      </c>
      <c r="R54" s="45">
        <v>22</v>
      </c>
      <c r="S54" s="45">
        <v>21.4</v>
      </c>
      <c r="T54" s="45">
        <v>21.7</v>
      </c>
      <c r="U54" s="44">
        <v>14.58</v>
      </c>
      <c r="V54" s="45">
        <v>13.98</v>
      </c>
      <c r="W54" s="46">
        <v>14.280000000000001</v>
      </c>
      <c r="X54" s="44">
        <v>14.79</v>
      </c>
      <c r="Y54" s="45">
        <v>13.989999999999998</v>
      </c>
      <c r="Z54" s="46">
        <v>14.389999999999999</v>
      </c>
      <c r="AA54" s="44">
        <v>100.24</v>
      </c>
      <c r="AB54" s="45">
        <v>96.24</v>
      </c>
      <c r="AC54" s="46">
        <v>98.24</v>
      </c>
      <c r="AD54" s="44">
        <v>94.1</v>
      </c>
      <c r="AE54" s="45">
        <v>90.1</v>
      </c>
      <c r="AF54" s="46">
        <v>92.1</v>
      </c>
      <c r="AG54" s="45">
        <v>19.61</v>
      </c>
      <c r="AH54" s="45">
        <v>18.75</v>
      </c>
      <c r="AI54" s="45">
        <v>19.18</v>
      </c>
      <c r="AJ54" s="47"/>
      <c r="AK54" s="48"/>
      <c r="AL54" s="49"/>
      <c r="AM54" s="45">
        <v>112.37</v>
      </c>
      <c r="AN54" s="45">
        <v>110.71000000000001</v>
      </c>
      <c r="AO54" s="45">
        <v>111.54</v>
      </c>
      <c r="AP54" s="44">
        <v>40.869999999999997</v>
      </c>
      <c r="AQ54" s="45">
        <v>39.269999999999996</v>
      </c>
      <c r="AR54" s="46">
        <v>40.069999999999993</v>
      </c>
      <c r="AS54" s="45">
        <v>41.59</v>
      </c>
      <c r="AT54" s="45">
        <v>40.230000000000004</v>
      </c>
      <c r="AU54" s="45">
        <v>40.910000000000004</v>
      </c>
      <c r="AV54" s="44">
        <v>21.12</v>
      </c>
      <c r="AW54" s="45">
        <v>20.52</v>
      </c>
      <c r="AX54" s="46">
        <v>20.82</v>
      </c>
      <c r="AY54" s="44">
        <v>4.25</v>
      </c>
      <c r="AZ54" s="45">
        <v>4.09</v>
      </c>
      <c r="BA54" s="46">
        <v>4.17</v>
      </c>
      <c r="BB54" s="44">
        <v>1.97</v>
      </c>
      <c r="BC54" s="50">
        <v>1.67</v>
      </c>
      <c r="BD54" s="51">
        <v>1.8199999999999998</v>
      </c>
      <c r="BE54" s="45">
        <v>0.7</v>
      </c>
      <c r="BF54" s="50">
        <v>0.39999999999999997</v>
      </c>
      <c r="BG54" s="50">
        <v>0.54999999999999993</v>
      </c>
      <c r="BH54" s="44">
        <v>496.06</v>
      </c>
      <c r="BI54" s="45">
        <v>480.06</v>
      </c>
      <c r="BJ54" s="46">
        <v>488.06</v>
      </c>
      <c r="BK54" s="45">
        <v>41.9</v>
      </c>
      <c r="BL54" s="45">
        <v>40.54</v>
      </c>
      <c r="BM54" s="45">
        <v>41.22</v>
      </c>
      <c r="BN54" s="52">
        <v>1.08</v>
      </c>
      <c r="BO54" s="50">
        <v>0.84000000000000008</v>
      </c>
      <c r="BP54" s="51">
        <v>0.96000000000000008</v>
      </c>
      <c r="BQ54" s="45">
        <v>9.81</v>
      </c>
      <c r="BR54" s="45">
        <v>7.8100000000000005</v>
      </c>
      <c r="BS54" s="45">
        <v>8.81</v>
      </c>
      <c r="BT54" s="44">
        <v>11.48</v>
      </c>
      <c r="BU54" s="45">
        <v>11.08</v>
      </c>
      <c r="BV54" s="46">
        <v>11.280000000000001</v>
      </c>
      <c r="BW54" s="44">
        <v>2.84</v>
      </c>
      <c r="BX54" s="50">
        <v>2.5599999999999996</v>
      </c>
      <c r="BY54" s="51">
        <v>2.6999999999999997</v>
      </c>
      <c r="BZ54" s="44">
        <v>9.4600000000000009</v>
      </c>
      <c r="CA54" s="45">
        <v>6.4600000000000009</v>
      </c>
      <c r="CB54" s="46">
        <v>7.9600000000000009</v>
      </c>
      <c r="CC54" s="44">
        <v>6.49</v>
      </c>
      <c r="CD54" s="45">
        <v>6.25</v>
      </c>
      <c r="CE54" s="46">
        <v>6.37</v>
      </c>
      <c r="CF54" s="44">
        <v>1.88</v>
      </c>
      <c r="CG54" s="45">
        <v>1.38</v>
      </c>
      <c r="CH54" s="46">
        <v>1.63</v>
      </c>
      <c r="CI54" s="44">
        <v>0.44</v>
      </c>
      <c r="CJ54" s="45">
        <v>0.4</v>
      </c>
      <c r="CK54" s="46">
        <v>0.42000000000000004</v>
      </c>
      <c r="CL54" s="44">
        <v>38.49</v>
      </c>
      <c r="CM54">
        <v>36.090000000000003</v>
      </c>
      <c r="CN54">
        <v>37.290000000000006</v>
      </c>
      <c r="CO54">
        <v>7.37</v>
      </c>
      <c r="CP54">
        <v>2.37</v>
      </c>
      <c r="CQ54">
        <v>4.87</v>
      </c>
    </row>
    <row r="55" spans="1:95">
      <c r="A55" s="223">
        <v>45342</v>
      </c>
      <c r="B55" s="90" t="s">
        <v>97</v>
      </c>
      <c r="C55" s="44">
        <v>151.38</v>
      </c>
      <c r="D55" s="45">
        <v>149.38</v>
      </c>
      <c r="E55" s="46">
        <v>150.38</v>
      </c>
      <c r="F55" s="44">
        <v>163.44</v>
      </c>
      <c r="G55" s="45">
        <v>160.44</v>
      </c>
      <c r="H55" s="46">
        <v>161.94</v>
      </c>
      <c r="I55" s="44">
        <v>112.98</v>
      </c>
      <c r="J55" s="45">
        <v>109.78</v>
      </c>
      <c r="K55" s="46">
        <v>111.38</v>
      </c>
      <c r="L55" s="45">
        <v>193.3</v>
      </c>
      <c r="M55" s="45">
        <v>185.3</v>
      </c>
      <c r="N55" s="45">
        <v>189.3</v>
      </c>
      <c r="O55" s="44">
        <v>171.21</v>
      </c>
      <c r="P55" s="45">
        <v>169.41</v>
      </c>
      <c r="Q55" s="46">
        <v>170.31</v>
      </c>
      <c r="R55" s="45">
        <v>22.02</v>
      </c>
      <c r="S55" s="45">
        <v>21.419999999999998</v>
      </c>
      <c r="T55" s="45">
        <v>21.72</v>
      </c>
      <c r="U55" s="44">
        <v>14.63</v>
      </c>
      <c r="V55" s="45">
        <v>14.030000000000001</v>
      </c>
      <c r="W55" s="46">
        <v>14.330000000000002</v>
      </c>
      <c r="X55" s="44">
        <v>14.86</v>
      </c>
      <c r="Y55" s="45">
        <v>14.059999999999999</v>
      </c>
      <c r="Z55" s="46">
        <v>14.459999999999999</v>
      </c>
      <c r="AA55" s="44">
        <v>100.21</v>
      </c>
      <c r="AB55" s="45">
        <v>96.21</v>
      </c>
      <c r="AC55" s="46">
        <v>98.21</v>
      </c>
      <c r="AD55" s="44">
        <v>94.33</v>
      </c>
      <c r="AE55" s="45">
        <v>90.33</v>
      </c>
      <c r="AF55" s="46">
        <v>92.33</v>
      </c>
      <c r="AG55" s="45">
        <v>19.66</v>
      </c>
      <c r="AH55" s="45">
        <v>18.8</v>
      </c>
      <c r="AI55" s="45">
        <v>19.23</v>
      </c>
      <c r="AJ55" s="47"/>
      <c r="AK55" s="48"/>
      <c r="AL55" s="49"/>
      <c r="AM55" s="45">
        <v>112.5</v>
      </c>
      <c r="AN55" s="45">
        <v>110.84</v>
      </c>
      <c r="AO55" s="45">
        <v>111.67</v>
      </c>
      <c r="AP55" s="44">
        <v>40.97</v>
      </c>
      <c r="AQ55" s="45">
        <v>39.369999999999997</v>
      </c>
      <c r="AR55" s="46">
        <v>40.17</v>
      </c>
      <c r="AS55" s="45">
        <v>41.69</v>
      </c>
      <c r="AT55" s="45">
        <v>40.33</v>
      </c>
      <c r="AU55" s="45">
        <v>41.01</v>
      </c>
      <c r="AV55" s="44">
        <v>21.14</v>
      </c>
      <c r="AW55" s="45">
        <v>20.54</v>
      </c>
      <c r="AX55" s="46">
        <v>20.84</v>
      </c>
      <c r="AY55" s="44">
        <v>4.24</v>
      </c>
      <c r="AZ55" s="45">
        <v>4.08</v>
      </c>
      <c r="BA55" s="46">
        <v>4.16</v>
      </c>
      <c r="BB55" s="44">
        <v>1.97</v>
      </c>
      <c r="BC55" s="50">
        <v>1.67</v>
      </c>
      <c r="BD55" s="51">
        <v>1.8199999999999998</v>
      </c>
      <c r="BE55" s="45">
        <v>0.69</v>
      </c>
      <c r="BF55" s="50">
        <v>0.38999999999999996</v>
      </c>
      <c r="BG55" s="50">
        <v>0.53999999999999992</v>
      </c>
      <c r="BH55" s="44">
        <v>497.2</v>
      </c>
      <c r="BI55" s="45">
        <v>481.2</v>
      </c>
      <c r="BJ55" s="46">
        <v>489.2</v>
      </c>
      <c r="BK55" s="45">
        <v>41.99</v>
      </c>
      <c r="BL55" s="45">
        <v>40.630000000000003</v>
      </c>
      <c r="BM55" s="45">
        <v>41.31</v>
      </c>
      <c r="BN55" s="52">
        <v>1.0900000000000001</v>
      </c>
      <c r="BO55" s="50">
        <v>0.85000000000000009</v>
      </c>
      <c r="BP55" s="51">
        <v>0.97000000000000008</v>
      </c>
      <c r="BQ55" s="45">
        <v>9.82</v>
      </c>
      <c r="BR55" s="45">
        <v>7.82</v>
      </c>
      <c r="BS55" s="45">
        <v>8.82</v>
      </c>
      <c r="BT55" s="44">
        <v>11.44</v>
      </c>
      <c r="BU55" s="45">
        <v>11.04</v>
      </c>
      <c r="BV55" s="46">
        <v>11.239999999999998</v>
      </c>
      <c r="BW55" s="44">
        <v>2.84</v>
      </c>
      <c r="BX55" s="50">
        <v>2.5599999999999996</v>
      </c>
      <c r="BY55" s="51">
        <v>2.6999999999999997</v>
      </c>
      <c r="BZ55" s="44">
        <v>9.42</v>
      </c>
      <c r="CA55" s="45">
        <v>6.42</v>
      </c>
      <c r="CB55" s="46">
        <v>7.92</v>
      </c>
      <c r="CC55" s="44">
        <v>6.48</v>
      </c>
      <c r="CD55" s="45">
        <v>6.24</v>
      </c>
      <c r="CE55" s="46">
        <v>6.36</v>
      </c>
      <c r="CF55" s="44">
        <v>1.88</v>
      </c>
      <c r="CG55" s="45">
        <v>1.38</v>
      </c>
      <c r="CH55" s="46">
        <v>1.63</v>
      </c>
      <c r="CI55" s="44">
        <v>0.44</v>
      </c>
      <c r="CJ55" s="45">
        <v>0.4</v>
      </c>
      <c r="CK55" s="46">
        <v>0.42000000000000004</v>
      </c>
      <c r="CL55" s="44">
        <v>38.61</v>
      </c>
      <c r="CM55">
        <v>36.21</v>
      </c>
      <c r="CN55">
        <v>37.409999999999997</v>
      </c>
      <c r="CO55">
        <v>7.37</v>
      </c>
      <c r="CP55">
        <v>2.37</v>
      </c>
      <c r="CQ55">
        <v>4.87</v>
      </c>
    </row>
    <row r="56" spans="1:95">
      <c r="A56" s="223">
        <v>45343</v>
      </c>
      <c r="B56" s="90" t="s">
        <v>98</v>
      </c>
      <c r="C56" s="44">
        <v>151.16</v>
      </c>
      <c r="D56" s="45">
        <v>149.16</v>
      </c>
      <c r="E56" s="46">
        <v>150.16</v>
      </c>
      <c r="F56" s="44">
        <v>163.84</v>
      </c>
      <c r="G56" s="45">
        <v>160.84</v>
      </c>
      <c r="H56" s="46">
        <v>162.34</v>
      </c>
      <c r="I56" s="44">
        <v>112.62</v>
      </c>
      <c r="J56" s="45">
        <v>109.42</v>
      </c>
      <c r="K56" s="46">
        <v>111.02000000000001</v>
      </c>
      <c r="L56" s="45">
        <v>193.58</v>
      </c>
      <c r="M56" s="45">
        <v>185.58</v>
      </c>
      <c r="N56" s="45">
        <v>189.58</v>
      </c>
      <c r="O56" s="44">
        <v>171.19</v>
      </c>
      <c r="P56" s="45">
        <v>169.39</v>
      </c>
      <c r="Q56" s="46">
        <v>170.29</v>
      </c>
      <c r="R56" s="45">
        <v>22.08</v>
      </c>
      <c r="S56" s="45">
        <v>21.479999999999997</v>
      </c>
      <c r="T56" s="45">
        <v>21.779999999999998</v>
      </c>
      <c r="U56" s="44">
        <v>14.63</v>
      </c>
      <c r="V56" s="45">
        <v>14.030000000000001</v>
      </c>
      <c r="W56" s="46">
        <v>14.330000000000002</v>
      </c>
      <c r="X56" s="44">
        <v>14.91</v>
      </c>
      <c r="Y56" s="45">
        <v>14.11</v>
      </c>
      <c r="Z56" s="46">
        <v>14.51</v>
      </c>
      <c r="AA56" s="44">
        <v>100.41</v>
      </c>
      <c r="AB56" s="45">
        <v>96.41</v>
      </c>
      <c r="AC56" s="46">
        <v>98.41</v>
      </c>
      <c r="AD56" s="44">
        <v>94.63</v>
      </c>
      <c r="AE56" s="45">
        <v>90.63</v>
      </c>
      <c r="AF56" s="46">
        <v>92.63</v>
      </c>
      <c r="AG56" s="45">
        <v>19.63</v>
      </c>
      <c r="AH56" s="45">
        <v>18.77</v>
      </c>
      <c r="AI56" s="45">
        <v>19.2</v>
      </c>
      <c r="AJ56" s="47"/>
      <c r="AK56" s="48"/>
      <c r="AL56" s="49"/>
      <c r="AM56" s="45">
        <v>112.56</v>
      </c>
      <c r="AN56" s="45">
        <v>110.9</v>
      </c>
      <c r="AO56" s="45">
        <v>111.73</v>
      </c>
      <c r="AP56" s="44">
        <v>40.909999999999997</v>
      </c>
      <c r="AQ56" s="45">
        <v>39.309999999999995</v>
      </c>
      <c r="AR56" s="46">
        <v>40.11</v>
      </c>
      <c r="AS56" s="45">
        <v>41.63</v>
      </c>
      <c r="AT56" s="45">
        <v>40.270000000000003</v>
      </c>
      <c r="AU56" s="45">
        <v>40.950000000000003</v>
      </c>
      <c r="AV56" s="44">
        <v>21.15</v>
      </c>
      <c r="AW56" s="45">
        <v>20.549999999999997</v>
      </c>
      <c r="AX56" s="46">
        <v>20.849999999999998</v>
      </c>
      <c r="AY56" s="44">
        <v>4.25</v>
      </c>
      <c r="AZ56" s="45">
        <v>4.09</v>
      </c>
      <c r="BA56" s="46">
        <v>4.17</v>
      </c>
      <c r="BB56" s="44">
        <v>1.97</v>
      </c>
      <c r="BC56" s="50">
        <v>1.67</v>
      </c>
      <c r="BD56" s="51">
        <v>1.8199999999999998</v>
      </c>
      <c r="BE56" s="45">
        <v>0.69</v>
      </c>
      <c r="BF56" s="50">
        <v>0.38999999999999996</v>
      </c>
      <c r="BG56" s="50">
        <v>0.53999999999999992</v>
      </c>
      <c r="BH56" s="44">
        <v>496.8</v>
      </c>
      <c r="BI56" s="45">
        <v>480.8</v>
      </c>
      <c r="BJ56" s="46">
        <v>488.8</v>
      </c>
      <c r="BK56" s="45">
        <v>41.93</v>
      </c>
      <c r="BL56" s="45">
        <v>40.57</v>
      </c>
      <c r="BM56" s="45">
        <v>41.25</v>
      </c>
      <c r="BN56" s="52">
        <v>1.08</v>
      </c>
      <c r="BO56" s="50">
        <v>0.84000000000000008</v>
      </c>
      <c r="BP56" s="51">
        <v>0.96000000000000008</v>
      </c>
      <c r="BQ56" s="45">
        <v>9.81</v>
      </c>
      <c r="BR56" s="45">
        <v>7.8100000000000005</v>
      </c>
      <c r="BS56" s="45">
        <v>8.81</v>
      </c>
      <c r="BT56" s="44">
        <v>11.45</v>
      </c>
      <c r="BU56" s="45">
        <v>11.049999999999999</v>
      </c>
      <c r="BV56" s="46">
        <v>11.25</v>
      </c>
      <c r="BW56" s="44">
        <v>2.84</v>
      </c>
      <c r="BX56" s="50">
        <v>2.5599999999999996</v>
      </c>
      <c r="BY56" s="51">
        <v>2.6999999999999997</v>
      </c>
      <c r="BZ56" s="44">
        <v>9.4499999999999993</v>
      </c>
      <c r="CA56" s="45">
        <v>6.4499999999999993</v>
      </c>
      <c r="CB56" s="46">
        <v>7.9499999999999993</v>
      </c>
      <c r="CC56" s="44">
        <v>6.52</v>
      </c>
      <c r="CD56" s="45">
        <v>6.2799999999999994</v>
      </c>
      <c r="CE56" s="46">
        <v>6.3999999999999995</v>
      </c>
      <c r="CF56" s="44">
        <v>1.88</v>
      </c>
      <c r="CG56" s="45">
        <v>1.38</v>
      </c>
      <c r="CH56" s="46">
        <v>1.63</v>
      </c>
      <c r="CI56" s="44">
        <v>0.44</v>
      </c>
      <c r="CJ56" s="45">
        <v>0.4</v>
      </c>
      <c r="CK56" s="46">
        <v>0.42000000000000004</v>
      </c>
      <c r="CL56" s="44">
        <v>38.840000000000003</v>
      </c>
      <c r="CM56">
        <v>36.440000000000005</v>
      </c>
      <c r="CN56">
        <v>37.64</v>
      </c>
      <c r="CO56">
        <v>7.36</v>
      </c>
      <c r="CP56">
        <v>2.3600000000000003</v>
      </c>
      <c r="CQ56">
        <v>4.8600000000000003</v>
      </c>
    </row>
    <row r="57" spans="1:95">
      <c r="A57" s="223">
        <v>45344</v>
      </c>
      <c r="B57" s="90" t="s">
        <v>99</v>
      </c>
      <c r="C57" s="44">
        <v>151.55000000000001</v>
      </c>
      <c r="D57" s="45">
        <v>149.55000000000001</v>
      </c>
      <c r="E57" s="46">
        <v>150.55000000000001</v>
      </c>
      <c r="F57" s="44">
        <v>164.56</v>
      </c>
      <c r="G57" s="45">
        <v>161.56</v>
      </c>
      <c r="H57" s="46">
        <v>163.06</v>
      </c>
      <c r="I57" s="44">
        <v>113.23</v>
      </c>
      <c r="J57" s="45">
        <v>110.03</v>
      </c>
      <c r="K57" s="46">
        <v>111.63</v>
      </c>
      <c r="L57" s="45">
        <v>194.37</v>
      </c>
      <c r="M57" s="45">
        <v>186.37</v>
      </c>
      <c r="N57" s="45">
        <v>190.37</v>
      </c>
      <c r="O57" s="44">
        <v>172.23</v>
      </c>
      <c r="P57" s="45">
        <v>170.42999999999998</v>
      </c>
      <c r="Q57" s="46">
        <v>171.32999999999998</v>
      </c>
      <c r="R57" s="45">
        <v>22.17</v>
      </c>
      <c r="S57" s="45">
        <v>21.57</v>
      </c>
      <c r="T57" s="45">
        <v>21.87</v>
      </c>
      <c r="U57" s="44">
        <v>14.67</v>
      </c>
      <c r="V57" s="45">
        <v>14.07</v>
      </c>
      <c r="W57" s="46">
        <v>14.370000000000001</v>
      </c>
      <c r="X57" s="44">
        <v>14.95</v>
      </c>
      <c r="Y57" s="45">
        <v>14.149999999999999</v>
      </c>
      <c r="Z57" s="46">
        <v>14.549999999999999</v>
      </c>
      <c r="AA57" s="44">
        <v>100.76</v>
      </c>
      <c r="AB57" s="45">
        <v>96.76</v>
      </c>
      <c r="AC57" s="46">
        <v>98.76</v>
      </c>
      <c r="AD57" s="44">
        <v>95.25</v>
      </c>
      <c r="AE57" s="45">
        <v>91.25</v>
      </c>
      <c r="AF57" s="46">
        <v>93.25</v>
      </c>
      <c r="AG57" s="45">
        <v>19.68</v>
      </c>
      <c r="AH57" s="45">
        <v>18.82</v>
      </c>
      <c r="AI57" s="45">
        <v>19.25</v>
      </c>
      <c r="AJ57" s="47"/>
      <c r="AK57" s="48"/>
      <c r="AL57" s="49"/>
      <c r="AM57" s="45">
        <v>112.92</v>
      </c>
      <c r="AN57" s="45">
        <v>111.26</v>
      </c>
      <c r="AO57" s="45">
        <v>112.09</v>
      </c>
      <c r="AP57" s="44">
        <v>40.9</v>
      </c>
      <c r="AQ57" s="45">
        <v>39.299999999999997</v>
      </c>
      <c r="AR57" s="46">
        <v>40.099999999999994</v>
      </c>
      <c r="AS57" s="45">
        <v>41.74</v>
      </c>
      <c r="AT57" s="45">
        <v>40.380000000000003</v>
      </c>
      <c r="AU57" s="45">
        <v>41.06</v>
      </c>
      <c r="AV57" s="44">
        <v>21.22</v>
      </c>
      <c r="AW57" s="45">
        <v>20.619999999999997</v>
      </c>
      <c r="AX57" s="46">
        <v>20.919999999999998</v>
      </c>
      <c r="AY57" s="44">
        <v>4.28</v>
      </c>
      <c r="AZ57" s="45">
        <v>4.12</v>
      </c>
      <c r="BA57" s="46">
        <v>4.2</v>
      </c>
      <c r="BB57" s="44">
        <v>1.98</v>
      </c>
      <c r="BC57" s="50">
        <v>1.68</v>
      </c>
      <c r="BD57" s="51">
        <v>1.83</v>
      </c>
      <c r="BE57" s="45">
        <v>0.69</v>
      </c>
      <c r="BF57" s="50">
        <v>0.38999999999999996</v>
      </c>
      <c r="BG57" s="50">
        <v>0.53999999999999992</v>
      </c>
      <c r="BH57" s="44">
        <v>498.23</v>
      </c>
      <c r="BI57" s="45">
        <v>482.23</v>
      </c>
      <c r="BJ57" s="46">
        <v>490.23</v>
      </c>
      <c r="BK57" s="45">
        <v>42.04</v>
      </c>
      <c r="BL57" s="45">
        <v>40.68</v>
      </c>
      <c r="BM57" s="45">
        <v>41.36</v>
      </c>
      <c r="BN57" s="52">
        <v>1.0900000000000001</v>
      </c>
      <c r="BO57" s="50">
        <v>0.85000000000000009</v>
      </c>
      <c r="BP57" s="51">
        <v>0.97000000000000008</v>
      </c>
      <c r="BQ57" s="45">
        <v>9.83</v>
      </c>
      <c r="BR57" s="45">
        <v>7.83</v>
      </c>
      <c r="BS57" s="45">
        <v>8.83</v>
      </c>
      <c r="BT57" s="44">
        <v>11.53</v>
      </c>
      <c r="BU57" s="45">
        <v>11.129999999999999</v>
      </c>
      <c r="BV57" s="46">
        <v>11.329999999999998</v>
      </c>
      <c r="BW57" s="44">
        <v>2.85</v>
      </c>
      <c r="BX57" s="50">
        <v>2.5700000000000003</v>
      </c>
      <c r="BY57" s="51">
        <v>2.71</v>
      </c>
      <c r="BZ57" s="44">
        <v>9.4600000000000009</v>
      </c>
      <c r="CA57" s="45">
        <v>6.4600000000000009</v>
      </c>
      <c r="CB57" s="46">
        <v>7.9600000000000009</v>
      </c>
      <c r="CC57" s="44">
        <v>6.57</v>
      </c>
      <c r="CD57" s="45">
        <v>6.33</v>
      </c>
      <c r="CE57" s="46">
        <v>6.45</v>
      </c>
      <c r="CF57" s="44">
        <v>1.88</v>
      </c>
      <c r="CG57" s="45">
        <v>1.38</v>
      </c>
      <c r="CH57" s="46">
        <v>1.63</v>
      </c>
      <c r="CI57" s="44">
        <v>0.44</v>
      </c>
      <c r="CJ57" s="45">
        <v>0.4</v>
      </c>
      <c r="CK57" s="46">
        <v>0.42000000000000004</v>
      </c>
      <c r="CL57" s="44">
        <v>38.979999999999997</v>
      </c>
      <c r="CM57">
        <v>36.58</v>
      </c>
      <c r="CN57">
        <v>37.78</v>
      </c>
      <c r="CO57">
        <v>7.36</v>
      </c>
      <c r="CP57">
        <v>2.3600000000000003</v>
      </c>
      <c r="CQ57">
        <v>4.8600000000000003</v>
      </c>
    </row>
    <row r="58" spans="1:95">
      <c r="A58" s="223">
        <v>45345</v>
      </c>
      <c r="B58" s="90" t="s">
        <v>100</v>
      </c>
      <c r="C58" s="44"/>
      <c r="D58" s="45"/>
      <c r="E58" s="46"/>
      <c r="F58" s="44"/>
      <c r="G58" s="45"/>
      <c r="H58" s="46"/>
      <c r="I58" s="44"/>
      <c r="J58" s="45"/>
      <c r="K58" s="46"/>
      <c r="L58" s="45"/>
      <c r="M58" s="45"/>
      <c r="N58" s="45"/>
      <c r="O58" s="44"/>
      <c r="P58" s="45"/>
      <c r="Q58" s="46"/>
      <c r="R58" s="45"/>
      <c r="S58" s="45"/>
      <c r="T58" s="45"/>
      <c r="U58" s="44"/>
      <c r="V58" s="45"/>
      <c r="W58" s="46"/>
      <c r="X58" s="44"/>
      <c r="Y58" s="45"/>
      <c r="Z58" s="46"/>
      <c r="AA58" s="44"/>
      <c r="AB58" s="45"/>
      <c r="AC58" s="46"/>
      <c r="AD58" s="44"/>
      <c r="AE58" s="45"/>
      <c r="AF58" s="46"/>
      <c r="AG58" s="45"/>
      <c r="AH58" s="45"/>
      <c r="AI58" s="45"/>
      <c r="AJ58" s="47"/>
      <c r="AK58" s="48"/>
      <c r="AL58" s="49"/>
      <c r="AM58" s="45"/>
      <c r="AN58" s="45"/>
      <c r="AO58" s="45"/>
      <c r="AP58" s="44"/>
      <c r="AQ58" s="45"/>
      <c r="AR58" s="46"/>
      <c r="AS58" s="45"/>
      <c r="AT58" s="45"/>
      <c r="AU58" s="45"/>
      <c r="AV58" s="44"/>
      <c r="AW58" s="45"/>
      <c r="AX58" s="46"/>
      <c r="AY58" s="44"/>
      <c r="AZ58" s="45"/>
      <c r="BA58" s="46"/>
      <c r="BB58" s="44"/>
      <c r="BC58" s="50"/>
      <c r="BD58" s="51"/>
      <c r="BE58" s="45"/>
      <c r="BF58" s="50"/>
      <c r="BG58" s="50"/>
      <c r="BH58" s="44"/>
      <c r="BI58" s="45"/>
      <c r="BJ58" s="46"/>
      <c r="BK58" s="45"/>
      <c r="BL58" s="45"/>
      <c r="BM58" s="45"/>
      <c r="BN58" s="52"/>
      <c r="BO58" s="50"/>
      <c r="BP58" s="51"/>
      <c r="BQ58" s="45"/>
      <c r="BR58" s="45"/>
      <c r="BS58" s="45"/>
      <c r="BT58" s="44"/>
      <c r="BU58" s="45"/>
      <c r="BV58" s="46"/>
      <c r="BW58" s="44"/>
      <c r="BX58" s="50"/>
      <c r="BY58" s="51"/>
      <c r="BZ58" s="44"/>
      <c r="CA58" s="45"/>
      <c r="CB58" s="46"/>
      <c r="CC58" s="44"/>
      <c r="CD58" s="45"/>
      <c r="CE58" s="46"/>
      <c r="CF58" s="44"/>
      <c r="CG58" s="45"/>
      <c r="CH58" s="46"/>
      <c r="CI58" s="44"/>
      <c r="CJ58" s="45"/>
      <c r="CK58" s="46"/>
      <c r="CL58" s="44"/>
    </row>
    <row r="59" spans="1:95">
      <c r="A59" s="223">
        <v>45346</v>
      </c>
      <c r="B59" s="90" t="s">
        <v>307</v>
      </c>
      <c r="C59" s="44"/>
      <c r="D59" s="45"/>
      <c r="E59" s="46"/>
      <c r="F59" s="44"/>
      <c r="G59" s="45"/>
      <c r="H59" s="46"/>
      <c r="I59" s="44"/>
      <c r="J59" s="45"/>
      <c r="K59" s="46"/>
      <c r="L59" s="45"/>
      <c r="M59" s="45"/>
      <c r="N59" s="45"/>
      <c r="O59" s="91"/>
      <c r="P59" s="45"/>
      <c r="Q59" s="46"/>
      <c r="R59" s="45"/>
      <c r="S59" s="45"/>
      <c r="T59" s="45"/>
      <c r="U59" s="44"/>
      <c r="V59" s="45"/>
      <c r="W59" s="46"/>
      <c r="X59" s="44"/>
      <c r="Y59" s="45"/>
      <c r="Z59" s="46"/>
      <c r="AA59" s="44"/>
      <c r="AB59" s="45"/>
      <c r="AC59" s="46"/>
      <c r="AD59" s="44"/>
      <c r="AE59" s="45"/>
      <c r="AF59" s="46"/>
      <c r="AG59" s="45"/>
      <c r="AH59" s="45"/>
      <c r="AI59" s="45"/>
      <c r="AJ59" s="47"/>
      <c r="AK59" s="48"/>
      <c r="AL59" s="49"/>
      <c r="AM59" s="45"/>
      <c r="AN59" s="45"/>
      <c r="AO59" s="45"/>
      <c r="AP59" s="44"/>
      <c r="AQ59" s="45"/>
      <c r="AR59" s="46"/>
      <c r="AS59" s="45"/>
      <c r="AT59" s="45"/>
      <c r="AU59" s="45"/>
      <c r="AV59" s="44"/>
      <c r="AW59" s="45"/>
      <c r="AX59" s="46"/>
      <c r="AY59" s="44"/>
      <c r="AZ59" s="45"/>
      <c r="BA59" s="46"/>
      <c r="BB59" s="44"/>
      <c r="BC59" s="50"/>
      <c r="BD59" s="51"/>
      <c r="BE59" s="45"/>
      <c r="BF59" s="50"/>
      <c r="BG59" s="50"/>
      <c r="BH59" s="44"/>
      <c r="BI59" s="45"/>
      <c r="BJ59" s="46"/>
      <c r="BK59" s="45"/>
      <c r="BL59" s="45"/>
      <c r="BM59" s="45"/>
      <c r="BN59" s="52"/>
      <c r="BO59" s="50"/>
      <c r="BP59" s="51"/>
      <c r="BQ59" s="45"/>
      <c r="BR59" s="45"/>
      <c r="BS59" s="45"/>
      <c r="BT59" s="44"/>
      <c r="BU59" s="45"/>
      <c r="BV59" s="46"/>
      <c r="BW59" s="44"/>
      <c r="BX59" s="50"/>
      <c r="BY59" s="51"/>
      <c r="BZ59" s="44"/>
      <c r="CA59" s="45"/>
      <c r="CB59" s="46"/>
      <c r="CC59" s="44"/>
      <c r="CD59" s="45"/>
      <c r="CE59" s="46"/>
      <c r="CF59" s="44"/>
      <c r="CG59" s="45"/>
      <c r="CH59" s="46"/>
      <c r="CI59" s="44"/>
      <c r="CJ59" s="45"/>
      <c r="CK59" s="46"/>
      <c r="CL59" s="44"/>
    </row>
    <row r="60" spans="1:95">
      <c r="A60" s="223">
        <v>45347</v>
      </c>
      <c r="B60" s="90" t="s">
        <v>308</v>
      </c>
      <c r="C60" s="45"/>
      <c r="D60" s="45"/>
      <c r="E60" s="45"/>
      <c r="F60" s="44"/>
      <c r="G60" s="45"/>
      <c r="H60" s="46"/>
      <c r="I60" s="45"/>
      <c r="J60" s="45"/>
      <c r="K60" s="45"/>
      <c r="L60" s="44"/>
      <c r="M60" s="45"/>
      <c r="N60" s="46"/>
      <c r="O60" s="45"/>
      <c r="P60" s="45"/>
      <c r="Q60" s="45"/>
      <c r="R60" s="44"/>
      <c r="S60" s="45"/>
      <c r="T60" s="46"/>
      <c r="U60" s="44"/>
      <c r="V60" s="45"/>
      <c r="W60" s="46"/>
      <c r="X60" s="44"/>
      <c r="Y60" s="45"/>
      <c r="Z60" s="46"/>
      <c r="AA60" s="44"/>
      <c r="AB60" s="45"/>
      <c r="AC60" s="46"/>
      <c r="AD60" s="45"/>
      <c r="AE60" s="45"/>
      <c r="AF60" s="45"/>
      <c r="AG60" s="44"/>
      <c r="AH60" s="45"/>
      <c r="AI60" s="46"/>
      <c r="AJ60" s="47"/>
      <c r="AK60" s="48"/>
      <c r="AL60" s="49"/>
      <c r="AM60" s="44"/>
      <c r="AN60" s="45"/>
      <c r="AO60" s="46"/>
      <c r="AP60" s="44"/>
      <c r="AQ60" s="45"/>
      <c r="AR60" s="46"/>
      <c r="AS60" s="45"/>
      <c r="AT60" s="45"/>
      <c r="AU60" s="45"/>
      <c r="AV60" s="44"/>
      <c r="AW60" s="45"/>
      <c r="AX60" s="46"/>
      <c r="AY60" s="44"/>
      <c r="AZ60" s="45"/>
      <c r="BA60" s="46"/>
      <c r="BB60" s="44"/>
      <c r="BC60" s="50"/>
      <c r="BD60" s="51"/>
      <c r="BE60" s="44"/>
      <c r="BF60" s="50"/>
      <c r="BG60" s="51"/>
      <c r="BH60" s="44"/>
      <c r="BI60" s="45"/>
      <c r="BJ60" s="46"/>
      <c r="BK60" s="45"/>
      <c r="BL60" s="45"/>
      <c r="BM60" s="45"/>
      <c r="BN60" s="52"/>
      <c r="BO60" s="50"/>
      <c r="BP60" s="51"/>
      <c r="BQ60" s="45"/>
      <c r="BR60" s="45"/>
      <c r="BS60" s="45"/>
      <c r="BT60" s="44"/>
      <c r="BU60" s="45"/>
      <c r="BV60" s="46"/>
      <c r="BW60" s="44"/>
      <c r="BX60" s="50"/>
      <c r="BY60" s="51"/>
      <c r="BZ60" s="44"/>
      <c r="CA60" s="45"/>
      <c r="CB60" s="46"/>
      <c r="CC60" s="44"/>
      <c r="CD60" s="45"/>
      <c r="CE60" s="46"/>
      <c r="CF60" s="45"/>
      <c r="CG60" s="45"/>
      <c r="CH60" s="45"/>
      <c r="CI60" s="44"/>
      <c r="CJ60" s="45"/>
      <c r="CK60" s="46"/>
      <c r="CL60" s="44"/>
    </row>
    <row r="61" spans="1:95">
      <c r="A61" s="223">
        <v>45348</v>
      </c>
      <c r="B61" s="90" t="s">
        <v>96</v>
      </c>
      <c r="C61" s="44">
        <v>151.36000000000001</v>
      </c>
      <c r="D61" s="45">
        <v>149.36000000000001</v>
      </c>
      <c r="E61" s="46">
        <v>150.36000000000001</v>
      </c>
      <c r="F61" s="44">
        <v>164.17</v>
      </c>
      <c r="G61" s="45">
        <v>161.16999999999999</v>
      </c>
      <c r="H61" s="46">
        <v>162.66999999999999</v>
      </c>
      <c r="I61" s="44">
        <v>112.84</v>
      </c>
      <c r="J61" s="45">
        <v>109.64</v>
      </c>
      <c r="K61" s="46">
        <v>111.24000000000001</v>
      </c>
      <c r="L61" s="45">
        <v>194.4</v>
      </c>
      <c r="M61" s="45">
        <v>186.4</v>
      </c>
      <c r="N61" s="45">
        <v>190.4</v>
      </c>
      <c r="O61" s="44">
        <v>171.47</v>
      </c>
      <c r="P61" s="45">
        <v>169.67</v>
      </c>
      <c r="Q61" s="46">
        <v>170.57</v>
      </c>
      <c r="R61" s="45">
        <v>22.12</v>
      </c>
      <c r="S61" s="45">
        <v>21.52</v>
      </c>
      <c r="T61" s="45">
        <v>21.82</v>
      </c>
      <c r="U61" s="44">
        <v>14.55</v>
      </c>
      <c r="V61" s="45">
        <v>13.950000000000001</v>
      </c>
      <c r="W61" s="46">
        <v>14.25</v>
      </c>
      <c r="X61" s="44">
        <v>14.96</v>
      </c>
      <c r="Y61" s="45">
        <v>14.16</v>
      </c>
      <c r="Z61" s="46">
        <v>14.56</v>
      </c>
      <c r="AA61" s="44">
        <v>100.53</v>
      </c>
      <c r="AB61" s="45">
        <v>96.53</v>
      </c>
      <c r="AC61" s="46">
        <v>98.53</v>
      </c>
      <c r="AD61" s="44">
        <v>94.68</v>
      </c>
      <c r="AE61" s="45">
        <v>90.68</v>
      </c>
      <c r="AF61" s="46">
        <v>92.68</v>
      </c>
      <c r="AG61" s="45">
        <v>19.649999999999999</v>
      </c>
      <c r="AH61" s="45">
        <v>18.79</v>
      </c>
      <c r="AI61" s="45">
        <v>19.22</v>
      </c>
      <c r="AJ61" s="47"/>
      <c r="AK61" s="48"/>
      <c r="AL61" s="49"/>
      <c r="AM61" s="45">
        <v>112.66</v>
      </c>
      <c r="AN61" s="45">
        <v>111</v>
      </c>
      <c r="AO61" s="45">
        <v>111.83</v>
      </c>
      <c r="AP61" s="44">
        <v>40.950000000000003</v>
      </c>
      <c r="AQ61" s="45">
        <v>39.35</v>
      </c>
      <c r="AR61" s="46">
        <v>40.150000000000006</v>
      </c>
      <c r="AS61" s="45">
        <v>41.55</v>
      </c>
      <c r="AT61" s="45">
        <v>40.19</v>
      </c>
      <c r="AU61" s="45">
        <v>40.869999999999997</v>
      </c>
      <c r="AV61" s="44">
        <v>21.16</v>
      </c>
      <c r="AW61" s="45">
        <v>20.56</v>
      </c>
      <c r="AX61" s="46">
        <v>20.86</v>
      </c>
      <c r="AY61" s="44">
        <v>4.25</v>
      </c>
      <c r="AZ61" s="45">
        <v>4.09</v>
      </c>
      <c r="BA61" s="46">
        <v>4.17</v>
      </c>
      <c r="BB61" s="44">
        <v>1.97</v>
      </c>
      <c r="BC61" s="50">
        <v>1.67</v>
      </c>
      <c r="BD61" s="51">
        <v>1.8199999999999998</v>
      </c>
      <c r="BE61" s="45">
        <v>0.7</v>
      </c>
      <c r="BF61" s="50">
        <v>0.39999999999999997</v>
      </c>
      <c r="BG61" s="50">
        <v>0.54999999999999993</v>
      </c>
      <c r="BH61" s="44">
        <v>497.45</v>
      </c>
      <c r="BI61" s="45">
        <v>481.45</v>
      </c>
      <c r="BJ61" s="46">
        <v>489.45</v>
      </c>
      <c r="BK61" s="45">
        <v>41.98</v>
      </c>
      <c r="BL61" s="45">
        <v>40.619999999999997</v>
      </c>
      <c r="BM61" s="45">
        <v>41.3</v>
      </c>
      <c r="BN61" s="52">
        <v>1.0900000000000001</v>
      </c>
      <c r="BO61" s="50">
        <v>0.85000000000000009</v>
      </c>
      <c r="BP61" s="51">
        <v>0.97000000000000008</v>
      </c>
      <c r="BQ61" s="45">
        <v>9.7799999999999994</v>
      </c>
      <c r="BR61" s="45">
        <v>7.7799999999999994</v>
      </c>
      <c r="BS61" s="45">
        <v>8.7799999999999994</v>
      </c>
      <c r="BT61" s="44">
        <v>11.51</v>
      </c>
      <c r="BU61" s="45">
        <v>11.11</v>
      </c>
      <c r="BV61" s="46">
        <v>11.309999999999999</v>
      </c>
      <c r="BW61" s="44">
        <v>2.85</v>
      </c>
      <c r="BX61" s="50">
        <v>2.5700000000000003</v>
      </c>
      <c r="BY61" s="51">
        <v>2.71</v>
      </c>
      <c r="BZ61" s="44">
        <v>9.2799999999999994</v>
      </c>
      <c r="CA61" s="45">
        <v>6.2799999999999994</v>
      </c>
      <c r="CB61" s="46">
        <v>7.7799999999999994</v>
      </c>
      <c r="CC61" s="44">
        <v>6.54</v>
      </c>
      <c r="CD61" s="45">
        <v>6.3</v>
      </c>
      <c r="CE61" s="46">
        <v>6.42</v>
      </c>
      <c r="CF61" s="44">
        <v>1.86</v>
      </c>
      <c r="CG61" s="45">
        <v>1.36</v>
      </c>
      <c r="CH61" s="46">
        <v>1.61</v>
      </c>
      <c r="CI61" s="44">
        <v>0.44</v>
      </c>
      <c r="CJ61" s="45">
        <v>0.4</v>
      </c>
      <c r="CK61" s="46">
        <v>0.42000000000000004</v>
      </c>
      <c r="CL61" s="44">
        <v>39</v>
      </c>
      <c r="CM61">
        <v>36.6</v>
      </c>
      <c r="CN61">
        <v>37.799999999999997</v>
      </c>
      <c r="CO61">
        <v>7.34</v>
      </c>
      <c r="CP61">
        <v>2.34</v>
      </c>
      <c r="CQ61">
        <v>4.84</v>
      </c>
    </row>
    <row r="62" spans="1:95">
      <c r="A62" s="223">
        <v>45349</v>
      </c>
      <c r="B62" s="90" t="s">
        <v>97</v>
      </c>
      <c r="C62" s="44">
        <v>151.66</v>
      </c>
      <c r="D62" s="45">
        <v>149.66</v>
      </c>
      <c r="E62" s="46">
        <v>150.66</v>
      </c>
      <c r="F62" s="44">
        <v>164.91</v>
      </c>
      <c r="G62" s="45">
        <v>161.91</v>
      </c>
      <c r="H62" s="46">
        <v>163.41</v>
      </c>
      <c r="I62" s="44">
        <v>113.13</v>
      </c>
      <c r="J62" s="45">
        <v>109.92999999999999</v>
      </c>
      <c r="K62" s="46">
        <v>111.53</v>
      </c>
      <c r="L62" s="45">
        <v>195.02</v>
      </c>
      <c r="M62" s="45">
        <v>187.02</v>
      </c>
      <c r="N62" s="45">
        <v>191.02</v>
      </c>
      <c r="O62" s="44">
        <v>172.01</v>
      </c>
      <c r="P62" s="45">
        <v>170.20999999999998</v>
      </c>
      <c r="Q62" s="46">
        <v>171.10999999999999</v>
      </c>
      <c r="R62" s="45">
        <v>22.22</v>
      </c>
      <c r="S62" s="45">
        <v>21.619999999999997</v>
      </c>
      <c r="T62" s="45">
        <v>21.919999999999998</v>
      </c>
      <c r="U62" s="44">
        <v>14.63</v>
      </c>
      <c r="V62" s="45">
        <v>14.030000000000001</v>
      </c>
      <c r="W62" s="46">
        <v>14.330000000000002</v>
      </c>
      <c r="X62" s="44">
        <v>15.05</v>
      </c>
      <c r="Y62" s="45">
        <v>14.25</v>
      </c>
      <c r="Z62" s="46">
        <v>14.65</v>
      </c>
      <c r="AA62" s="44">
        <v>100.4</v>
      </c>
      <c r="AB62" s="45">
        <v>96.4</v>
      </c>
      <c r="AC62" s="46">
        <v>98.4</v>
      </c>
      <c r="AD62" s="44">
        <v>94.76</v>
      </c>
      <c r="AE62" s="45">
        <v>90.76</v>
      </c>
      <c r="AF62" s="46">
        <v>92.76</v>
      </c>
      <c r="AG62" s="45">
        <v>19.690000000000001</v>
      </c>
      <c r="AH62" s="45">
        <v>18.830000000000002</v>
      </c>
      <c r="AI62" s="45">
        <v>19.260000000000002</v>
      </c>
      <c r="AJ62" s="47"/>
      <c r="AK62" s="48"/>
      <c r="AL62" s="49"/>
      <c r="AM62" s="45">
        <v>112.87</v>
      </c>
      <c r="AN62" s="45">
        <v>111.21000000000001</v>
      </c>
      <c r="AO62" s="45">
        <v>112.04</v>
      </c>
      <c r="AP62" s="44">
        <v>41.03</v>
      </c>
      <c r="AQ62" s="45">
        <v>39.43</v>
      </c>
      <c r="AR62" s="46">
        <v>40.230000000000004</v>
      </c>
      <c r="AS62" s="45">
        <v>41.63</v>
      </c>
      <c r="AT62" s="45">
        <v>40.270000000000003</v>
      </c>
      <c r="AU62" s="45">
        <v>40.950000000000003</v>
      </c>
      <c r="AV62" s="44">
        <v>21.19</v>
      </c>
      <c r="AW62" s="45">
        <v>20.59</v>
      </c>
      <c r="AX62" s="46">
        <v>20.89</v>
      </c>
      <c r="AY62" s="44">
        <v>4.28</v>
      </c>
      <c r="AZ62" s="45">
        <v>4.12</v>
      </c>
      <c r="BA62" s="46">
        <v>4.2</v>
      </c>
      <c r="BB62" s="44">
        <v>1.98</v>
      </c>
      <c r="BC62" s="50">
        <v>1.68</v>
      </c>
      <c r="BD62" s="51">
        <v>1.83</v>
      </c>
      <c r="BE62" s="45">
        <v>0.69</v>
      </c>
      <c r="BF62" s="50">
        <v>0.38999999999999996</v>
      </c>
      <c r="BG62" s="50">
        <v>0.53999999999999992</v>
      </c>
      <c r="BH62" s="44">
        <v>498.43</v>
      </c>
      <c r="BI62" s="45">
        <v>482.43</v>
      </c>
      <c r="BJ62" s="46">
        <v>490.43</v>
      </c>
      <c r="BK62" s="45">
        <v>42.07</v>
      </c>
      <c r="BL62" s="45">
        <v>40.71</v>
      </c>
      <c r="BM62" s="45">
        <v>41.39</v>
      </c>
      <c r="BN62" s="52">
        <v>1.0900000000000001</v>
      </c>
      <c r="BO62" s="50">
        <v>0.85000000000000009</v>
      </c>
      <c r="BP62" s="51">
        <v>0.97000000000000008</v>
      </c>
      <c r="BQ62" s="45">
        <v>9.81</v>
      </c>
      <c r="BR62" s="45">
        <v>7.8100000000000005</v>
      </c>
      <c r="BS62" s="45">
        <v>8.81</v>
      </c>
      <c r="BT62" s="44">
        <v>11.52</v>
      </c>
      <c r="BU62" s="45">
        <v>11.12</v>
      </c>
      <c r="BV62" s="46">
        <v>11.32</v>
      </c>
      <c r="BW62" s="44">
        <v>2.85</v>
      </c>
      <c r="BX62" s="50">
        <v>2.5700000000000003</v>
      </c>
      <c r="BY62" s="51">
        <v>2.71</v>
      </c>
      <c r="BZ62" s="44">
        <v>9.3000000000000007</v>
      </c>
      <c r="CA62" s="45">
        <v>6.3000000000000007</v>
      </c>
      <c r="CB62" s="46">
        <v>7.8000000000000007</v>
      </c>
      <c r="CC62" s="44">
        <v>6.57</v>
      </c>
      <c r="CD62" s="45">
        <v>6.33</v>
      </c>
      <c r="CE62" s="46">
        <v>6.45</v>
      </c>
      <c r="CF62" s="44">
        <v>1.89</v>
      </c>
      <c r="CG62" s="45">
        <v>1.39</v>
      </c>
      <c r="CH62" s="46">
        <v>1.64</v>
      </c>
      <c r="CI62" s="44">
        <v>0.44</v>
      </c>
      <c r="CJ62" s="45">
        <v>0.4</v>
      </c>
      <c r="CK62" s="46">
        <v>0.42000000000000004</v>
      </c>
      <c r="CL62" s="44">
        <v>39.15</v>
      </c>
      <c r="CM62">
        <v>36.75</v>
      </c>
      <c r="CN62">
        <v>37.950000000000003</v>
      </c>
      <c r="CO62">
        <v>7.34</v>
      </c>
      <c r="CP62">
        <v>2.34</v>
      </c>
      <c r="CQ62">
        <v>4.84</v>
      </c>
    </row>
    <row r="63" spans="1:95">
      <c r="A63" s="223">
        <v>45350</v>
      </c>
      <c r="B63" s="90" t="s">
        <v>98</v>
      </c>
      <c r="C63" s="44">
        <v>151.5</v>
      </c>
      <c r="D63" s="45">
        <v>149.5</v>
      </c>
      <c r="E63" s="46">
        <v>150.5</v>
      </c>
      <c r="F63" s="44">
        <v>164.7</v>
      </c>
      <c r="G63" s="45">
        <v>161.69999999999999</v>
      </c>
      <c r="H63" s="46">
        <v>163.19999999999999</v>
      </c>
      <c r="I63" s="44">
        <v>112.85</v>
      </c>
      <c r="J63" s="45">
        <v>109.64999999999999</v>
      </c>
      <c r="K63" s="46">
        <v>111.25</v>
      </c>
      <c r="L63" s="45">
        <v>194.85</v>
      </c>
      <c r="M63" s="45">
        <v>186.85</v>
      </c>
      <c r="N63" s="45">
        <v>190.85</v>
      </c>
      <c r="O63" s="44">
        <v>172.1</v>
      </c>
      <c r="P63" s="45">
        <v>170.29999999999998</v>
      </c>
      <c r="Q63" s="46">
        <v>171.2</v>
      </c>
      <c r="R63" s="45">
        <v>22.2</v>
      </c>
      <c r="S63" s="45">
        <v>21.599999999999998</v>
      </c>
      <c r="T63" s="45">
        <v>21.9</v>
      </c>
      <c r="U63" s="44">
        <v>14.6</v>
      </c>
      <c r="V63" s="45">
        <v>14</v>
      </c>
      <c r="W63" s="46">
        <v>14.3</v>
      </c>
      <c r="X63" s="44">
        <v>15.01</v>
      </c>
      <c r="Y63" s="45">
        <v>14.209999999999999</v>
      </c>
      <c r="Z63" s="46">
        <v>14.61</v>
      </c>
      <c r="AA63" s="44">
        <v>100.55</v>
      </c>
      <c r="AB63" s="45">
        <v>96.55</v>
      </c>
      <c r="AC63" s="46">
        <v>98.55</v>
      </c>
      <c r="AD63" s="44">
        <v>94.95</v>
      </c>
      <c r="AE63" s="45">
        <v>90.95</v>
      </c>
      <c r="AF63" s="46">
        <v>92.95</v>
      </c>
      <c r="AG63" s="45">
        <v>19.66</v>
      </c>
      <c r="AH63" s="45">
        <v>18.8</v>
      </c>
      <c r="AI63" s="45">
        <v>19.23</v>
      </c>
      <c r="AJ63" s="47"/>
      <c r="AK63" s="48"/>
      <c r="AL63" s="49"/>
      <c r="AM63" s="45">
        <v>112.86</v>
      </c>
      <c r="AN63" s="45">
        <v>111.2</v>
      </c>
      <c r="AO63" s="45">
        <v>112.03</v>
      </c>
      <c r="AP63" s="44">
        <v>40.869999999999997</v>
      </c>
      <c r="AQ63" s="45">
        <v>39.269999999999996</v>
      </c>
      <c r="AR63" s="46">
        <v>40.069999999999993</v>
      </c>
      <c r="AS63" s="45">
        <v>41.72</v>
      </c>
      <c r="AT63" s="45">
        <v>40.36</v>
      </c>
      <c r="AU63" s="45">
        <v>41.04</v>
      </c>
      <c r="AV63" s="44">
        <v>21.16</v>
      </c>
      <c r="AW63" s="45">
        <v>20.56</v>
      </c>
      <c r="AX63" s="46">
        <v>20.86</v>
      </c>
      <c r="AY63" s="44">
        <v>4.28</v>
      </c>
      <c r="AZ63" s="45">
        <v>4.12</v>
      </c>
      <c r="BA63" s="46">
        <v>4.2</v>
      </c>
      <c r="BB63" s="44">
        <v>1.98</v>
      </c>
      <c r="BC63" s="50">
        <v>1.68</v>
      </c>
      <c r="BD63" s="51">
        <v>1.83</v>
      </c>
      <c r="BE63" s="45">
        <v>0.69</v>
      </c>
      <c r="BF63" s="50">
        <v>0.38999999999999996</v>
      </c>
      <c r="BG63" s="50">
        <v>0.53999999999999992</v>
      </c>
      <c r="BH63" s="44">
        <v>498.07</v>
      </c>
      <c r="BI63" s="45">
        <v>482.07</v>
      </c>
      <c r="BJ63" s="46">
        <v>490.07</v>
      </c>
      <c r="BK63" s="45">
        <v>42.04</v>
      </c>
      <c r="BL63" s="45">
        <v>40.68</v>
      </c>
      <c r="BM63" s="45">
        <v>41.36</v>
      </c>
      <c r="BN63" s="52">
        <v>1.0900000000000001</v>
      </c>
      <c r="BO63" s="50">
        <v>0.85000000000000009</v>
      </c>
      <c r="BP63" s="51">
        <v>0.97000000000000008</v>
      </c>
      <c r="BQ63" s="45">
        <v>9.82</v>
      </c>
      <c r="BR63" s="45">
        <v>7.82</v>
      </c>
      <c r="BS63" s="45">
        <v>8.82</v>
      </c>
      <c r="BT63" s="44">
        <v>11.52</v>
      </c>
      <c r="BU63" s="45">
        <v>11.12</v>
      </c>
      <c r="BV63" s="46">
        <v>11.32</v>
      </c>
      <c r="BW63" s="44">
        <v>2.84</v>
      </c>
      <c r="BX63" s="50">
        <v>2.5599999999999996</v>
      </c>
      <c r="BY63" s="51">
        <v>2.6999999999999997</v>
      </c>
      <c r="BZ63" s="44">
        <v>9.3800000000000008</v>
      </c>
      <c r="CA63" s="45">
        <v>6.3800000000000008</v>
      </c>
      <c r="CB63" s="46">
        <v>7.8800000000000008</v>
      </c>
      <c r="CC63" s="44">
        <v>6.57</v>
      </c>
      <c r="CD63" s="45">
        <v>6.33</v>
      </c>
      <c r="CE63" s="46">
        <v>6.45</v>
      </c>
      <c r="CF63" s="44">
        <v>1.89</v>
      </c>
      <c r="CG63" s="45">
        <v>1.39</v>
      </c>
      <c r="CH63" s="46">
        <v>1.64</v>
      </c>
      <c r="CI63" s="44">
        <v>0.44</v>
      </c>
      <c r="CJ63" s="45">
        <v>0.4</v>
      </c>
      <c r="CK63" s="46">
        <v>0.42000000000000004</v>
      </c>
      <c r="CL63" s="44">
        <v>39.130000000000003</v>
      </c>
      <c r="CM63">
        <v>36.730000000000004</v>
      </c>
      <c r="CN63">
        <v>37.930000000000007</v>
      </c>
      <c r="CO63">
        <v>7.34</v>
      </c>
      <c r="CP63">
        <v>2.34</v>
      </c>
      <c r="CQ63">
        <v>4.84</v>
      </c>
    </row>
    <row r="64" spans="1:95">
      <c r="A64" s="223">
        <v>45351</v>
      </c>
      <c r="B64" s="90" t="s">
        <v>99</v>
      </c>
      <c r="C64" s="44">
        <v>151.66999999999999</v>
      </c>
      <c r="D64" s="45">
        <v>149.66999999999999</v>
      </c>
      <c r="E64" s="46">
        <v>150.66999999999999</v>
      </c>
      <c r="F64" s="44">
        <v>164.75</v>
      </c>
      <c r="G64" s="45">
        <v>161.75</v>
      </c>
      <c r="H64" s="46">
        <v>163.25</v>
      </c>
      <c r="I64" s="44">
        <v>112.49</v>
      </c>
      <c r="J64" s="45">
        <v>109.28999999999999</v>
      </c>
      <c r="K64" s="46">
        <v>110.88999999999999</v>
      </c>
      <c r="L64" s="45">
        <v>194.75</v>
      </c>
      <c r="M64" s="45">
        <v>186.75</v>
      </c>
      <c r="N64" s="45">
        <v>190.75</v>
      </c>
      <c r="O64" s="44">
        <v>172.37</v>
      </c>
      <c r="P64" s="45">
        <v>170.57</v>
      </c>
      <c r="Q64" s="46">
        <v>171.47</v>
      </c>
      <c r="R64" s="45">
        <v>22.2</v>
      </c>
      <c r="S64" s="45">
        <v>21.599999999999998</v>
      </c>
      <c r="T64" s="45">
        <v>21.9</v>
      </c>
      <c r="U64" s="44">
        <v>14.52</v>
      </c>
      <c r="V64" s="45">
        <v>13.92</v>
      </c>
      <c r="W64" s="46">
        <v>14.219999999999999</v>
      </c>
      <c r="X64" s="44">
        <v>14.98</v>
      </c>
      <c r="Y64" s="45">
        <v>14.18</v>
      </c>
      <c r="Z64" s="46">
        <v>14.58</v>
      </c>
      <c r="AA64" s="44">
        <v>99.88</v>
      </c>
      <c r="AB64" s="45">
        <v>95.88</v>
      </c>
      <c r="AC64" s="46">
        <v>97.88</v>
      </c>
      <c r="AD64" s="44">
        <v>93.76</v>
      </c>
      <c r="AE64" s="45">
        <v>89.76</v>
      </c>
      <c r="AF64" s="46">
        <v>91.76</v>
      </c>
      <c r="AG64" s="45">
        <v>19.68</v>
      </c>
      <c r="AH64" s="45">
        <v>18.82</v>
      </c>
      <c r="AI64" s="45">
        <v>19.25</v>
      </c>
      <c r="AJ64" s="47"/>
      <c r="AK64" s="48"/>
      <c r="AL64" s="49"/>
      <c r="AM64" s="45">
        <v>112.79</v>
      </c>
      <c r="AN64" s="45">
        <v>111.13000000000001</v>
      </c>
      <c r="AO64" s="45">
        <v>111.96000000000001</v>
      </c>
      <c r="AP64" s="44">
        <v>41.04</v>
      </c>
      <c r="AQ64" s="45">
        <v>39.44</v>
      </c>
      <c r="AR64" s="46">
        <v>40.239999999999995</v>
      </c>
      <c r="AS64" s="45">
        <v>41.77</v>
      </c>
      <c r="AT64" s="45">
        <v>40.410000000000004</v>
      </c>
      <c r="AU64" s="45">
        <v>41.09</v>
      </c>
      <c r="AV64" s="44">
        <v>21.18</v>
      </c>
      <c r="AW64" s="45">
        <v>20.58</v>
      </c>
      <c r="AX64" s="46">
        <v>20.88</v>
      </c>
      <c r="AY64" s="44">
        <v>4.2699999999999996</v>
      </c>
      <c r="AZ64" s="45">
        <v>4.1099999999999994</v>
      </c>
      <c r="BA64" s="46">
        <v>4.1899999999999995</v>
      </c>
      <c r="BB64" s="44">
        <v>1.98</v>
      </c>
      <c r="BC64" s="50">
        <v>1.68</v>
      </c>
      <c r="BD64" s="51">
        <v>1.83</v>
      </c>
      <c r="BE64" s="45">
        <v>0.69</v>
      </c>
      <c r="BF64" s="50">
        <v>0.38999999999999996</v>
      </c>
      <c r="BG64" s="50">
        <v>0.53999999999999992</v>
      </c>
      <c r="BH64" s="44">
        <v>498.62</v>
      </c>
      <c r="BI64" s="45">
        <v>482.62</v>
      </c>
      <c r="BJ64" s="46">
        <v>490.62</v>
      </c>
      <c r="BK64" s="45">
        <v>42.07</v>
      </c>
      <c r="BL64" s="45">
        <v>40.71</v>
      </c>
      <c r="BM64" s="45">
        <v>41.39</v>
      </c>
      <c r="BN64" s="52">
        <v>1.08</v>
      </c>
      <c r="BO64" s="50">
        <v>0.84000000000000008</v>
      </c>
      <c r="BP64" s="51">
        <v>0.96000000000000008</v>
      </c>
      <c r="BQ64" s="45">
        <v>9.81</v>
      </c>
      <c r="BR64" s="45">
        <v>7.8100000000000005</v>
      </c>
      <c r="BS64" s="45">
        <v>8.81</v>
      </c>
      <c r="BT64" s="44">
        <v>11.5</v>
      </c>
      <c r="BU64" s="45">
        <v>11.1</v>
      </c>
      <c r="BV64" s="46">
        <v>11.3</v>
      </c>
      <c r="BW64" s="44">
        <v>2.84</v>
      </c>
      <c r="BX64" s="50">
        <v>2.5599999999999996</v>
      </c>
      <c r="BY64" s="51">
        <v>2.6999999999999997</v>
      </c>
      <c r="BZ64" s="44">
        <v>9.31</v>
      </c>
      <c r="CA64" s="45">
        <v>6.3100000000000005</v>
      </c>
      <c r="CB64" s="46">
        <v>7.8100000000000005</v>
      </c>
      <c r="CC64" s="44">
        <v>6.58</v>
      </c>
      <c r="CD64" s="45">
        <v>6.34</v>
      </c>
      <c r="CE64" s="46">
        <v>6.46</v>
      </c>
      <c r="CF64" s="44">
        <v>1.9</v>
      </c>
      <c r="CG64" s="45">
        <v>1.4</v>
      </c>
      <c r="CH64" s="46">
        <v>1.65</v>
      </c>
      <c r="CI64" s="44">
        <v>0.44</v>
      </c>
      <c r="CJ64" s="45">
        <v>0.4</v>
      </c>
      <c r="CK64" s="46">
        <v>0.42000000000000004</v>
      </c>
      <c r="CL64" s="44">
        <v>38.96</v>
      </c>
      <c r="CM64">
        <v>36.56</v>
      </c>
      <c r="CN64">
        <v>37.760000000000005</v>
      </c>
      <c r="CO64">
        <v>7.33</v>
      </c>
      <c r="CP64">
        <v>2.33</v>
      </c>
      <c r="CQ64">
        <v>4.83</v>
      </c>
    </row>
    <row r="65" spans="1:95">
      <c r="A65" s="223">
        <v>45352</v>
      </c>
      <c r="B65" s="90" t="s">
        <v>100</v>
      </c>
      <c r="C65" s="45">
        <v>151.31</v>
      </c>
      <c r="D65" s="45">
        <v>149.31</v>
      </c>
      <c r="E65" s="45">
        <v>150.31</v>
      </c>
      <c r="F65" s="44">
        <v>163.97</v>
      </c>
      <c r="G65" s="45">
        <v>160.97</v>
      </c>
      <c r="H65" s="46">
        <v>162.47</v>
      </c>
      <c r="I65" s="45">
        <v>112.33</v>
      </c>
      <c r="J65" s="45">
        <v>109.13</v>
      </c>
      <c r="K65" s="45">
        <v>110.72999999999999</v>
      </c>
      <c r="L65" s="44">
        <v>193.78</v>
      </c>
      <c r="M65" s="45">
        <v>185.78</v>
      </c>
      <c r="N65" s="46">
        <v>189.78</v>
      </c>
      <c r="O65" s="45">
        <v>170.88</v>
      </c>
      <c r="P65" s="45">
        <v>169.07999999999998</v>
      </c>
      <c r="Q65" s="45">
        <v>169.98</v>
      </c>
      <c r="R65" s="44">
        <v>22.1</v>
      </c>
      <c r="S65" s="45">
        <v>21.5</v>
      </c>
      <c r="T65" s="46">
        <v>21.8</v>
      </c>
      <c r="U65" s="44">
        <v>14.46</v>
      </c>
      <c r="V65" s="45">
        <v>13.860000000000001</v>
      </c>
      <c r="W65" s="46">
        <v>14.16</v>
      </c>
      <c r="X65" s="44">
        <v>14.89</v>
      </c>
      <c r="Y65" s="45">
        <v>14.09</v>
      </c>
      <c r="Z65" s="46">
        <v>14.49</v>
      </c>
      <c r="AA65" s="44">
        <v>99.78</v>
      </c>
      <c r="AB65" s="45">
        <v>95.78</v>
      </c>
      <c r="AC65" s="46">
        <v>97.78</v>
      </c>
      <c r="AD65" s="45">
        <v>93.52</v>
      </c>
      <c r="AE65" s="45">
        <v>89.52</v>
      </c>
      <c r="AF65" s="45">
        <v>91.52</v>
      </c>
      <c r="AG65" s="44">
        <v>19.63</v>
      </c>
      <c r="AH65" s="45">
        <v>18.77</v>
      </c>
      <c r="AI65" s="46">
        <v>19.2</v>
      </c>
      <c r="AJ65" s="47"/>
      <c r="AK65" s="48"/>
      <c r="AL65" s="49"/>
      <c r="AM65" s="44">
        <v>112.53</v>
      </c>
      <c r="AN65" s="45">
        <v>110.87</v>
      </c>
      <c r="AO65" s="46">
        <v>111.7</v>
      </c>
      <c r="AP65" s="44">
        <v>40.950000000000003</v>
      </c>
      <c r="AQ65" s="45">
        <v>39.35</v>
      </c>
      <c r="AR65" s="46">
        <v>40.150000000000006</v>
      </c>
      <c r="AS65" s="45">
        <v>41.67</v>
      </c>
      <c r="AT65" s="45">
        <v>40.31</v>
      </c>
      <c r="AU65" s="45">
        <v>40.99</v>
      </c>
      <c r="AV65" s="44">
        <v>21.15</v>
      </c>
      <c r="AW65" s="45">
        <v>20.549999999999997</v>
      </c>
      <c r="AX65" s="46">
        <v>20.849999999999998</v>
      </c>
      <c r="AY65" s="44">
        <v>4.2699999999999996</v>
      </c>
      <c r="AZ65" s="45">
        <v>4.1099999999999994</v>
      </c>
      <c r="BA65" s="46">
        <v>4.1899999999999995</v>
      </c>
      <c r="BB65" s="44">
        <v>1.97</v>
      </c>
      <c r="BC65" s="50">
        <v>1.67</v>
      </c>
      <c r="BD65" s="51">
        <v>1.8199999999999998</v>
      </c>
      <c r="BE65" s="44">
        <v>0.69</v>
      </c>
      <c r="BF65" s="50">
        <v>0.38999999999999996</v>
      </c>
      <c r="BG65" s="51">
        <v>0.53999999999999992</v>
      </c>
      <c r="BH65" s="44">
        <v>495.39</v>
      </c>
      <c r="BI65" s="45">
        <v>479.39</v>
      </c>
      <c r="BJ65" s="46">
        <v>487.39</v>
      </c>
      <c r="BK65" s="45">
        <v>41.97</v>
      </c>
      <c r="BL65" s="45">
        <v>40.61</v>
      </c>
      <c r="BM65" s="45">
        <v>41.29</v>
      </c>
      <c r="BN65" s="52">
        <v>1.08</v>
      </c>
      <c r="BO65" s="50">
        <v>0.84000000000000008</v>
      </c>
      <c r="BP65" s="51">
        <v>0.96000000000000008</v>
      </c>
      <c r="BQ65" s="45">
        <v>9.82</v>
      </c>
      <c r="BR65" s="45">
        <v>7.82</v>
      </c>
      <c r="BS65" s="45">
        <v>8.82</v>
      </c>
      <c r="BT65" s="44">
        <v>11.47</v>
      </c>
      <c r="BU65" s="45">
        <v>11.07</v>
      </c>
      <c r="BV65" s="46">
        <v>11.27</v>
      </c>
      <c r="BW65" s="44">
        <v>2.84</v>
      </c>
      <c r="BX65" s="50">
        <v>2.5599999999999996</v>
      </c>
      <c r="BY65" s="51">
        <v>2.6999999999999997</v>
      </c>
      <c r="BZ65" s="44">
        <v>9.35</v>
      </c>
      <c r="CA65" s="45">
        <v>6.35</v>
      </c>
      <c r="CB65" s="46">
        <v>7.85</v>
      </c>
      <c r="CC65" s="44">
        <v>6.54</v>
      </c>
      <c r="CD65" s="45">
        <v>6.3</v>
      </c>
      <c r="CE65" s="46">
        <v>6.42</v>
      </c>
      <c r="CF65" s="45">
        <v>1.9</v>
      </c>
      <c r="CG65" s="45">
        <v>1.4</v>
      </c>
      <c r="CH65" s="45">
        <v>1.65</v>
      </c>
      <c r="CI65" s="44">
        <v>0.43</v>
      </c>
      <c r="CJ65" s="45">
        <v>0.39</v>
      </c>
      <c r="CK65" s="46">
        <v>0.41000000000000003</v>
      </c>
      <c r="CL65" s="44">
        <v>38.869999999999997</v>
      </c>
      <c r="CM65">
        <v>36.47</v>
      </c>
      <c r="CN65">
        <v>37.67</v>
      </c>
      <c r="CO65">
        <v>7.32</v>
      </c>
      <c r="CP65">
        <v>2.3200000000000003</v>
      </c>
      <c r="CQ65">
        <v>4.82</v>
      </c>
    </row>
    <row r="66" spans="1:95">
      <c r="A66" s="223">
        <v>45353</v>
      </c>
      <c r="B66" s="90" t="s">
        <v>307</v>
      </c>
      <c r="C66" s="44"/>
      <c r="D66" s="45"/>
      <c r="E66" s="46"/>
      <c r="F66" s="44"/>
      <c r="G66" s="45"/>
      <c r="H66" s="46"/>
      <c r="I66" s="44"/>
      <c r="J66" s="45"/>
      <c r="K66" s="46"/>
      <c r="L66" s="45"/>
      <c r="M66" s="45"/>
      <c r="N66" s="45"/>
      <c r="O66" s="44"/>
      <c r="P66" s="45"/>
      <c r="Q66" s="46"/>
      <c r="R66" s="45"/>
      <c r="S66" s="45"/>
      <c r="T66" s="45"/>
      <c r="U66" s="44"/>
      <c r="V66" s="45"/>
      <c r="W66" s="46"/>
      <c r="X66" s="44"/>
      <c r="Y66" s="45"/>
      <c r="Z66" s="46"/>
      <c r="AA66" s="44"/>
      <c r="AB66" s="45"/>
      <c r="AC66" s="46"/>
      <c r="AD66" s="44"/>
      <c r="AE66" s="45"/>
      <c r="AF66" s="46"/>
      <c r="AG66" s="45"/>
      <c r="AH66" s="45"/>
      <c r="AI66" s="45"/>
      <c r="AJ66" s="47"/>
      <c r="AK66" s="48"/>
      <c r="AL66" s="49"/>
      <c r="AM66" s="45"/>
      <c r="AN66" s="45"/>
      <c r="AO66" s="45"/>
      <c r="AP66" s="44"/>
      <c r="AQ66" s="45"/>
      <c r="AR66" s="46"/>
      <c r="AS66" s="45"/>
      <c r="AT66" s="45"/>
      <c r="AU66" s="45"/>
      <c r="AV66" s="44"/>
      <c r="AW66" s="45"/>
      <c r="AX66" s="46"/>
      <c r="AY66" s="44"/>
      <c r="AZ66" s="45"/>
      <c r="BA66" s="46"/>
      <c r="BB66" s="44"/>
      <c r="BC66" s="50"/>
      <c r="BD66" s="51"/>
      <c r="BE66" s="45"/>
      <c r="BF66" s="50"/>
      <c r="BG66" s="50"/>
      <c r="BH66" s="44"/>
      <c r="BI66" s="45"/>
      <c r="BJ66" s="46"/>
      <c r="BK66" s="45"/>
      <c r="BL66" s="45"/>
      <c r="BM66" s="45"/>
      <c r="BN66" s="52"/>
      <c r="BO66" s="50"/>
      <c r="BP66" s="51"/>
      <c r="BQ66" s="45"/>
      <c r="BR66" s="45"/>
      <c r="BS66" s="45"/>
      <c r="BT66" s="44"/>
      <c r="BU66" s="45"/>
      <c r="BV66" s="46"/>
      <c r="BW66" s="44"/>
      <c r="BX66" s="50"/>
      <c r="BY66" s="51"/>
      <c r="BZ66" s="44"/>
      <c r="CA66" s="45"/>
      <c r="CB66" s="46"/>
      <c r="CC66" s="44"/>
      <c r="CD66" s="45"/>
      <c r="CE66" s="46"/>
      <c r="CF66" s="44"/>
      <c r="CG66" s="45"/>
      <c r="CH66" s="46"/>
      <c r="CI66" s="44"/>
      <c r="CJ66" s="45"/>
      <c r="CK66" s="46"/>
      <c r="CL66" s="44"/>
    </row>
    <row r="67" spans="1:95">
      <c r="A67" s="223">
        <v>45354</v>
      </c>
      <c r="B67" s="90" t="s">
        <v>308</v>
      </c>
      <c r="C67" s="44"/>
      <c r="D67" s="45"/>
      <c r="E67" s="46"/>
      <c r="F67" s="44"/>
      <c r="G67" s="45"/>
      <c r="H67" s="46"/>
      <c r="I67" s="44"/>
      <c r="J67" s="45"/>
      <c r="K67" s="46"/>
      <c r="L67" s="45"/>
      <c r="M67" s="45"/>
      <c r="N67" s="45"/>
      <c r="O67" s="44"/>
      <c r="P67" s="45"/>
      <c r="Q67" s="46"/>
      <c r="R67" s="45"/>
      <c r="S67" s="45"/>
      <c r="T67" s="45"/>
      <c r="U67" s="44"/>
      <c r="V67" s="45"/>
      <c r="W67" s="46"/>
      <c r="X67" s="44"/>
      <c r="Y67" s="45"/>
      <c r="Z67" s="46"/>
      <c r="AA67" s="44"/>
      <c r="AB67" s="45"/>
      <c r="AC67" s="46"/>
      <c r="AD67" s="44"/>
      <c r="AE67" s="45"/>
      <c r="AF67" s="46"/>
      <c r="AG67" s="45"/>
      <c r="AH67" s="45"/>
      <c r="AI67" s="45"/>
      <c r="AJ67" s="47"/>
      <c r="AK67" s="48"/>
      <c r="AL67" s="49"/>
      <c r="AM67" s="45"/>
      <c r="AN67" s="45"/>
      <c r="AO67" s="45"/>
      <c r="AP67" s="44"/>
      <c r="AQ67" s="45"/>
      <c r="AR67" s="46"/>
      <c r="AS67" s="45"/>
      <c r="AT67" s="45"/>
      <c r="AU67" s="45"/>
      <c r="AV67" s="44"/>
      <c r="AW67" s="45"/>
      <c r="AX67" s="46"/>
      <c r="AY67" s="44"/>
      <c r="AZ67" s="45"/>
      <c r="BA67" s="46"/>
      <c r="BB67" s="44"/>
      <c r="BC67" s="50"/>
      <c r="BD67" s="51"/>
      <c r="BE67" s="45"/>
      <c r="BF67" s="50"/>
      <c r="BG67" s="50"/>
      <c r="BH67" s="44"/>
      <c r="BI67" s="45"/>
      <c r="BJ67" s="46"/>
      <c r="BK67" s="45"/>
      <c r="BL67" s="45"/>
      <c r="BM67" s="45"/>
      <c r="BN67" s="52"/>
      <c r="BO67" s="50"/>
      <c r="BP67" s="51"/>
      <c r="BQ67" s="45"/>
      <c r="BR67" s="45"/>
      <c r="BS67" s="45"/>
      <c r="BT67" s="44"/>
      <c r="BU67" s="45"/>
      <c r="BV67" s="46"/>
      <c r="BW67" s="44"/>
      <c r="BX67" s="50"/>
      <c r="BY67" s="51"/>
      <c r="BZ67" s="44"/>
      <c r="CA67" s="45"/>
      <c r="CB67" s="46"/>
      <c r="CC67" s="44"/>
      <c r="CD67" s="45"/>
      <c r="CE67" s="46"/>
      <c r="CF67" s="44"/>
      <c r="CG67" s="45"/>
      <c r="CH67" s="46"/>
      <c r="CI67" s="44"/>
      <c r="CJ67" s="45"/>
      <c r="CK67" s="46"/>
      <c r="CL67" s="44"/>
    </row>
    <row r="68" spans="1:95">
      <c r="A68" s="223">
        <v>45355</v>
      </c>
      <c r="B68" s="90" t="s">
        <v>96</v>
      </c>
      <c r="C68" s="44">
        <v>151.08000000000001</v>
      </c>
      <c r="D68" s="45">
        <v>149.08000000000001</v>
      </c>
      <c r="E68" s="46">
        <v>150.08000000000001</v>
      </c>
      <c r="F68" s="44">
        <v>164.31</v>
      </c>
      <c r="G68" s="45">
        <v>161.31</v>
      </c>
      <c r="H68" s="46">
        <v>162.81</v>
      </c>
      <c r="I68" s="44">
        <v>112.38</v>
      </c>
      <c r="J68" s="45">
        <v>109.17999999999999</v>
      </c>
      <c r="K68" s="46">
        <v>110.78</v>
      </c>
      <c r="L68" s="45">
        <v>194.11</v>
      </c>
      <c r="M68" s="45">
        <v>186.11</v>
      </c>
      <c r="N68" s="45">
        <v>190.11</v>
      </c>
      <c r="O68" s="44">
        <v>170.9</v>
      </c>
      <c r="P68" s="45">
        <v>169.1</v>
      </c>
      <c r="Q68" s="46">
        <v>170</v>
      </c>
      <c r="R68" s="45">
        <v>22.14</v>
      </c>
      <c r="S68" s="45">
        <v>21.54</v>
      </c>
      <c r="T68" s="45">
        <v>21.84</v>
      </c>
      <c r="U68" s="44">
        <v>14.59</v>
      </c>
      <c r="V68" s="45">
        <v>13.99</v>
      </c>
      <c r="W68" s="46">
        <v>14.29</v>
      </c>
      <c r="X68" s="44">
        <v>14.96</v>
      </c>
      <c r="Y68" s="45">
        <v>14.16</v>
      </c>
      <c r="Z68" s="46">
        <v>14.56</v>
      </c>
      <c r="AA68" s="44">
        <v>100.06</v>
      </c>
      <c r="AB68" s="45">
        <v>96.06</v>
      </c>
      <c r="AC68" s="46">
        <v>98.06</v>
      </c>
      <c r="AD68" s="44">
        <v>93.67</v>
      </c>
      <c r="AE68" s="45">
        <v>89.67</v>
      </c>
      <c r="AF68" s="46">
        <v>91.67</v>
      </c>
      <c r="AG68" s="45">
        <v>19.600000000000001</v>
      </c>
      <c r="AH68" s="45">
        <v>18.740000000000002</v>
      </c>
      <c r="AI68" s="45">
        <v>19.170000000000002</v>
      </c>
      <c r="AJ68" s="47"/>
      <c r="AK68" s="48"/>
      <c r="AL68" s="49"/>
      <c r="AM68" s="45">
        <v>112.55</v>
      </c>
      <c r="AN68" s="45">
        <v>110.89</v>
      </c>
      <c r="AO68" s="45">
        <v>111.72</v>
      </c>
      <c r="AP68" s="44">
        <v>40.89</v>
      </c>
      <c r="AQ68" s="45">
        <v>39.29</v>
      </c>
      <c r="AR68" s="46">
        <v>40.090000000000003</v>
      </c>
      <c r="AS68" s="45">
        <v>41.61</v>
      </c>
      <c r="AT68" s="45">
        <v>40.25</v>
      </c>
      <c r="AU68" s="45">
        <v>40.93</v>
      </c>
      <c r="AV68" s="44">
        <v>21.12</v>
      </c>
      <c r="AW68" s="45">
        <v>20.52</v>
      </c>
      <c r="AX68" s="46">
        <v>20.82</v>
      </c>
      <c r="AY68" s="44">
        <v>4.28</v>
      </c>
      <c r="AZ68" s="45">
        <v>4.12</v>
      </c>
      <c r="BA68" s="46">
        <v>4.2</v>
      </c>
      <c r="BB68" s="44">
        <v>1.97</v>
      </c>
      <c r="BC68" s="50">
        <v>1.67</v>
      </c>
      <c r="BD68" s="51">
        <v>1.8199999999999998</v>
      </c>
      <c r="BE68" s="45">
        <v>0.7</v>
      </c>
      <c r="BF68" s="50">
        <v>0.39999999999999997</v>
      </c>
      <c r="BG68" s="50">
        <v>0.54999999999999993</v>
      </c>
      <c r="BH68" s="44">
        <v>496.86</v>
      </c>
      <c r="BI68" s="45">
        <v>480.86</v>
      </c>
      <c r="BJ68" s="46">
        <v>488.86</v>
      </c>
      <c r="BK68" s="45">
        <v>41.9</v>
      </c>
      <c r="BL68" s="45">
        <v>40.54</v>
      </c>
      <c r="BM68" s="45">
        <v>41.22</v>
      </c>
      <c r="BN68" s="52">
        <v>1.08</v>
      </c>
      <c r="BO68" s="50">
        <v>0.84000000000000008</v>
      </c>
      <c r="BP68" s="51">
        <v>0.96000000000000008</v>
      </c>
      <c r="BQ68" s="45">
        <v>9.83</v>
      </c>
      <c r="BR68" s="45">
        <v>7.83</v>
      </c>
      <c r="BS68" s="45">
        <v>8.83</v>
      </c>
      <c r="BT68" s="44">
        <v>11.49</v>
      </c>
      <c r="BU68" s="45">
        <v>11.09</v>
      </c>
      <c r="BV68" s="46">
        <v>11.29</v>
      </c>
      <c r="BW68" s="44">
        <v>2.84</v>
      </c>
      <c r="BX68" s="50">
        <v>2.5599999999999996</v>
      </c>
      <c r="BY68" s="51">
        <v>2.6999999999999997</v>
      </c>
      <c r="BZ68" s="44">
        <v>9.36</v>
      </c>
      <c r="CA68" s="45">
        <v>6.3599999999999994</v>
      </c>
      <c r="CB68" s="46">
        <v>7.8599999999999994</v>
      </c>
      <c r="CC68" s="44">
        <v>6.55</v>
      </c>
      <c r="CD68" s="45">
        <v>6.31</v>
      </c>
      <c r="CE68" s="46">
        <v>6.43</v>
      </c>
      <c r="CF68" s="44">
        <v>1.89</v>
      </c>
      <c r="CG68" s="45">
        <v>1.39</v>
      </c>
      <c r="CH68" s="46">
        <v>1.64</v>
      </c>
      <c r="CI68" s="44">
        <v>0.43</v>
      </c>
      <c r="CJ68" s="45">
        <v>0.39</v>
      </c>
      <c r="CK68" s="46">
        <v>0.41000000000000003</v>
      </c>
      <c r="CL68" s="44">
        <v>38.94</v>
      </c>
      <c r="CM68">
        <v>36.54</v>
      </c>
      <c r="CN68">
        <v>37.739999999999995</v>
      </c>
      <c r="CO68">
        <v>7.29</v>
      </c>
      <c r="CP68">
        <v>2.29</v>
      </c>
      <c r="CQ68">
        <v>4.79</v>
      </c>
    </row>
    <row r="69" spans="1:95">
      <c r="A69" s="223">
        <v>45356</v>
      </c>
      <c r="B69" s="90" t="s">
        <v>97</v>
      </c>
      <c r="C69" s="44">
        <v>151.41999999999999</v>
      </c>
      <c r="D69" s="45">
        <v>149.41999999999999</v>
      </c>
      <c r="E69" s="46">
        <v>150.41999999999999</v>
      </c>
      <c r="F69" s="44">
        <v>164.77</v>
      </c>
      <c r="G69" s="45">
        <v>161.77000000000001</v>
      </c>
      <c r="H69" s="46">
        <v>163.27000000000001</v>
      </c>
      <c r="I69" s="44">
        <v>112.41</v>
      </c>
      <c r="J69" s="45">
        <v>109.21</v>
      </c>
      <c r="K69" s="46">
        <v>110.81</v>
      </c>
      <c r="L69" s="45">
        <v>194.94</v>
      </c>
      <c r="M69" s="45">
        <v>186.94</v>
      </c>
      <c r="N69" s="45">
        <v>190.94</v>
      </c>
      <c r="O69" s="44">
        <v>170.85</v>
      </c>
      <c r="P69" s="45">
        <v>169.04999999999998</v>
      </c>
      <c r="Q69" s="46">
        <v>169.95</v>
      </c>
      <c r="R69" s="45">
        <v>22.2</v>
      </c>
      <c r="S69" s="45">
        <v>21.599999999999998</v>
      </c>
      <c r="T69" s="45">
        <v>21.9</v>
      </c>
      <c r="U69" s="44">
        <v>14.52</v>
      </c>
      <c r="V69" s="45">
        <v>13.92</v>
      </c>
      <c r="W69" s="46">
        <v>14.219999999999999</v>
      </c>
      <c r="X69" s="44">
        <v>14.91</v>
      </c>
      <c r="Y69" s="45">
        <v>14.11</v>
      </c>
      <c r="Z69" s="46">
        <v>14.51</v>
      </c>
      <c r="AA69" s="44">
        <v>99.89</v>
      </c>
      <c r="AB69" s="45">
        <v>95.89</v>
      </c>
      <c r="AC69" s="46">
        <v>97.89</v>
      </c>
      <c r="AD69" s="44">
        <v>93.71</v>
      </c>
      <c r="AE69" s="45">
        <v>89.71</v>
      </c>
      <c r="AF69" s="46">
        <v>91.71</v>
      </c>
      <c r="AG69" s="45">
        <v>19.649999999999999</v>
      </c>
      <c r="AH69" s="45">
        <v>18.79</v>
      </c>
      <c r="AI69" s="45">
        <v>19.22</v>
      </c>
      <c r="AJ69" s="47"/>
      <c r="AK69" s="48"/>
      <c r="AL69" s="49"/>
      <c r="AM69" s="45">
        <v>112.78</v>
      </c>
      <c r="AN69" s="45">
        <v>111.12</v>
      </c>
      <c r="AO69" s="45">
        <v>111.95</v>
      </c>
      <c r="AP69" s="44">
        <v>40.98</v>
      </c>
      <c r="AQ69" s="45">
        <v>39.379999999999995</v>
      </c>
      <c r="AR69" s="46">
        <v>40.179999999999993</v>
      </c>
      <c r="AS69" s="45">
        <v>41.7</v>
      </c>
      <c r="AT69" s="45">
        <v>40.340000000000003</v>
      </c>
      <c r="AU69" s="45">
        <v>41.02</v>
      </c>
      <c r="AV69" s="44">
        <v>21.16</v>
      </c>
      <c r="AW69" s="45">
        <v>20.56</v>
      </c>
      <c r="AX69" s="46">
        <v>20.86</v>
      </c>
      <c r="AY69" s="44">
        <v>4.28</v>
      </c>
      <c r="AZ69" s="45">
        <v>4.12</v>
      </c>
      <c r="BA69" s="46">
        <v>4.2</v>
      </c>
      <c r="BB69" s="44">
        <v>1.97</v>
      </c>
      <c r="BC69" s="50">
        <v>1.67</v>
      </c>
      <c r="BD69" s="51">
        <v>1.8199999999999998</v>
      </c>
      <c r="BE69" s="45">
        <v>0.7</v>
      </c>
      <c r="BF69" s="50">
        <v>0.39999999999999997</v>
      </c>
      <c r="BG69" s="50">
        <v>0.54999999999999993</v>
      </c>
      <c r="BH69" s="44">
        <v>497.97</v>
      </c>
      <c r="BI69" s="45">
        <v>481.97</v>
      </c>
      <c r="BJ69" s="46">
        <v>489.97</v>
      </c>
      <c r="BK69" s="45">
        <v>41.99</v>
      </c>
      <c r="BL69" s="45">
        <v>40.630000000000003</v>
      </c>
      <c r="BM69" s="45">
        <v>41.31</v>
      </c>
      <c r="BN69" s="52">
        <v>1.08</v>
      </c>
      <c r="BO69" s="50">
        <v>0.84000000000000008</v>
      </c>
      <c r="BP69" s="51">
        <v>0.96000000000000008</v>
      </c>
      <c r="BQ69" s="45">
        <v>9.8699999999999992</v>
      </c>
      <c r="BR69" s="45">
        <v>7.8699999999999992</v>
      </c>
      <c r="BS69" s="45">
        <v>8.8699999999999992</v>
      </c>
      <c r="BT69" s="44">
        <v>11.51</v>
      </c>
      <c r="BU69" s="45">
        <v>11.11</v>
      </c>
      <c r="BV69" s="46">
        <v>11.309999999999999</v>
      </c>
      <c r="BW69" s="44">
        <v>2.85</v>
      </c>
      <c r="BX69" s="50">
        <v>2.5700000000000003</v>
      </c>
      <c r="BY69" s="51">
        <v>2.71</v>
      </c>
      <c r="BZ69" s="44">
        <v>9.4</v>
      </c>
      <c r="CA69" s="45">
        <v>6.4</v>
      </c>
      <c r="CB69" s="46">
        <v>7.9</v>
      </c>
      <c r="CC69" s="44">
        <v>6.56</v>
      </c>
      <c r="CD69" s="45">
        <v>6.3199999999999994</v>
      </c>
      <c r="CE69" s="46">
        <v>6.4399999999999995</v>
      </c>
      <c r="CF69" s="44">
        <v>1.9</v>
      </c>
      <c r="CG69" s="45">
        <v>1.4</v>
      </c>
      <c r="CH69" s="46">
        <v>1.65</v>
      </c>
      <c r="CI69" s="44">
        <v>0.43</v>
      </c>
      <c r="CJ69" s="45">
        <v>0.39</v>
      </c>
      <c r="CK69" s="46">
        <v>0.41000000000000003</v>
      </c>
      <c r="CL69" s="44">
        <v>38.99</v>
      </c>
      <c r="CM69">
        <v>36.590000000000003</v>
      </c>
      <c r="CN69">
        <v>37.790000000000006</v>
      </c>
      <c r="CO69">
        <v>7.27</v>
      </c>
      <c r="CP69">
        <v>2.2699999999999996</v>
      </c>
      <c r="CQ69">
        <v>4.7699999999999996</v>
      </c>
    </row>
    <row r="70" spans="1:95">
      <c r="A70" s="223">
        <v>45357</v>
      </c>
      <c r="B70" s="90" t="s">
        <v>98</v>
      </c>
      <c r="C70" s="45">
        <v>151.05000000000001</v>
      </c>
      <c r="D70" s="45">
        <v>149.05000000000001</v>
      </c>
      <c r="E70" s="45">
        <v>150.05000000000001</v>
      </c>
      <c r="F70" s="44">
        <v>164.33</v>
      </c>
      <c r="G70" s="45">
        <v>161.33000000000001</v>
      </c>
      <c r="H70" s="46">
        <v>162.83000000000001</v>
      </c>
      <c r="I70" s="45">
        <v>111.95</v>
      </c>
      <c r="J70" s="45">
        <v>108.75</v>
      </c>
      <c r="K70" s="45">
        <v>110.35</v>
      </c>
      <c r="L70" s="44">
        <v>194.5</v>
      </c>
      <c r="M70" s="45">
        <v>186.5</v>
      </c>
      <c r="N70" s="46">
        <v>190.5</v>
      </c>
      <c r="O70" s="45">
        <v>170.54</v>
      </c>
      <c r="P70" s="45">
        <v>168.73999999999998</v>
      </c>
      <c r="Q70" s="45">
        <v>169.64</v>
      </c>
      <c r="R70" s="44">
        <v>22.14</v>
      </c>
      <c r="S70" s="45">
        <v>21.54</v>
      </c>
      <c r="T70" s="46">
        <v>21.84</v>
      </c>
      <c r="U70" s="44">
        <v>14.49</v>
      </c>
      <c r="V70" s="45">
        <v>13.89</v>
      </c>
      <c r="W70" s="46">
        <v>14.190000000000001</v>
      </c>
      <c r="X70" s="44">
        <v>14.85</v>
      </c>
      <c r="Y70" s="45">
        <v>14.049999999999999</v>
      </c>
      <c r="Z70" s="46">
        <v>14.45</v>
      </c>
      <c r="AA70" s="44">
        <v>99.46</v>
      </c>
      <c r="AB70" s="45">
        <v>95.46</v>
      </c>
      <c r="AC70" s="46">
        <v>97.46</v>
      </c>
      <c r="AD70" s="45">
        <v>93.14</v>
      </c>
      <c r="AE70" s="45">
        <v>89.14</v>
      </c>
      <c r="AF70" s="45">
        <v>91.14</v>
      </c>
      <c r="AG70" s="44">
        <v>19.61</v>
      </c>
      <c r="AH70" s="45">
        <v>18.75</v>
      </c>
      <c r="AI70" s="46">
        <v>19.18</v>
      </c>
      <c r="AJ70" s="47"/>
      <c r="AK70" s="48"/>
      <c r="AL70" s="49"/>
      <c r="AM70" s="44">
        <v>112.54</v>
      </c>
      <c r="AN70" s="45">
        <v>110.88000000000001</v>
      </c>
      <c r="AO70" s="46">
        <v>111.71000000000001</v>
      </c>
      <c r="AP70" s="44">
        <v>40.880000000000003</v>
      </c>
      <c r="AQ70" s="45">
        <v>39.28</v>
      </c>
      <c r="AR70" s="46">
        <v>40.08</v>
      </c>
      <c r="AS70" s="45">
        <v>41.6</v>
      </c>
      <c r="AT70" s="45">
        <v>40.24</v>
      </c>
      <c r="AU70" s="45">
        <v>40.92</v>
      </c>
      <c r="AV70" s="44">
        <v>21.1</v>
      </c>
      <c r="AW70" s="45">
        <v>20.5</v>
      </c>
      <c r="AX70" s="46">
        <v>20.8</v>
      </c>
      <c r="AY70" s="44">
        <v>4.2699999999999996</v>
      </c>
      <c r="AZ70" s="45">
        <v>4.1099999999999994</v>
      </c>
      <c r="BA70" s="46">
        <v>4.1899999999999995</v>
      </c>
      <c r="BB70" s="44">
        <v>1.97</v>
      </c>
      <c r="BC70" s="50">
        <v>1.67</v>
      </c>
      <c r="BD70" s="51">
        <v>1.8199999999999998</v>
      </c>
      <c r="BE70" s="44">
        <v>0.69</v>
      </c>
      <c r="BF70" s="50">
        <v>0.38999999999999996</v>
      </c>
      <c r="BG70" s="51">
        <v>0.53999999999999992</v>
      </c>
      <c r="BH70" s="44">
        <v>494.86</v>
      </c>
      <c r="BI70" s="45">
        <v>478.86</v>
      </c>
      <c r="BJ70" s="46">
        <v>486.86</v>
      </c>
      <c r="BK70" s="45">
        <v>41.9</v>
      </c>
      <c r="BL70" s="45">
        <v>40.54</v>
      </c>
      <c r="BM70" s="45">
        <v>41.22</v>
      </c>
      <c r="BN70" s="52">
        <v>1.07</v>
      </c>
      <c r="BO70" s="50">
        <v>0.83000000000000007</v>
      </c>
      <c r="BP70" s="51">
        <v>0.95000000000000007</v>
      </c>
      <c r="BQ70" s="45">
        <v>9.85</v>
      </c>
      <c r="BR70" s="45">
        <v>7.85</v>
      </c>
      <c r="BS70" s="45">
        <v>8.85</v>
      </c>
      <c r="BT70" s="44">
        <v>11.44</v>
      </c>
      <c r="BU70" s="45">
        <v>11.04</v>
      </c>
      <c r="BV70" s="46">
        <v>11.239999999999998</v>
      </c>
      <c r="BW70" s="44">
        <v>2.84</v>
      </c>
      <c r="BX70" s="50">
        <v>2.5599999999999996</v>
      </c>
      <c r="BY70" s="51">
        <v>2.6999999999999997</v>
      </c>
      <c r="BZ70" s="44">
        <v>9.4</v>
      </c>
      <c r="CA70" s="45">
        <v>6.4</v>
      </c>
      <c r="CB70" s="46">
        <v>7.9</v>
      </c>
      <c r="CC70" s="44">
        <v>6.54</v>
      </c>
      <c r="CD70" s="45">
        <v>6.3</v>
      </c>
      <c r="CE70" s="46">
        <v>6.42</v>
      </c>
      <c r="CF70" s="45">
        <v>1.9</v>
      </c>
      <c r="CG70" s="45">
        <v>1.4</v>
      </c>
      <c r="CH70" s="45">
        <v>1.65</v>
      </c>
      <c r="CI70" s="44">
        <v>0.43</v>
      </c>
      <c r="CJ70" s="45">
        <v>0.39</v>
      </c>
      <c r="CK70" s="46">
        <v>0.41000000000000003</v>
      </c>
      <c r="CL70" s="44">
        <v>38.979999999999997</v>
      </c>
      <c r="CM70">
        <v>36.58</v>
      </c>
      <c r="CN70">
        <v>37.78</v>
      </c>
      <c r="CO70">
        <v>7.24</v>
      </c>
      <c r="CP70">
        <v>2.2400000000000002</v>
      </c>
      <c r="CQ70">
        <v>4.74</v>
      </c>
    </row>
    <row r="71" spans="1:95">
      <c r="A71" s="223">
        <v>45358</v>
      </c>
      <c r="B71" s="90" t="s">
        <v>99</v>
      </c>
      <c r="C71" s="44">
        <v>150.02000000000001</v>
      </c>
      <c r="D71" s="45">
        <v>148.02000000000001</v>
      </c>
      <c r="E71" s="46">
        <v>149.02000000000001</v>
      </c>
      <c r="F71" s="44">
        <v>163.92</v>
      </c>
      <c r="G71" s="45">
        <v>160.91999999999999</v>
      </c>
      <c r="H71" s="46">
        <v>162.41999999999999</v>
      </c>
      <c r="I71" s="44">
        <v>111.85</v>
      </c>
      <c r="J71" s="45">
        <v>108.64999999999999</v>
      </c>
      <c r="K71" s="46">
        <v>110.25</v>
      </c>
      <c r="L71" s="45">
        <v>193.79</v>
      </c>
      <c r="M71" s="45">
        <v>185.79</v>
      </c>
      <c r="N71" s="45">
        <v>189.79</v>
      </c>
      <c r="O71" s="44">
        <v>169.8</v>
      </c>
      <c r="P71" s="45">
        <v>168</v>
      </c>
      <c r="Q71" s="46">
        <v>168.9</v>
      </c>
      <c r="R71" s="45">
        <v>22.09</v>
      </c>
      <c r="S71" s="45">
        <v>21.49</v>
      </c>
      <c r="T71" s="45">
        <v>21.79</v>
      </c>
      <c r="U71" s="44">
        <v>14.5</v>
      </c>
      <c r="V71" s="45">
        <v>13.9</v>
      </c>
      <c r="W71" s="46">
        <v>14.2</v>
      </c>
      <c r="X71" s="44">
        <v>14.88</v>
      </c>
      <c r="Y71" s="45">
        <v>14.08</v>
      </c>
      <c r="Z71" s="46">
        <v>14.48</v>
      </c>
      <c r="AA71" s="44">
        <v>99.92</v>
      </c>
      <c r="AB71" s="45">
        <v>95.92</v>
      </c>
      <c r="AC71" s="46">
        <v>97.92</v>
      </c>
      <c r="AD71" s="44">
        <v>93.39</v>
      </c>
      <c r="AE71" s="45">
        <v>89.39</v>
      </c>
      <c r="AF71" s="46">
        <v>91.39</v>
      </c>
      <c r="AG71" s="45">
        <v>19.48</v>
      </c>
      <c r="AH71" s="45">
        <v>18.62</v>
      </c>
      <c r="AI71" s="45">
        <v>19.05</v>
      </c>
      <c r="AJ71" s="47"/>
      <c r="AK71" s="48"/>
      <c r="AL71" s="49"/>
      <c r="AM71" s="45">
        <v>112.26</v>
      </c>
      <c r="AN71" s="45">
        <v>110.60000000000001</v>
      </c>
      <c r="AO71" s="45">
        <v>111.43</v>
      </c>
      <c r="AP71" s="44">
        <v>40.6</v>
      </c>
      <c r="AQ71" s="45">
        <v>39</v>
      </c>
      <c r="AR71" s="46">
        <v>39.799999999999997</v>
      </c>
      <c r="AS71" s="45">
        <v>41.32</v>
      </c>
      <c r="AT71" s="45">
        <v>39.96</v>
      </c>
      <c r="AU71" s="45">
        <v>40.64</v>
      </c>
      <c r="AV71" s="44">
        <v>20.97</v>
      </c>
      <c r="AW71" s="45">
        <v>20.369999999999997</v>
      </c>
      <c r="AX71" s="46">
        <v>20.669999999999998</v>
      </c>
      <c r="AY71" s="44">
        <v>4.2699999999999996</v>
      </c>
      <c r="AZ71" s="45">
        <v>4.1099999999999994</v>
      </c>
      <c r="BA71" s="46">
        <v>4.1899999999999995</v>
      </c>
      <c r="BB71" s="44">
        <v>1.96</v>
      </c>
      <c r="BC71" s="50">
        <v>1.66</v>
      </c>
      <c r="BD71" s="51">
        <v>1.81</v>
      </c>
      <c r="BE71" s="45">
        <v>0.69</v>
      </c>
      <c r="BF71" s="50">
        <v>0.38999999999999996</v>
      </c>
      <c r="BG71" s="50">
        <v>0.53999999999999992</v>
      </c>
      <c r="BH71" s="44">
        <v>493.57</v>
      </c>
      <c r="BI71" s="45">
        <v>477.57</v>
      </c>
      <c r="BJ71" s="46">
        <v>485.57</v>
      </c>
      <c r="BK71" s="45">
        <v>41.62</v>
      </c>
      <c r="BL71" s="45">
        <v>40.26</v>
      </c>
      <c r="BM71" s="45">
        <v>40.94</v>
      </c>
      <c r="BN71" s="52">
        <v>1.07</v>
      </c>
      <c r="BO71" s="50">
        <v>0.83000000000000007</v>
      </c>
      <c r="BP71" s="51">
        <v>0.95000000000000007</v>
      </c>
      <c r="BQ71" s="45">
        <v>9.83</v>
      </c>
      <c r="BR71" s="45">
        <v>7.83</v>
      </c>
      <c r="BS71" s="45">
        <v>8.83</v>
      </c>
      <c r="BT71" s="44">
        <v>11.43</v>
      </c>
      <c r="BU71" s="45">
        <v>11.03</v>
      </c>
      <c r="BV71" s="46">
        <v>11.23</v>
      </c>
      <c r="BW71" s="44">
        <v>2.83</v>
      </c>
      <c r="BX71" s="50">
        <v>2.5499999999999998</v>
      </c>
      <c r="BY71" s="51">
        <v>2.69</v>
      </c>
      <c r="BZ71" s="44">
        <v>9.42</v>
      </c>
      <c r="CA71" s="45">
        <v>6.42</v>
      </c>
      <c r="CB71" s="46">
        <v>7.92</v>
      </c>
      <c r="CC71" s="44">
        <v>6.53</v>
      </c>
      <c r="CD71" s="45">
        <v>6.29</v>
      </c>
      <c r="CE71" s="46">
        <v>6.41</v>
      </c>
      <c r="CF71" s="44">
        <v>1.89</v>
      </c>
      <c r="CG71" s="45">
        <v>1.39</v>
      </c>
      <c r="CH71" s="46">
        <v>1.64</v>
      </c>
      <c r="CI71" s="44">
        <v>0.43</v>
      </c>
      <c r="CJ71" s="45">
        <v>0.39</v>
      </c>
      <c r="CK71" s="46">
        <v>0.41000000000000003</v>
      </c>
      <c r="CL71" s="44">
        <v>38.99</v>
      </c>
      <c r="CM71">
        <v>36.590000000000003</v>
      </c>
      <c r="CN71">
        <v>37.790000000000006</v>
      </c>
      <c r="CO71">
        <v>7.19</v>
      </c>
      <c r="CP71">
        <v>2.1900000000000004</v>
      </c>
      <c r="CQ71">
        <v>4.6900000000000004</v>
      </c>
    </row>
    <row r="72" spans="1:95">
      <c r="A72" s="223">
        <v>45359</v>
      </c>
      <c r="B72" s="90" t="s">
        <v>100</v>
      </c>
      <c r="C72" s="44">
        <v>148.86000000000001</v>
      </c>
      <c r="D72" s="45">
        <v>146.86000000000001</v>
      </c>
      <c r="E72" s="46">
        <v>147.86000000000001</v>
      </c>
      <c r="F72" s="44">
        <v>163.44</v>
      </c>
      <c r="G72" s="45">
        <v>160.44</v>
      </c>
      <c r="H72" s="46">
        <v>161.94</v>
      </c>
      <c r="I72" s="44">
        <v>111.52</v>
      </c>
      <c r="J72" s="45">
        <v>108.32</v>
      </c>
      <c r="K72" s="46">
        <v>109.91999999999999</v>
      </c>
      <c r="L72" s="45">
        <v>193.5</v>
      </c>
      <c r="M72" s="45">
        <v>185.5</v>
      </c>
      <c r="N72" s="45">
        <v>189.5</v>
      </c>
      <c r="O72" s="44">
        <v>169.44</v>
      </c>
      <c r="P72" s="45">
        <v>167.64</v>
      </c>
      <c r="Q72" s="46">
        <v>168.54</v>
      </c>
      <c r="R72" s="45">
        <v>22.02</v>
      </c>
      <c r="S72" s="45">
        <v>21.419999999999998</v>
      </c>
      <c r="T72" s="45">
        <v>21.72</v>
      </c>
      <c r="U72" s="44">
        <v>14.52</v>
      </c>
      <c r="V72" s="45">
        <v>13.92</v>
      </c>
      <c r="W72" s="46">
        <v>14.219999999999999</v>
      </c>
      <c r="X72" s="44">
        <v>14.87</v>
      </c>
      <c r="Y72" s="45">
        <v>14.069999999999999</v>
      </c>
      <c r="Z72" s="46">
        <v>14.469999999999999</v>
      </c>
      <c r="AA72" s="44">
        <v>99.99</v>
      </c>
      <c r="AB72" s="45">
        <v>95.99</v>
      </c>
      <c r="AC72" s="46">
        <v>97.99</v>
      </c>
      <c r="AD72" s="44">
        <v>93.36</v>
      </c>
      <c r="AE72" s="45">
        <v>89.36</v>
      </c>
      <c r="AF72" s="46">
        <v>91.36</v>
      </c>
      <c r="AG72" s="45">
        <v>19.329999999999998</v>
      </c>
      <c r="AH72" s="45">
        <v>18.47</v>
      </c>
      <c r="AI72" s="45">
        <v>18.899999999999999</v>
      </c>
      <c r="AJ72" s="47"/>
      <c r="AK72" s="48"/>
      <c r="AL72" s="49"/>
      <c r="AM72" s="45">
        <v>111.79</v>
      </c>
      <c r="AN72" s="45">
        <v>110.13000000000001</v>
      </c>
      <c r="AO72" s="45">
        <v>110.96000000000001</v>
      </c>
      <c r="AP72" s="44">
        <v>40.29</v>
      </c>
      <c r="AQ72" s="45">
        <v>38.69</v>
      </c>
      <c r="AR72" s="46">
        <v>39.489999999999995</v>
      </c>
      <c r="AS72" s="45">
        <v>41</v>
      </c>
      <c r="AT72" s="45">
        <v>39.64</v>
      </c>
      <c r="AU72" s="45">
        <v>40.32</v>
      </c>
      <c r="AV72" s="44">
        <v>20.84</v>
      </c>
      <c r="AW72" s="45">
        <v>20.239999999999998</v>
      </c>
      <c r="AX72" s="46">
        <v>20.54</v>
      </c>
      <c r="AY72" s="44">
        <v>4.24</v>
      </c>
      <c r="AZ72" s="45">
        <v>4.08</v>
      </c>
      <c r="BA72" s="46">
        <v>4.16</v>
      </c>
      <c r="BB72" s="44">
        <v>1.95</v>
      </c>
      <c r="BC72" s="50">
        <v>1.65</v>
      </c>
      <c r="BD72" s="51">
        <v>1.7999999999999998</v>
      </c>
      <c r="BE72" s="45">
        <v>0.68</v>
      </c>
      <c r="BF72" s="50">
        <v>0.38000000000000006</v>
      </c>
      <c r="BG72" s="50">
        <v>0.53</v>
      </c>
      <c r="BH72" s="44">
        <v>490.26</v>
      </c>
      <c r="BI72" s="45">
        <v>474.26</v>
      </c>
      <c r="BJ72" s="46">
        <v>482.26</v>
      </c>
      <c r="BK72" s="45">
        <v>41.29</v>
      </c>
      <c r="BL72" s="45">
        <v>39.93</v>
      </c>
      <c r="BM72" s="45">
        <v>40.61</v>
      </c>
      <c r="BN72" s="52">
        <v>1.07</v>
      </c>
      <c r="BO72" s="50">
        <v>0.83000000000000007</v>
      </c>
      <c r="BP72" s="51">
        <v>0.95000000000000007</v>
      </c>
      <c r="BQ72" s="45">
        <v>9.77</v>
      </c>
      <c r="BR72" s="45">
        <v>7.77</v>
      </c>
      <c r="BS72" s="45">
        <v>8.77</v>
      </c>
      <c r="BT72" s="44">
        <v>11.37</v>
      </c>
      <c r="BU72" s="45">
        <v>10.969999999999999</v>
      </c>
      <c r="BV72" s="46">
        <v>11.169999999999998</v>
      </c>
      <c r="BW72" s="44">
        <v>2.81</v>
      </c>
      <c r="BX72" s="50">
        <v>2.5300000000000002</v>
      </c>
      <c r="BY72" s="51">
        <v>2.67</v>
      </c>
      <c r="BZ72" s="44">
        <v>9.41</v>
      </c>
      <c r="CA72" s="45">
        <v>6.41</v>
      </c>
      <c r="CB72" s="46">
        <v>7.91</v>
      </c>
      <c r="CC72" s="44">
        <v>6.51</v>
      </c>
      <c r="CD72" s="45">
        <v>6.27</v>
      </c>
      <c r="CE72" s="46">
        <v>6.39</v>
      </c>
      <c r="CF72" s="44">
        <v>1.88</v>
      </c>
      <c r="CG72" s="45">
        <v>1.38</v>
      </c>
      <c r="CH72" s="46">
        <v>1.63</v>
      </c>
      <c r="CI72" s="44">
        <v>0.43</v>
      </c>
      <c r="CJ72" s="45">
        <v>0.39</v>
      </c>
      <c r="CK72" s="46">
        <v>0.41000000000000003</v>
      </c>
      <c r="CL72" s="44">
        <v>38.840000000000003</v>
      </c>
      <c r="CM72">
        <v>36.440000000000005</v>
      </c>
      <c r="CN72">
        <v>37.64</v>
      </c>
      <c r="CO72">
        <v>7.15</v>
      </c>
      <c r="CP72">
        <v>2.1500000000000004</v>
      </c>
      <c r="CQ72">
        <v>4.6500000000000004</v>
      </c>
    </row>
    <row r="73" spans="1:95">
      <c r="A73" s="223">
        <v>45360</v>
      </c>
      <c r="B73" s="90" t="s">
        <v>307</v>
      </c>
      <c r="C73" s="44"/>
      <c r="D73" s="45"/>
      <c r="E73" s="46"/>
      <c r="F73" s="44"/>
      <c r="G73" s="45"/>
      <c r="H73" s="46"/>
      <c r="I73" s="44"/>
      <c r="J73" s="45"/>
      <c r="K73" s="46"/>
      <c r="L73" s="45"/>
      <c r="M73" s="45"/>
      <c r="N73" s="45"/>
      <c r="O73" s="44"/>
      <c r="P73" s="45"/>
      <c r="Q73" s="46"/>
      <c r="R73" s="45"/>
      <c r="S73" s="45"/>
      <c r="T73" s="45"/>
      <c r="U73" s="44"/>
      <c r="V73" s="45"/>
      <c r="W73" s="46"/>
      <c r="X73" s="44"/>
      <c r="Y73" s="45"/>
      <c r="Z73" s="46"/>
      <c r="AA73" s="44"/>
      <c r="AB73" s="45"/>
      <c r="AC73" s="46"/>
      <c r="AD73" s="44"/>
      <c r="AE73" s="45"/>
      <c r="AF73" s="46"/>
      <c r="AG73" s="45"/>
      <c r="AH73" s="45"/>
      <c r="AI73" s="45"/>
      <c r="AJ73" s="47"/>
      <c r="AK73" s="48"/>
      <c r="AL73" s="49"/>
      <c r="AM73" s="45"/>
      <c r="AN73" s="45"/>
      <c r="AO73" s="45"/>
      <c r="AP73" s="44"/>
      <c r="AQ73" s="45"/>
      <c r="AR73" s="46"/>
      <c r="AS73" s="45"/>
      <c r="AT73" s="45"/>
      <c r="AU73" s="45"/>
      <c r="AV73" s="44"/>
      <c r="AW73" s="45"/>
      <c r="AX73" s="46"/>
      <c r="AY73" s="44"/>
      <c r="AZ73" s="45"/>
      <c r="BA73" s="46"/>
      <c r="BB73" s="44"/>
      <c r="BC73" s="50"/>
      <c r="BD73" s="51"/>
      <c r="BE73" s="45"/>
      <c r="BF73" s="50"/>
      <c r="BG73" s="50"/>
      <c r="BH73" s="44"/>
      <c r="BI73" s="45"/>
      <c r="BJ73" s="46"/>
      <c r="BK73" s="45"/>
      <c r="BL73" s="45"/>
      <c r="BM73" s="45"/>
      <c r="BN73" s="52"/>
      <c r="BO73" s="50"/>
      <c r="BP73" s="51"/>
      <c r="BQ73" s="45"/>
      <c r="BR73" s="45"/>
      <c r="BS73" s="45"/>
      <c r="BT73" s="44"/>
      <c r="BU73" s="45"/>
      <c r="BV73" s="46"/>
      <c r="BW73" s="44"/>
      <c r="BX73" s="50"/>
      <c r="BY73" s="51"/>
      <c r="BZ73" s="44"/>
      <c r="CA73" s="45"/>
      <c r="CB73" s="46"/>
      <c r="CC73" s="44"/>
      <c r="CD73" s="45"/>
      <c r="CE73" s="46"/>
      <c r="CF73" s="44"/>
      <c r="CG73" s="45"/>
      <c r="CH73" s="46"/>
      <c r="CI73" s="44"/>
      <c r="CJ73" s="45"/>
      <c r="CK73" s="46"/>
      <c r="CL73" s="44"/>
    </row>
    <row r="74" spans="1:95">
      <c r="A74" s="223">
        <v>45361</v>
      </c>
      <c r="B74" s="90" t="s">
        <v>308</v>
      </c>
      <c r="C74" s="44"/>
      <c r="D74" s="45"/>
      <c r="E74" s="46"/>
      <c r="F74" s="44"/>
      <c r="G74" s="45"/>
      <c r="H74" s="46"/>
      <c r="I74" s="44"/>
      <c r="J74" s="45"/>
      <c r="K74" s="46"/>
      <c r="L74" s="45"/>
      <c r="M74" s="45"/>
      <c r="N74" s="45"/>
      <c r="O74" s="44"/>
      <c r="P74" s="45"/>
      <c r="Q74" s="46"/>
      <c r="R74" s="45"/>
      <c r="S74" s="45"/>
      <c r="T74" s="45"/>
      <c r="U74" s="44"/>
      <c r="V74" s="45"/>
      <c r="W74" s="46"/>
      <c r="X74" s="44"/>
      <c r="Y74" s="45"/>
      <c r="Z74" s="46"/>
      <c r="AA74" s="44"/>
      <c r="AB74" s="45"/>
      <c r="AC74" s="46"/>
      <c r="AD74" s="44"/>
      <c r="AE74" s="45"/>
      <c r="AF74" s="46"/>
      <c r="AG74" s="45"/>
      <c r="AH74" s="45"/>
      <c r="AI74" s="45"/>
      <c r="AJ74" s="47"/>
      <c r="AK74" s="48"/>
      <c r="AL74" s="49"/>
      <c r="AM74" s="45"/>
      <c r="AN74" s="45"/>
      <c r="AO74" s="45"/>
      <c r="AP74" s="44"/>
      <c r="AQ74" s="45"/>
      <c r="AR74" s="46"/>
      <c r="AS74" s="45"/>
      <c r="AT74" s="45"/>
      <c r="AU74" s="45"/>
      <c r="AV74" s="44"/>
      <c r="AW74" s="45"/>
      <c r="AX74" s="46"/>
      <c r="AY74" s="44"/>
      <c r="AZ74" s="45"/>
      <c r="BA74" s="46"/>
      <c r="BB74" s="44"/>
      <c r="BC74" s="50"/>
      <c r="BD74" s="51"/>
      <c r="BE74" s="45"/>
      <c r="BF74" s="50"/>
      <c r="BG74" s="50"/>
      <c r="BH74" s="44"/>
      <c r="BI74" s="45"/>
      <c r="BJ74" s="46"/>
      <c r="BK74" s="45"/>
      <c r="BL74" s="45"/>
      <c r="BM74" s="45"/>
      <c r="BN74" s="52"/>
      <c r="BO74" s="50"/>
      <c r="BP74" s="51"/>
      <c r="BQ74" s="45"/>
      <c r="BR74" s="45"/>
      <c r="BS74" s="45"/>
      <c r="BT74" s="44"/>
      <c r="BU74" s="45"/>
      <c r="BV74" s="46"/>
      <c r="BW74" s="44"/>
      <c r="BX74" s="50"/>
      <c r="BY74" s="51"/>
      <c r="BZ74" s="44"/>
      <c r="CA74" s="45"/>
      <c r="CB74" s="46"/>
      <c r="CC74" s="44"/>
      <c r="CD74" s="45"/>
      <c r="CE74" s="46"/>
      <c r="CF74" s="44"/>
      <c r="CG74" s="45"/>
      <c r="CH74" s="46"/>
      <c r="CI74" s="44"/>
      <c r="CJ74" s="45"/>
      <c r="CK74" s="46"/>
      <c r="CL74" s="44"/>
    </row>
    <row r="75" spans="1:95">
      <c r="A75" s="223">
        <v>45362</v>
      </c>
      <c r="B75" s="90" t="s">
        <v>96</v>
      </c>
      <c r="C75" s="45">
        <v>147.82</v>
      </c>
      <c r="D75" s="45">
        <v>145.82</v>
      </c>
      <c r="E75" s="45">
        <v>146.82</v>
      </c>
      <c r="F75" s="44">
        <v>162.18</v>
      </c>
      <c r="G75" s="45">
        <v>159.18</v>
      </c>
      <c r="H75" s="46">
        <v>160.68</v>
      </c>
      <c r="I75" s="45">
        <v>110.53</v>
      </c>
      <c r="J75" s="45">
        <v>107.33</v>
      </c>
      <c r="K75" s="45">
        <v>108.93</v>
      </c>
      <c r="L75" s="44">
        <v>192.8</v>
      </c>
      <c r="M75" s="45">
        <v>184.8</v>
      </c>
      <c r="N75" s="46">
        <v>188.8</v>
      </c>
      <c r="O75" s="45">
        <v>168.29</v>
      </c>
      <c r="P75" s="45">
        <v>166.48999999999998</v>
      </c>
      <c r="Q75" s="45">
        <v>167.39</v>
      </c>
      <c r="R75" s="44">
        <v>21.85</v>
      </c>
      <c r="S75" s="45">
        <v>21.25</v>
      </c>
      <c r="T75" s="46">
        <v>21.55</v>
      </c>
      <c r="U75" s="44">
        <v>14.38</v>
      </c>
      <c r="V75" s="45">
        <v>13.780000000000001</v>
      </c>
      <c r="W75" s="46">
        <v>14.080000000000002</v>
      </c>
      <c r="X75" s="44">
        <v>14.79</v>
      </c>
      <c r="Y75" s="45">
        <v>13.989999999999998</v>
      </c>
      <c r="Z75" s="46">
        <v>14.389999999999999</v>
      </c>
      <c r="AA75" s="44">
        <v>99.27</v>
      </c>
      <c r="AB75" s="45">
        <v>95.27</v>
      </c>
      <c r="AC75" s="46">
        <v>97.27</v>
      </c>
      <c r="AD75" s="45">
        <v>92.72</v>
      </c>
      <c r="AE75" s="45">
        <v>88.72</v>
      </c>
      <c r="AF75" s="45">
        <v>90.72</v>
      </c>
      <c r="AG75" s="44">
        <v>19.2</v>
      </c>
      <c r="AH75" s="45">
        <v>18.34</v>
      </c>
      <c r="AI75" s="46">
        <v>18.77</v>
      </c>
      <c r="AJ75" s="47"/>
      <c r="AK75" s="48"/>
      <c r="AL75" s="49"/>
      <c r="AM75" s="44">
        <v>111.19</v>
      </c>
      <c r="AN75" s="45">
        <v>109.53</v>
      </c>
      <c r="AO75" s="46">
        <v>110.36</v>
      </c>
      <c r="AP75" s="44">
        <v>40</v>
      </c>
      <c r="AQ75" s="45">
        <v>38.4</v>
      </c>
      <c r="AR75" s="46">
        <v>39.200000000000003</v>
      </c>
      <c r="AS75" s="45">
        <v>40.72</v>
      </c>
      <c r="AT75" s="45">
        <v>39.36</v>
      </c>
      <c r="AU75" s="45">
        <v>40.04</v>
      </c>
      <c r="AV75" s="44">
        <v>20.7</v>
      </c>
      <c r="AW75" s="45">
        <v>20.099999999999998</v>
      </c>
      <c r="AX75" s="46">
        <v>20.399999999999999</v>
      </c>
      <c r="AY75" s="44">
        <v>4.2300000000000004</v>
      </c>
      <c r="AZ75" s="45">
        <v>4.07</v>
      </c>
      <c r="BA75" s="46">
        <v>4.1500000000000004</v>
      </c>
      <c r="BB75" s="44">
        <v>1.93</v>
      </c>
      <c r="BC75" s="50">
        <v>1.63</v>
      </c>
      <c r="BD75" s="51">
        <v>1.7799999999999998</v>
      </c>
      <c r="BE75" s="44">
        <v>0.69</v>
      </c>
      <c r="BF75" s="50">
        <v>0.38999999999999996</v>
      </c>
      <c r="BG75" s="51">
        <v>0.53999999999999992</v>
      </c>
      <c r="BH75" s="44">
        <v>487.02</v>
      </c>
      <c r="BI75" s="45">
        <v>471.02</v>
      </c>
      <c r="BJ75" s="46">
        <v>479.02</v>
      </c>
      <c r="BK75" s="45">
        <v>41</v>
      </c>
      <c r="BL75" s="45">
        <v>39.64</v>
      </c>
      <c r="BM75" s="45">
        <v>40.32</v>
      </c>
      <c r="BN75" s="52">
        <v>1.07</v>
      </c>
      <c r="BO75" s="50">
        <v>0.83000000000000007</v>
      </c>
      <c r="BP75" s="51">
        <v>0.95000000000000007</v>
      </c>
      <c r="BQ75" s="45">
        <v>9.74</v>
      </c>
      <c r="BR75" s="45">
        <v>7.74</v>
      </c>
      <c r="BS75" s="45">
        <v>8.74</v>
      </c>
      <c r="BT75" s="44">
        <v>11.37</v>
      </c>
      <c r="BU75" s="45">
        <v>10.969999999999999</v>
      </c>
      <c r="BV75" s="46">
        <v>11.169999999999998</v>
      </c>
      <c r="BW75" s="44">
        <v>2.8</v>
      </c>
      <c r="BX75" s="50">
        <v>2.5199999999999996</v>
      </c>
      <c r="BY75" s="51">
        <v>2.6599999999999997</v>
      </c>
      <c r="BZ75" s="44">
        <v>9.32</v>
      </c>
      <c r="CA75" s="45">
        <v>6.32</v>
      </c>
      <c r="CB75" s="46">
        <v>7.82</v>
      </c>
      <c r="CC75" s="44">
        <v>6.46</v>
      </c>
      <c r="CD75" s="45">
        <v>6.22</v>
      </c>
      <c r="CE75" s="46">
        <v>6.34</v>
      </c>
      <c r="CF75" s="45">
        <v>1.86</v>
      </c>
      <c r="CG75" s="45">
        <v>1.36</v>
      </c>
      <c r="CH75" s="45">
        <v>1.61</v>
      </c>
      <c r="CI75" s="44">
        <v>0.43</v>
      </c>
      <c r="CJ75" s="45">
        <v>0.39</v>
      </c>
      <c r="CK75" s="46">
        <v>0.41000000000000003</v>
      </c>
      <c r="CL75" s="44">
        <v>38.57</v>
      </c>
      <c r="CM75">
        <v>36.17</v>
      </c>
      <c r="CN75">
        <v>37.370000000000005</v>
      </c>
      <c r="CO75">
        <v>7.09</v>
      </c>
      <c r="CP75">
        <v>2.09</v>
      </c>
      <c r="CQ75">
        <v>4.59</v>
      </c>
    </row>
    <row r="76" spans="1:95">
      <c r="A76" s="223">
        <v>45363</v>
      </c>
      <c r="B76" s="90" t="s">
        <v>97</v>
      </c>
      <c r="C76" s="44">
        <v>147.85</v>
      </c>
      <c r="D76" s="45">
        <v>145.85</v>
      </c>
      <c r="E76" s="46">
        <v>146.85</v>
      </c>
      <c r="F76" s="44">
        <v>161.96</v>
      </c>
      <c r="G76" s="45">
        <v>158.96</v>
      </c>
      <c r="H76" s="46">
        <v>160.46</v>
      </c>
      <c r="I76" s="44">
        <v>110.52</v>
      </c>
      <c r="J76" s="45">
        <v>107.32</v>
      </c>
      <c r="K76" s="46">
        <v>108.91999999999999</v>
      </c>
      <c r="L76" s="45">
        <v>192.22</v>
      </c>
      <c r="M76" s="45">
        <v>184.22</v>
      </c>
      <c r="N76" s="45">
        <v>188.22</v>
      </c>
      <c r="O76" s="44">
        <v>168.25</v>
      </c>
      <c r="P76" s="45">
        <v>166.45</v>
      </c>
      <c r="Q76" s="46">
        <v>167.35</v>
      </c>
      <c r="R76" s="45">
        <v>21.82</v>
      </c>
      <c r="S76" s="45">
        <v>21.22</v>
      </c>
      <c r="T76" s="45">
        <v>21.52</v>
      </c>
      <c r="U76" s="44">
        <v>14.34</v>
      </c>
      <c r="V76" s="45">
        <v>13.74</v>
      </c>
      <c r="W76" s="46">
        <v>14.04</v>
      </c>
      <c r="X76" s="44">
        <v>14.74</v>
      </c>
      <c r="Y76" s="45">
        <v>13.94</v>
      </c>
      <c r="Z76" s="46">
        <v>14.34</v>
      </c>
      <c r="AA76" s="44">
        <v>99.19</v>
      </c>
      <c r="AB76" s="45">
        <v>95.19</v>
      </c>
      <c r="AC76" s="46">
        <v>97.19</v>
      </c>
      <c r="AD76" s="44">
        <v>92.58</v>
      </c>
      <c r="AE76" s="45">
        <v>88.58</v>
      </c>
      <c r="AF76" s="46">
        <v>90.58</v>
      </c>
      <c r="AG76" s="45">
        <v>19.21</v>
      </c>
      <c r="AH76" s="45">
        <v>18.350000000000001</v>
      </c>
      <c r="AI76" s="45">
        <v>18.78</v>
      </c>
      <c r="AJ76" s="47"/>
      <c r="AK76" s="48"/>
      <c r="AL76" s="49"/>
      <c r="AM76" s="45">
        <v>111.24</v>
      </c>
      <c r="AN76" s="45">
        <v>109.58</v>
      </c>
      <c r="AO76" s="45">
        <v>110.41</v>
      </c>
      <c r="AP76" s="44">
        <v>40.01</v>
      </c>
      <c r="AQ76" s="45">
        <v>38.409999999999997</v>
      </c>
      <c r="AR76" s="46">
        <v>39.209999999999994</v>
      </c>
      <c r="AS76" s="45">
        <v>40.729999999999997</v>
      </c>
      <c r="AT76" s="45">
        <v>39.369999999999997</v>
      </c>
      <c r="AU76" s="45">
        <v>40.049999999999997</v>
      </c>
      <c r="AV76" s="44">
        <v>20.75</v>
      </c>
      <c r="AW76" s="45">
        <v>20.149999999999999</v>
      </c>
      <c r="AX76" s="46">
        <v>20.45</v>
      </c>
      <c r="AY76" s="44">
        <v>4.22</v>
      </c>
      <c r="AZ76" s="45">
        <v>4.0599999999999996</v>
      </c>
      <c r="BA76" s="46">
        <v>4.1399999999999997</v>
      </c>
      <c r="BB76" s="44">
        <v>1.93</v>
      </c>
      <c r="BC76" s="50">
        <v>1.63</v>
      </c>
      <c r="BD76" s="51">
        <v>1.7799999999999998</v>
      </c>
      <c r="BE76" s="45">
        <v>0.68</v>
      </c>
      <c r="BF76" s="50">
        <v>0.38000000000000006</v>
      </c>
      <c r="BG76" s="50">
        <v>0.53</v>
      </c>
      <c r="BH76" s="44">
        <v>486.96</v>
      </c>
      <c r="BI76" s="45">
        <v>470.96</v>
      </c>
      <c r="BJ76" s="46">
        <v>478.96</v>
      </c>
      <c r="BK76" s="45">
        <v>41.01</v>
      </c>
      <c r="BL76" s="45">
        <v>39.65</v>
      </c>
      <c r="BM76" s="45">
        <v>40.33</v>
      </c>
      <c r="BN76" s="52">
        <v>1.07</v>
      </c>
      <c r="BO76" s="50">
        <v>0.83000000000000007</v>
      </c>
      <c r="BP76" s="51">
        <v>0.95000000000000007</v>
      </c>
      <c r="BQ76" s="45">
        <v>9.74</v>
      </c>
      <c r="BR76" s="45">
        <v>7.74</v>
      </c>
      <c r="BS76" s="45">
        <v>8.74</v>
      </c>
      <c r="BT76" s="44">
        <v>11.41</v>
      </c>
      <c r="BU76" s="45">
        <v>11.01</v>
      </c>
      <c r="BV76" s="46">
        <v>11.21</v>
      </c>
      <c r="BW76" s="44">
        <v>2.81</v>
      </c>
      <c r="BX76" s="50">
        <v>2.5300000000000002</v>
      </c>
      <c r="BY76" s="51">
        <v>2.67</v>
      </c>
      <c r="BZ76" s="44">
        <v>9.36</v>
      </c>
      <c r="CA76" s="45">
        <v>6.3599999999999994</v>
      </c>
      <c r="CB76" s="46">
        <v>7.8599999999999994</v>
      </c>
      <c r="CC76" s="44">
        <v>6.45</v>
      </c>
      <c r="CD76" s="45">
        <v>6.21</v>
      </c>
      <c r="CE76" s="46">
        <v>6.33</v>
      </c>
      <c r="CF76" s="44">
        <v>1.87</v>
      </c>
      <c r="CG76" s="45">
        <v>1.37</v>
      </c>
      <c r="CH76" s="46">
        <v>1.62</v>
      </c>
      <c r="CI76" s="44">
        <v>0.43</v>
      </c>
      <c r="CJ76" s="45">
        <v>0.39</v>
      </c>
      <c r="CK76" s="46">
        <v>0.41000000000000003</v>
      </c>
      <c r="CL76" s="44">
        <v>38.69</v>
      </c>
      <c r="CM76">
        <v>36.29</v>
      </c>
      <c r="CN76">
        <v>37.489999999999995</v>
      </c>
      <c r="CO76">
        <v>7.09</v>
      </c>
      <c r="CP76">
        <v>2.09</v>
      </c>
      <c r="CQ76">
        <v>4.59</v>
      </c>
    </row>
    <row r="77" spans="1:95">
      <c r="A77" s="223">
        <v>45364</v>
      </c>
      <c r="B77" s="90" t="s">
        <v>98</v>
      </c>
      <c r="C77" s="44">
        <v>148.53</v>
      </c>
      <c r="D77" s="45">
        <v>146.53</v>
      </c>
      <c r="E77" s="46">
        <v>147.53</v>
      </c>
      <c r="F77" s="44">
        <v>162.68</v>
      </c>
      <c r="G77" s="45">
        <v>159.68</v>
      </c>
      <c r="H77" s="46">
        <v>161.18</v>
      </c>
      <c r="I77" s="44">
        <v>110.92</v>
      </c>
      <c r="J77" s="45">
        <v>107.72</v>
      </c>
      <c r="K77" s="46">
        <v>109.32</v>
      </c>
      <c r="L77" s="45">
        <v>192.76</v>
      </c>
      <c r="M77" s="45">
        <v>184.76</v>
      </c>
      <c r="N77" s="45">
        <v>188.76</v>
      </c>
      <c r="O77" s="44">
        <v>169.01</v>
      </c>
      <c r="P77" s="45">
        <v>167.20999999999998</v>
      </c>
      <c r="Q77" s="46">
        <v>168.10999999999999</v>
      </c>
      <c r="R77" s="45">
        <v>21.91</v>
      </c>
      <c r="S77" s="45">
        <v>21.31</v>
      </c>
      <c r="T77" s="45">
        <v>21.61</v>
      </c>
      <c r="U77" s="44">
        <v>14.32</v>
      </c>
      <c r="V77" s="45">
        <v>13.72</v>
      </c>
      <c r="W77" s="46">
        <v>14.02</v>
      </c>
      <c r="X77" s="44">
        <v>14.81</v>
      </c>
      <c r="Y77" s="45">
        <v>14.01</v>
      </c>
      <c r="Z77" s="46">
        <v>14.41</v>
      </c>
      <c r="AA77" s="44">
        <v>99.41</v>
      </c>
      <c r="AB77" s="45">
        <v>95.41</v>
      </c>
      <c r="AC77" s="46">
        <v>97.41</v>
      </c>
      <c r="AD77" s="44">
        <v>92.7</v>
      </c>
      <c r="AE77" s="45">
        <v>88.7</v>
      </c>
      <c r="AF77" s="46">
        <v>90.7</v>
      </c>
      <c r="AG77" s="45">
        <v>19.29</v>
      </c>
      <c r="AH77" s="45">
        <v>18.43</v>
      </c>
      <c r="AI77" s="45">
        <v>18.86</v>
      </c>
      <c r="AJ77" s="47"/>
      <c r="AK77" s="48"/>
      <c r="AL77" s="49"/>
      <c r="AM77" s="45">
        <v>111.59</v>
      </c>
      <c r="AN77" s="45">
        <v>109.93</v>
      </c>
      <c r="AO77" s="45">
        <v>110.76</v>
      </c>
      <c r="AP77" s="44">
        <v>40.200000000000003</v>
      </c>
      <c r="AQ77" s="45">
        <v>38.6</v>
      </c>
      <c r="AR77" s="46">
        <v>39.400000000000006</v>
      </c>
      <c r="AS77" s="45">
        <v>40.909999999999997</v>
      </c>
      <c r="AT77" s="45">
        <v>39.549999999999997</v>
      </c>
      <c r="AU77" s="45">
        <v>40.229999999999997</v>
      </c>
      <c r="AV77" s="44">
        <v>20.83</v>
      </c>
      <c r="AW77" s="45">
        <v>20.229999999999997</v>
      </c>
      <c r="AX77" s="46">
        <v>20.529999999999998</v>
      </c>
      <c r="AY77" s="44">
        <v>4.21</v>
      </c>
      <c r="AZ77" s="45">
        <v>4.05</v>
      </c>
      <c r="BA77" s="46">
        <v>4.13</v>
      </c>
      <c r="BB77" s="44">
        <v>1.94</v>
      </c>
      <c r="BC77" s="50">
        <v>1.64</v>
      </c>
      <c r="BD77" s="51">
        <v>1.79</v>
      </c>
      <c r="BE77" s="45">
        <v>0.68</v>
      </c>
      <c r="BF77" s="50">
        <v>0.38000000000000006</v>
      </c>
      <c r="BG77" s="50">
        <v>0.53</v>
      </c>
      <c r="BH77" s="44">
        <v>489.18</v>
      </c>
      <c r="BI77" s="45">
        <v>473.18</v>
      </c>
      <c r="BJ77" s="46">
        <v>481.18</v>
      </c>
      <c r="BK77" s="45">
        <v>41.21</v>
      </c>
      <c r="BL77" s="45">
        <v>39.85</v>
      </c>
      <c r="BM77" s="45">
        <v>40.53</v>
      </c>
      <c r="BN77" s="52">
        <v>1.07</v>
      </c>
      <c r="BO77" s="50">
        <v>0.83000000000000007</v>
      </c>
      <c r="BP77" s="51">
        <v>0.95000000000000007</v>
      </c>
      <c r="BQ77" s="45">
        <v>9.7799999999999994</v>
      </c>
      <c r="BR77" s="45">
        <v>7.7799999999999994</v>
      </c>
      <c r="BS77" s="45">
        <v>8.7799999999999994</v>
      </c>
      <c r="BT77" s="44">
        <v>11.46</v>
      </c>
      <c r="BU77" s="45">
        <v>11.06</v>
      </c>
      <c r="BV77" s="46">
        <v>11.260000000000002</v>
      </c>
      <c r="BW77" s="44">
        <v>2.83</v>
      </c>
      <c r="BX77" s="50">
        <v>2.5499999999999998</v>
      </c>
      <c r="BY77" s="51">
        <v>2.69</v>
      </c>
      <c r="BZ77" s="44">
        <v>9.4</v>
      </c>
      <c r="CA77" s="45">
        <v>6.4</v>
      </c>
      <c r="CB77" s="46">
        <v>7.9</v>
      </c>
      <c r="CC77" s="44">
        <v>6.5</v>
      </c>
      <c r="CD77" s="45">
        <v>6.26</v>
      </c>
      <c r="CE77" s="46">
        <v>6.38</v>
      </c>
      <c r="CF77" s="44">
        <v>1.97</v>
      </c>
      <c r="CG77" s="45">
        <v>1.47</v>
      </c>
      <c r="CH77" s="46">
        <v>1.72</v>
      </c>
      <c r="CI77" s="44">
        <v>0.42</v>
      </c>
      <c r="CJ77" s="45">
        <v>0.38</v>
      </c>
      <c r="CK77" s="46">
        <v>0.4</v>
      </c>
      <c r="CL77" s="44">
        <v>38.79</v>
      </c>
      <c r="CM77">
        <v>36.39</v>
      </c>
      <c r="CN77">
        <v>37.590000000000003</v>
      </c>
      <c r="CO77">
        <v>7.1</v>
      </c>
      <c r="CP77">
        <v>2.0999999999999996</v>
      </c>
      <c r="CQ77">
        <v>4.5999999999999996</v>
      </c>
    </row>
    <row r="78" spans="1:95">
      <c r="A78" s="223">
        <v>45365</v>
      </c>
      <c r="B78" s="90" t="s">
        <v>99</v>
      </c>
      <c r="C78" s="44">
        <v>148.68</v>
      </c>
      <c r="D78" s="45">
        <v>146.68</v>
      </c>
      <c r="E78" s="46">
        <v>147.68</v>
      </c>
      <c r="F78" s="44">
        <v>163.18</v>
      </c>
      <c r="G78" s="45">
        <v>160.18</v>
      </c>
      <c r="H78" s="46">
        <v>161.68</v>
      </c>
      <c r="I78" s="44">
        <v>111.27</v>
      </c>
      <c r="J78" s="45">
        <v>108.07</v>
      </c>
      <c r="K78" s="46">
        <v>109.66999999999999</v>
      </c>
      <c r="L78" s="45">
        <v>193.03</v>
      </c>
      <c r="M78" s="45">
        <v>185.03</v>
      </c>
      <c r="N78" s="45">
        <v>189.03</v>
      </c>
      <c r="O78" s="44">
        <v>168.95</v>
      </c>
      <c r="P78" s="45">
        <v>167.14999999999998</v>
      </c>
      <c r="Q78" s="46">
        <v>168.04999999999998</v>
      </c>
      <c r="R78" s="45">
        <v>21.98</v>
      </c>
      <c r="S78" s="45">
        <v>21.38</v>
      </c>
      <c r="T78" s="45">
        <v>21.68</v>
      </c>
      <c r="U78" s="44">
        <v>14.4</v>
      </c>
      <c r="V78" s="45">
        <v>13.8</v>
      </c>
      <c r="W78" s="46">
        <v>14.100000000000001</v>
      </c>
      <c r="X78" s="44">
        <v>14.84</v>
      </c>
      <c r="Y78" s="45">
        <v>14.04</v>
      </c>
      <c r="Z78" s="46">
        <v>14.44</v>
      </c>
      <c r="AA78" s="44">
        <v>99.85</v>
      </c>
      <c r="AB78" s="45">
        <v>95.85</v>
      </c>
      <c r="AC78" s="46">
        <v>97.85</v>
      </c>
      <c r="AD78" s="44">
        <v>93.06</v>
      </c>
      <c r="AE78" s="45">
        <v>89.06</v>
      </c>
      <c r="AF78" s="46">
        <v>91.06</v>
      </c>
      <c r="AG78" s="45">
        <v>19.309999999999999</v>
      </c>
      <c r="AH78" s="45">
        <v>18.45</v>
      </c>
      <c r="AI78" s="45">
        <v>18.88</v>
      </c>
      <c r="AJ78" s="47"/>
      <c r="AK78" s="48"/>
      <c r="AL78" s="49"/>
      <c r="AM78" s="45">
        <v>111.69</v>
      </c>
      <c r="AN78" s="45">
        <v>110.03</v>
      </c>
      <c r="AO78" s="45">
        <v>110.86</v>
      </c>
      <c r="AP78" s="44">
        <v>40.24</v>
      </c>
      <c r="AQ78" s="45">
        <v>38.64</v>
      </c>
      <c r="AR78" s="46">
        <v>39.44</v>
      </c>
      <c r="AS78" s="45">
        <v>40.950000000000003</v>
      </c>
      <c r="AT78" s="45">
        <v>39.590000000000003</v>
      </c>
      <c r="AU78" s="45">
        <v>40.270000000000003</v>
      </c>
      <c r="AV78" s="44">
        <v>20.83</v>
      </c>
      <c r="AW78" s="45">
        <v>20.229999999999997</v>
      </c>
      <c r="AX78" s="46">
        <v>20.529999999999998</v>
      </c>
      <c r="AY78" s="44">
        <v>4.22</v>
      </c>
      <c r="AZ78" s="45">
        <v>4.0599999999999996</v>
      </c>
      <c r="BA78" s="46">
        <v>4.1399999999999997</v>
      </c>
      <c r="BB78" s="44">
        <v>1.94</v>
      </c>
      <c r="BC78" s="50">
        <v>1.64</v>
      </c>
      <c r="BD78" s="51">
        <v>1.79</v>
      </c>
      <c r="BE78" s="45">
        <v>0.68</v>
      </c>
      <c r="BF78" s="50">
        <v>0.38000000000000006</v>
      </c>
      <c r="BG78" s="50">
        <v>0.53</v>
      </c>
      <c r="BH78" s="44">
        <v>489.83</v>
      </c>
      <c r="BI78" s="45">
        <v>473.83</v>
      </c>
      <c r="BJ78" s="46">
        <v>481.83</v>
      </c>
      <c r="BK78" s="45">
        <v>41.25</v>
      </c>
      <c r="BL78" s="45">
        <v>39.89</v>
      </c>
      <c r="BM78" s="45">
        <v>40.57</v>
      </c>
      <c r="BN78" s="52">
        <v>1.07</v>
      </c>
      <c r="BO78" s="50">
        <v>0.83000000000000007</v>
      </c>
      <c r="BP78" s="51">
        <v>0.95000000000000007</v>
      </c>
      <c r="BQ78" s="45">
        <v>9.86</v>
      </c>
      <c r="BR78" s="45">
        <v>7.8599999999999994</v>
      </c>
      <c r="BS78" s="45">
        <v>8.86</v>
      </c>
      <c r="BT78" s="44">
        <v>11.43</v>
      </c>
      <c r="BU78" s="45">
        <v>11.03</v>
      </c>
      <c r="BV78" s="46">
        <v>11.23</v>
      </c>
      <c r="BW78" s="44">
        <v>2.83</v>
      </c>
      <c r="BX78" s="50">
        <v>2.5499999999999998</v>
      </c>
      <c r="BY78" s="51">
        <v>2.69</v>
      </c>
      <c r="BZ78" s="44">
        <v>9.4499999999999993</v>
      </c>
      <c r="CA78" s="45">
        <v>6.4499999999999993</v>
      </c>
      <c r="CB78" s="46">
        <v>7.9499999999999993</v>
      </c>
      <c r="CC78" s="44">
        <v>6.53</v>
      </c>
      <c r="CD78" s="45">
        <v>6.29</v>
      </c>
      <c r="CE78" s="46">
        <v>6.41</v>
      </c>
      <c r="CF78" s="44">
        <v>1.87</v>
      </c>
      <c r="CG78" s="45">
        <v>1.37</v>
      </c>
      <c r="CH78" s="46">
        <v>1.62</v>
      </c>
      <c r="CI78" s="44">
        <v>0.43</v>
      </c>
      <c r="CJ78" s="45">
        <v>0.39</v>
      </c>
      <c r="CK78" s="46">
        <v>0.41000000000000003</v>
      </c>
      <c r="CL78" s="44">
        <v>38.97</v>
      </c>
      <c r="CM78">
        <v>36.57</v>
      </c>
      <c r="CN78">
        <v>37.769999999999996</v>
      </c>
      <c r="CO78">
        <v>7.1</v>
      </c>
      <c r="CP78">
        <v>2.0999999999999996</v>
      </c>
      <c r="CQ78">
        <v>4.5999999999999996</v>
      </c>
    </row>
    <row r="79" spans="1:95">
      <c r="A79" s="223">
        <v>45366</v>
      </c>
      <c r="B79" s="90" t="s">
        <v>100</v>
      </c>
      <c r="C79" s="44">
        <v>149.59</v>
      </c>
      <c r="D79" s="45">
        <v>147.59</v>
      </c>
      <c r="E79" s="46">
        <v>148.59</v>
      </c>
      <c r="F79" s="44">
        <v>163.18</v>
      </c>
      <c r="G79" s="45">
        <v>160.18</v>
      </c>
      <c r="H79" s="46">
        <v>161.68</v>
      </c>
      <c r="I79" s="44">
        <v>111.38</v>
      </c>
      <c r="J79" s="45">
        <v>108.17999999999999</v>
      </c>
      <c r="K79" s="46">
        <v>109.78</v>
      </c>
      <c r="L79" s="45">
        <v>193.3</v>
      </c>
      <c r="M79" s="45">
        <v>185.3</v>
      </c>
      <c r="N79" s="45">
        <v>189.3</v>
      </c>
      <c r="O79" s="44">
        <v>168.86</v>
      </c>
      <c r="P79" s="45">
        <v>167.06</v>
      </c>
      <c r="Q79" s="46">
        <v>167.96</v>
      </c>
      <c r="R79" s="45">
        <v>21.98</v>
      </c>
      <c r="S79" s="45">
        <v>21.38</v>
      </c>
      <c r="T79" s="45">
        <v>21.68</v>
      </c>
      <c r="U79" s="44">
        <v>14.33</v>
      </c>
      <c r="V79" s="45">
        <v>13.73</v>
      </c>
      <c r="W79" s="46">
        <v>14.030000000000001</v>
      </c>
      <c r="X79" s="44">
        <v>14.75</v>
      </c>
      <c r="Y79" s="45">
        <v>13.95</v>
      </c>
      <c r="Z79" s="46">
        <v>14.35</v>
      </c>
      <c r="AA79" s="44">
        <v>99.62</v>
      </c>
      <c r="AB79" s="45">
        <v>95.62</v>
      </c>
      <c r="AC79" s="46">
        <v>97.62</v>
      </c>
      <c r="AD79" s="44">
        <v>92.82</v>
      </c>
      <c r="AE79" s="45">
        <v>88.82</v>
      </c>
      <c r="AF79" s="46">
        <v>90.82</v>
      </c>
      <c r="AG79" s="45">
        <v>19.420000000000002</v>
      </c>
      <c r="AH79" s="45">
        <v>18.560000000000002</v>
      </c>
      <c r="AI79" s="45">
        <v>18.990000000000002</v>
      </c>
      <c r="AJ79" s="47"/>
      <c r="AK79" s="48"/>
      <c r="AL79" s="49"/>
      <c r="AM79" s="45">
        <v>112.01</v>
      </c>
      <c r="AN79" s="45">
        <v>110.35000000000001</v>
      </c>
      <c r="AO79" s="45">
        <v>111.18</v>
      </c>
      <c r="AP79" s="44">
        <v>40.49</v>
      </c>
      <c r="AQ79" s="45">
        <v>38.89</v>
      </c>
      <c r="AR79" s="46">
        <v>39.69</v>
      </c>
      <c r="AS79" s="45">
        <v>41.21</v>
      </c>
      <c r="AT79" s="45">
        <v>39.85</v>
      </c>
      <c r="AU79" s="45">
        <v>40.53</v>
      </c>
      <c r="AV79" s="44">
        <v>20.93</v>
      </c>
      <c r="AW79" s="45">
        <v>20.329999999999998</v>
      </c>
      <c r="AX79" s="46">
        <v>20.63</v>
      </c>
      <c r="AY79" s="44">
        <v>4.24</v>
      </c>
      <c r="AZ79" s="45">
        <v>4.08</v>
      </c>
      <c r="BA79" s="46">
        <v>4.16</v>
      </c>
      <c r="BB79" s="44">
        <v>1.95</v>
      </c>
      <c r="BC79" s="50">
        <v>1.65</v>
      </c>
      <c r="BD79" s="51">
        <v>1.7999999999999998</v>
      </c>
      <c r="BE79" s="45">
        <v>0.68</v>
      </c>
      <c r="BF79" s="50">
        <v>0.38000000000000006</v>
      </c>
      <c r="BG79" s="50">
        <v>0.53</v>
      </c>
      <c r="BH79" s="44">
        <v>492.32</v>
      </c>
      <c r="BI79" s="45">
        <v>476.32</v>
      </c>
      <c r="BJ79" s="46">
        <v>484.32</v>
      </c>
      <c r="BK79" s="45">
        <v>41.5</v>
      </c>
      <c r="BL79" s="45">
        <v>40.14</v>
      </c>
      <c r="BM79" s="45">
        <v>40.82</v>
      </c>
      <c r="BN79" s="52">
        <v>1.08</v>
      </c>
      <c r="BO79" s="50">
        <v>0.84000000000000008</v>
      </c>
      <c r="BP79" s="51">
        <v>0.96000000000000008</v>
      </c>
      <c r="BQ79" s="45">
        <v>9.9</v>
      </c>
      <c r="BR79" s="45">
        <v>7.9</v>
      </c>
      <c r="BS79" s="45">
        <v>8.9</v>
      </c>
      <c r="BT79" s="44">
        <v>11.42</v>
      </c>
      <c r="BU79" s="45">
        <v>11.02</v>
      </c>
      <c r="BV79" s="46">
        <v>11.219999999999999</v>
      </c>
      <c r="BW79" s="44">
        <v>2.84</v>
      </c>
      <c r="BX79" s="50">
        <v>2.5599999999999996</v>
      </c>
      <c r="BY79" s="51">
        <v>2.6999999999999997</v>
      </c>
      <c r="BZ79" s="44">
        <v>9.42</v>
      </c>
      <c r="CA79" s="45">
        <v>6.42</v>
      </c>
      <c r="CB79" s="46">
        <v>7.92</v>
      </c>
      <c r="CC79" s="44">
        <v>6.55</v>
      </c>
      <c r="CD79" s="45">
        <v>6.31</v>
      </c>
      <c r="CE79" s="46">
        <v>6.43</v>
      </c>
      <c r="CF79" s="44">
        <v>1.88</v>
      </c>
      <c r="CG79" s="45">
        <v>1.38</v>
      </c>
      <c r="CH79" s="46">
        <v>1.63</v>
      </c>
      <c r="CI79" s="44">
        <v>0.43</v>
      </c>
      <c r="CJ79" s="45">
        <v>0.39</v>
      </c>
      <c r="CK79" s="46">
        <v>0.41000000000000003</v>
      </c>
      <c r="CL79" s="44">
        <v>38.82</v>
      </c>
      <c r="CM79">
        <v>36.42</v>
      </c>
      <c r="CN79">
        <v>37.620000000000005</v>
      </c>
      <c r="CO79">
        <v>7.14</v>
      </c>
      <c r="CP79">
        <v>2.1399999999999997</v>
      </c>
      <c r="CQ79">
        <v>4.6399999999999997</v>
      </c>
    </row>
    <row r="80" spans="1:95">
      <c r="A80" s="223">
        <v>45367</v>
      </c>
      <c r="B80" s="90" t="s">
        <v>307</v>
      </c>
      <c r="C80" s="45"/>
      <c r="D80" s="45"/>
      <c r="E80" s="45"/>
      <c r="F80" s="44"/>
      <c r="G80" s="45"/>
      <c r="H80" s="46"/>
      <c r="I80" s="45"/>
      <c r="J80" s="45"/>
      <c r="K80" s="45"/>
      <c r="L80" s="44"/>
      <c r="M80" s="45"/>
      <c r="N80" s="46"/>
      <c r="O80" s="45"/>
      <c r="P80" s="45"/>
      <c r="Q80" s="45"/>
      <c r="R80" s="44"/>
      <c r="S80" s="45"/>
      <c r="T80" s="46"/>
      <c r="U80" s="44"/>
      <c r="V80" s="45"/>
      <c r="W80" s="46"/>
      <c r="X80" s="44"/>
      <c r="Y80" s="45"/>
      <c r="Z80" s="46"/>
      <c r="AA80" s="44"/>
      <c r="AB80" s="45"/>
      <c r="AC80" s="46"/>
      <c r="AD80" s="45"/>
      <c r="AE80" s="45"/>
      <c r="AF80" s="45"/>
      <c r="AG80" s="44"/>
      <c r="AH80" s="45"/>
      <c r="AI80" s="46"/>
      <c r="AJ80" s="47"/>
      <c r="AK80" s="48"/>
      <c r="AL80" s="49"/>
      <c r="AM80" s="44"/>
      <c r="AN80" s="45"/>
      <c r="AO80" s="46"/>
      <c r="AP80" s="44"/>
      <c r="AQ80" s="45"/>
      <c r="AR80" s="46"/>
      <c r="AS80" s="45"/>
      <c r="AT80" s="45"/>
      <c r="AU80" s="45"/>
      <c r="AV80" s="44"/>
      <c r="AW80" s="45"/>
      <c r="AX80" s="46"/>
      <c r="AY80" s="44"/>
      <c r="AZ80" s="45"/>
      <c r="BA80" s="46"/>
      <c r="BB80" s="44"/>
      <c r="BC80" s="50"/>
      <c r="BD80" s="51"/>
      <c r="BE80" s="44"/>
      <c r="BF80" s="50"/>
      <c r="BG80" s="51"/>
      <c r="BH80" s="44"/>
      <c r="BI80" s="45"/>
      <c r="BJ80" s="46"/>
      <c r="BK80" s="45"/>
      <c r="BL80" s="45"/>
      <c r="BM80" s="45"/>
      <c r="BN80" s="52"/>
      <c r="BO80" s="50"/>
      <c r="BP80" s="51"/>
      <c r="BQ80" s="45"/>
      <c r="BR80" s="45"/>
      <c r="BS80" s="45"/>
      <c r="BT80" s="44"/>
      <c r="BU80" s="45"/>
      <c r="BV80" s="46"/>
      <c r="BW80" s="44"/>
      <c r="BX80" s="50"/>
      <c r="BY80" s="51"/>
      <c r="BZ80" s="44"/>
      <c r="CA80" s="45"/>
      <c r="CB80" s="46"/>
      <c r="CC80" s="44"/>
      <c r="CD80" s="45"/>
      <c r="CE80" s="46"/>
      <c r="CF80" s="45"/>
      <c r="CG80" s="45"/>
      <c r="CH80" s="45"/>
      <c r="CI80" s="44"/>
      <c r="CJ80" s="45"/>
      <c r="CK80" s="46"/>
      <c r="CL80" s="44"/>
    </row>
    <row r="81" spans="1:95">
      <c r="A81" s="223">
        <v>45368</v>
      </c>
      <c r="B81" s="90" t="s">
        <v>308</v>
      </c>
      <c r="C81" s="44"/>
      <c r="D81" s="45"/>
      <c r="E81" s="46"/>
      <c r="F81" s="44"/>
      <c r="G81" s="45"/>
      <c r="H81" s="46"/>
      <c r="I81" s="44"/>
      <c r="J81" s="45"/>
      <c r="K81" s="46"/>
      <c r="L81" s="45"/>
      <c r="M81" s="45"/>
      <c r="N81" s="45"/>
      <c r="O81" s="44"/>
      <c r="P81" s="45"/>
      <c r="Q81" s="46"/>
      <c r="R81" s="45"/>
      <c r="S81" s="45"/>
      <c r="T81" s="45"/>
      <c r="U81" s="44"/>
      <c r="V81" s="45"/>
      <c r="W81" s="46"/>
      <c r="X81" s="44"/>
      <c r="Y81" s="45"/>
      <c r="Z81" s="46"/>
      <c r="AA81" s="44"/>
      <c r="AB81" s="45"/>
      <c r="AC81" s="46"/>
      <c r="AD81" s="44"/>
      <c r="AE81" s="45"/>
      <c r="AF81" s="46"/>
      <c r="AG81" s="45"/>
      <c r="AH81" s="45"/>
      <c r="AI81" s="45"/>
      <c r="AJ81" s="47"/>
      <c r="AK81" s="48"/>
      <c r="AL81" s="49"/>
      <c r="AM81" s="45"/>
      <c r="AN81" s="45"/>
      <c r="AO81" s="45"/>
      <c r="AP81" s="44"/>
      <c r="AQ81" s="45"/>
      <c r="AR81" s="46"/>
      <c r="AS81" s="45"/>
      <c r="AT81" s="45"/>
      <c r="AU81" s="45"/>
      <c r="AV81" s="44"/>
      <c r="AW81" s="45"/>
      <c r="AX81" s="46"/>
      <c r="AY81" s="44"/>
      <c r="AZ81" s="45"/>
      <c r="BA81" s="46"/>
      <c r="BB81" s="44"/>
      <c r="BC81" s="50"/>
      <c r="BD81" s="51"/>
      <c r="BE81" s="45"/>
      <c r="BF81" s="50"/>
      <c r="BG81" s="50"/>
      <c r="BH81" s="44"/>
      <c r="BI81" s="45"/>
      <c r="BJ81" s="46"/>
      <c r="BK81" s="45"/>
      <c r="BL81" s="45"/>
      <c r="BM81" s="45"/>
      <c r="BN81" s="52"/>
      <c r="BO81" s="50"/>
      <c r="BP81" s="51"/>
      <c r="BQ81" s="45"/>
      <c r="BR81" s="45"/>
      <c r="BS81" s="45"/>
      <c r="BT81" s="44"/>
      <c r="BU81" s="45"/>
      <c r="BV81" s="46"/>
      <c r="BW81" s="44"/>
      <c r="BX81" s="50"/>
      <c r="BY81" s="51"/>
      <c r="BZ81" s="44"/>
      <c r="CA81" s="45"/>
      <c r="CB81" s="46"/>
      <c r="CC81" s="44"/>
      <c r="CD81" s="45"/>
      <c r="CE81" s="46"/>
      <c r="CF81" s="44"/>
      <c r="CG81" s="45"/>
      <c r="CH81" s="46"/>
      <c r="CI81" s="44"/>
      <c r="CJ81" s="45"/>
      <c r="CK81" s="46"/>
      <c r="CL81" s="44"/>
    </row>
    <row r="82" spans="1:95">
      <c r="A82" s="223">
        <v>45369</v>
      </c>
      <c r="B82" s="90" t="s">
        <v>96</v>
      </c>
      <c r="C82" s="44">
        <v>150.32</v>
      </c>
      <c r="D82" s="45">
        <v>148.32</v>
      </c>
      <c r="E82" s="46">
        <v>149.32</v>
      </c>
      <c r="F82" s="44">
        <v>164.08</v>
      </c>
      <c r="G82" s="45">
        <v>161.08000000000001</v>
      </c>
      <c r="H82" s="46">
        <v>162.58000000000001</v>
      </c>
      <c r="I82" s="44">
        <v>111.85</v>
      </c>
      <c r="J82" s="45">
        <v>108.64999999999999</v>
      </c>
      <c r="K82" s="46">
        <v>110.25</v>
      </c>
      <c r="L82" s="45">
        <v>194.13</v>
      </c>
      <c r="M82" s="45">
        <v>186.13</v>
      </c>
      <c r="N82" s="45">
        <v>190.13</v>
      </c>
      <c r="O82" s="44">
        <v>169.89</v>
      </c>
      <c r="P82" s="45">
        <v>168.08999999999997</v>
      </c>
      <c r="Q82" s="46">
        <v>168.98999999999998</v>
      </c>
      <c r="R82" s="45">
        <v>22.1</v>
      </c>
      <c r="S82" s="45">
        <v>21.5</v>
      </c>
      <c r="T82" s="45">
        <v>21.8</v>
      </c>
      <c r="U82" s="44">
        <v>14.38</v>
      </c>
      <c r="V82" s="45">
        <v>13.780000000000001</v>
      </c>
      <c r="W82" s="46">
        <v>14.080000000000002</v>
      </c>
      <c r="X82" s="44">
        <v>14.8</v>
      </c>
      <c r="Y82" s="45">
        <v>14</v>
      </c>
      <c r="Z82" s="46">
        <v>14.4</v>
      </c>
      <c r="AA82" s="44">
        <v>99.95</v>
      </c>
      <c r="AB82" s="45">
        <v>95.95</v>
      </c>
      <c r="AC82" s="46">
        <v>97.95</v>
      </c>
      <c r="AD82" s="44">
        <v>92.89</v>
      </c>
      <c r="AE82" s="45">
        <v>88.89</v>
      </c>
      <c r="AF82" s="46">
        <v>90.89</v>
      </c>
      <c r="AG82" s="45">
        <v>19.52</v>
      </c>
      <c r="AH82" s="45">
        <v>18.66</v>
      </c>
      <c r="AI82" s="45">
        <v>19.09</v>
      </c>
      <c r="AJ82" s="47"/>
      <c r="AK82" s="48"/>
      <c r="AL82" s="49"/>
      <c r="AM82" s="45">
        <v>112.38</v>
      </c>
      <c r="AN82" s="45">
        <v>110.72</v>
      </c>
      <c r="AO82" s="45">
        <v>111.55</v>
      </c>
      <c r="AP82" s="44">
        <v>40.68</v>
      </c>
      <c r="AQ82" s="45">
        <v>39.08</v>
      </c>
      <c r="AR82" s="46">
        <v>39.879999999999995</v>
      </c>
      <c r="AS82" s="45">
        <v>41.41</v>
      </c>
      <c r="AT82" s="45">
        <v>40.049999999999997</v>
      </c>
      <c r="AU82" s="45">
        <v>40.729999999999997</v>
      </c>
      <c r="AV82" s="44">
        <v>21.02</v>
      </c>
      <c r="AW82" s="45">
        <v>20.419999999999998</v>
      </c>
      <c r="AX82" s="46">
        <v>20.72</v>
      </c>
      <c r="AY82" s="44">
        <v>4.24</v>
      </c>
      <c r="AZ82" s="45">
        <v>4.08</v>
      </c>
      <c r="BA82" s="46">
        <v>4.16</v>
      </c>
      <c r="BB82" s="44">
        <v>1.96</v>
      </c>
      <c r="BC82" s="50">
        <v>1.66</v>
      </c>
      <c r="BD82" s="51">
        <v>1.81</v>
      </c>
      <c r="BE82" s="45">
        <v>0.69</v>
      </c>
      <c r="BF82" s="50">
        <v>0.38999999999999996</v>
      </c>
      <c r="BG82" s="50">
        <v>0.53999999999999992</v>
      </c>
      <c r="BH82" s="44">
        <v>494.7</v>
      </c>
      <c r="BI82" s="45">
        <v>478.7</v>
      </c>
      <c r="BJ82" s="46">
        <v>486.7</v>
      </c>
      <c r="BK82" s="45">
        <v>41.68</v>
      </c>
      <c r="BL82" s="45">
        <v>40.32</v>
      </c>
      <c r="BM82" s="45">
        <v>41</v>
      </c>
      <c r="BN82" s="52">
        <v>1.08</v>
      </c>
      <c r="BO82" s="50">
        <v>0.84000000000000008</v>
      </c>
      <c r="BP82" s="51">
        <v>0.96000000000000008</v>
      </c>
      <c r="BQ82" s="45">
        <v>9.93</v>
      </c>
      <c r="BR82" s="45">
        <v>7.93</v>
      </c>
      <c r="BS82" s="45">
        <v>8.93</v>
      </c>
      <c r="BT82" s="44">
        <v>11.43</v>
      </c>
      <c r="BU82" s="45">
        <v>11.03</v>
      </c>
      <c r="BV82" s="46">
        <v>11.23</v>
      </c>
      <c r="BW82" s="44">
        <v>2.85</v>
      </c>
      <c r="BX82" s="50">
        <v>2.5700000000000003</v>
      </c>
      <c r="BY82" s="51">
        <v>2.71</v>
      </c>
      <c r="BZ82" s="44">
        <v>9.4600000000000009</v>
      </c>
      <c r="CA82" s="45">
        <v>6.4600000000000009</v>
      </c>
      <c r="CB82" s="46">
        <v>7.9600000000000009</v>
      </c>
      <c r="CC82" s="44">
        <v>6.59</v>
      </c>
      <c r="CD82" s="45">
        <v>6.35</v>
      </c>
      <c r="CE82" s="46">
        <v>6.47</v>
      </c>
      <c r="CF82" s="44">
        <v>1.86</v>
      </c>
      <c r="CG82" s="45">
        <v>1.36</v>
      </c>
      <c r="CH82" s="46">
        <v>1.61</v>
      </c>
      <c r="CI82" s="44">
        <v>0.43</v>
      </c>
      <c r="CJ82" s="45">
        <v>0.39</v>
      </c>
      <c r="CK82" s="46">
        <v>0.41000000000000003</v>
      </c>
      <c r="CL82" s="44">
        <v>39.01</v>
      </c>
      <c r="CM82">
        <v>36.61</v>
      </c>
      <c r="CN82">
        <v>37.81</v>
      </c>
      <c r="CO82">
        <v>7.13</v>
      </c>
      <c r="CP82">
        <v>2.13</v>
      </c>
      <c r="CQ82">
        <v>4.63</v>
      </c>
    </row>
    <row r="83" spans="1:95">
      <c r="A83" s="223">
        <v>45370</v>
      </c>
      <c r="B83" s="90" t="s">
        <v>97</v>
      </c>
      <c r="C83" s="44">
        <v>150.28</v>
      </c>
      <c r="D83" s="45">
        <v>148.28</v>
      </c>
      <c r="E83" s="46">
        <v>149.28</v>
      </c>
      <c r="F83" s="44">
        <v>163.75</v>
      </c>
      <c r="G83" s="45">
        <v>160.75</v>
      </c>
      <c r="H83" s="46">
        <v>162.25</v>
      </c>
      <c r="I83" s="44">
        <v>111.82</v>
      </c>
      <c r="J83" s="45">
        <v>108.61999999999999</v>
      </c>
      <c r="K83" s="46">
        <v>110.22</v>
      </c>
      <c r="L83" s="45">
        <v>193.91</v>
      </c>
      <c r="M83" s="45">
        <v>185.91</v>
      </c>
      <c r="N83" s="45">
        <v>189.91</v>
      </c>
      <c r="O83" s="44">
        <v>168.95</v>
      </c>
      <c r="P83" s="45">
        <v>167.14999999999998</v>
      </c>
      <c r="Q83" s="46">
        <v>168.04999999999998</v>
      </c>
      <c r="R83" s="45">
        <v>22.06</v>
      </c>
      <c r="S83" s="45">
        <v>21.459999999999997</v>
      </c>
      <c r="T83" s="45">
        <v>21.759999999999998</v>
      </c>
      <c r="U83" s="44">
        <v>14.31</v>
      </c>
      <c r="V83" s="45">
        <v>13.71</v>
      </c>
      <c r="W83" s="46">
        <v>14.010000000000002</v>
      </c>
      <c r="X83" s="44">
        <v>14.7</v>
      </c>
      <c r="Y83" s="45">
        <v>13.899999999999999</v>
      </c>
      <c r="Z83" s="46">
        <v>14.299999999999999</v>
      </c>
      <c r="AA83" s="44">
        <v>99.78</v>
      </c>
      <c r="AB83" s="45">
        <v>95.78</v>
      </c>
      <c r="AC83" s="46">
        <v>97.78</v>
      </c>
      <c r="AD83" s="44">
        <v>92.67</v>
      </c>
      <c r="AE83" s="45">
        <v>88.67</v>
      </c>
      <c r="AF83" s="46">
        <v>90.67</v>
      </c>
      <c r="AG83" s="45">
        <v>19.52</v>
      </c>
      <c r="AH83" s="45">
        <v>18.66</v>
      </c>
      <c r="AI83" s="45">
        <v>19.09</v>
      </c>
      <c r="AJ83" s="47"/>
      <c r="AK83" s="48"/>
      <c r="AL83" s="49"/>
      <c r="AM83" s="45">
        <v>112.3</v>
      </c>
      <c r="AN83" s="45">
        <v>110.64</v>
      </c>
      <c r="AO83" s="45">
        <v>111.47</v>
      </c>
      <c r="AP83" s="44">
        <v>40.67</v>
      </c>
      <c r="AQ83" s="45">
        <v>39.07</v>
      </c>
      <c r="AR83" s="46">
        <v>39.870000000000005</v>
      </c>
      <c r="AS83" s="45">
        <v>41.4</v>
      </c>
      <c r="AT83" s="45">
        <v>40.04</v>
      </c>
      <c r="AU83" s="45">
        <v>40.72</v>
      </c>
      <c r="AV83" s="44">
        <v>21.02</v>
      </c>
      <c r="AW83" s="45">
        <v>20.419999999999998</v>
      </c>
      <c r="AX83" s="46">
        <v>20.72</v>
      </c>
      <c r="AY83" s="44">
        <v>4.24</v>
      </c>
      <c r="AZ83" s="45">
        <v>4.08</v>
      </c>
      <c r="BA83" s="46">
        <v>4.16</v>
      </c>
      <c r="BB83" s="44">
        <v>1.96</v>
      </c>
      <c r="BC83" s="50">
        <v>1.66</v>
      </c>
      <c r="BD83" s="51">
        <v>1.81</v>
      </c>
      <c r="BE83" s="45">
        <v>0.69</v>
      </c>
      <c r="BF83" s="50">
        <v>0.38999999999999996</v>
      </c>
      <c r="BG83" s="50">
        <v>0.53999999999999992</v>
      </c>
      <c r="BH83" s="44">
        <v>492.83</v>
      </c>
      <c r="BI83" s="45">
        <v>476.83</v>
      </c>
      <c r="BJ83" s="46">
        <v>484.83</v>
      </c>
      <c r="BK83" s="45">
        <v>41.67</v>
      </c>
      <c r="BL83" s="45">
        <v>40.31</v>
      </c>
      <c r="BM83" s="45">
        <v>40.99</v>
      </c>
      <c r="BN83" s="52">
        <v>1.07</v>
      </c>
      <c r="BO83" s="50">
        <v>0.83000000000000007</v>
      </c>
      <c r="BP83" s="51">
        <v>0.95000000000000007</v>
      </c>
      <c r="BQ83" s="45">
        <v>9.8699999999999992</v>
      </c>
      <c r="BR83" s="45">
        <v>7.8699999999999992</v>
      </c>
      <c r="BS83" s="45">
        <v>8.8699999999999992</v>
      </c>
      <c r="BT83" s="44">
        <v>11.37</v>
      </c>
      <c r="BU83" s="45">
        <v>10.969999999999999</v>
      </c>
      <c r="BV83" s="46">
        <v>11.169999999999998</v>
      </c>
      <c r="BW83" s="44">
        <v>2.85</v>
      </c>
      <c r="BX83" s="50">
        <v>2.5700000000000003</v>
      </c>
      <c r="BY83" s="51">
        <v>2.71</v>
      </c>
      <c r="BZ83" s="44">
        <v>9.3699999999999992</v>
      </c>
      <c r="CA83" s="45">
        <v>6.3699999999999992</v>
      </c>
      <c r="CB83" s="46">
        <v>7.8699999999999992</v>
      </c>
      <c r="CC83" s="44">
        <v>6.55</v>
      </c>
      <c r="CD83" s="45">
        <v>6.31</v>
      </c>
      <c r="CE83" s="46">
        <v>6.43</v>
      </c>
      <c r="CF83" s="44">
        <v>1.88</v>
      </c>
      <c r="CG83" s="45">
        <v>1.38</v>
      </c>
      <c r="CH83" s="46">
        <v>1.63</v>
      </c>
      <c r="CI83" s="44">
        <v>0.43</v>
      </c>
      <c r="CJ83" s="45">
        <v>0.39</v>
      </c>
      <c r="CK83" s="46">
        <v>0.41000000000000003</v>
      </c>
      <c r="CL83" s="44">
        <v>38.72</v>
      </c>
      <c r="CM83">
        <v>36.32</v>
      </c>
      <c r="CN83">
        <v>37.519999999999996</v>
      </c>
      <c r="CO83">
        <v>7.12</v>
      </c>
      <c r="CP83">
        <v>2.12</v>
      </c>
      <c r="CQ83">
        <v>4.62</v>
      </c>
    </row>
    <row r="84" spans="1:95">
      <c r="A84" s="223">
        <v>45371</v>
      </c>
      <c r="B84" s="90" t="s">
        <v>98</v>
      </c>
      <c r="C84" s="45"/>
      <c r="D84" s="45"/>
      <c r="E84" s="45"/>
      <c r="F84" s="44"/>
      <c r="G84" s="45"/>
      <c r="H84" s="46"/>
      <c r="I84" s="45"/>
      <c r="J84" s="45"/>
      <c r="K84" s="45"/>
      <c r="L84" s="44"/>
      <c r="M84" s="45"/>
      <c r="N84" s="46"/>
      <c r="O84" s="45"/>
      <c r="P84" s="45"/>
      <c r="Q84" s="45"/>
      <c r="R84" s="44"/>
      <c r="S84" s="45"/>
      <c r="T84" s="46"/>
      <c r="U84" s="44"/>
      <c r="V84" s="45"/>
      <c r="W84" s="46"/>
      <c r="X84" s="44"/>
      <c r="Y84" s="45"/>
      <c r="Z84" s="46"/>
      <c r="AA84" s="44"/>
      <c r="AB84" s="45"/>
      <c r="AC84" s="46"/>
      <c r="AD84" s="45"/>
      <c r="AE84" s="45"/>
      <c r="AF84" s="45"/>
      <c r="AG84" s="44"/>
      <c r="AH84" s="45"/>
      <c r="AI84" s="46"/>
      <c r="AJ84" s="47"/>
      <c r="AK84" s="48"/>
      <c r="AL84" s="49"/>
      <c r="AM84" s="44"/>
      <c r="AN84" s="45"/>
      <c r="AO84" s="46"/>
      <c r="AP84" s="44"/>
      <c r="AQ84" s="45"/>
      <c r="AR84" s="46"/>
      <c r="AS84" s="45"/>
      <c r="AT84" s="45"/>
      <c r="AU84" s="45"/>
      <c r="AV84" s="44"/>
      <c r="AW84" s="45"/>
      <c r="AX84" s="46"/>
      <c r="AY84" s="44"/>
      <c r="AZ84" s="45"/>
      <c r="BA84" s="46"/>
      <c r="BB84" s="44"/>
      <c r="BC84" s="50"/>
      <c r="BD84" s="51"/>
      <c r="BE84" s="44"/>
      <c r="BF84" s="50"/>
      <c r="BG84" s="51"/>
      <c r="BH84" s="44"/>
      <c r="BI84" s="45"/>
      <c r="BJ84" s="46"/>
      <c r="BK84" s="45"/>
      <c r="BL84" s="45"/>
      <c r="BM84" s="45"/>
      <c r="BN84" s="52"/>
      <c r="BO84" s="50"/>
      <c r="BP84" s="51"/>
      <c r="BQ84" s="45"/>
      <c r="BR84" s="45"/>
      <c r="BS84" s="45"/>
      <c r="BT84" s="44"/>
      <c r="BU84" s="45"/>
      <c r="BV84" s="46"/>
      <c r="BW84" s="44"/>
      <c r="BX84" s="50"/>
      <c r="BY84" s="51"/>
      <c r="BZ84" s="44"/>
      <c r="CA84" s="45"/>
      <c r="CB84" s="46"/>
      <c r="CC84" s="44"/>
      <c r="CD84" s="45"/>
      <c r="CE84" s="46"/>
      <c r="CF84" s="45"/>
      <c r="CG84" s="45"/>
      <c r="CH84" s="45"/>
      <c r="CI84" s="44"/>
      <c r="CJ84" s="45"/>
      <c r="CK84" s="46"/>
      <c r="CL84" s="44"/>
    </row>
    <row r="85" spans="1:95">
      <c r="A85" s="223">
        <v>45372</v>
      </c>
      <c r="B85" s="90" t="s">
        <v>99</v>
      </c>
      <c r="C85" s="44">
        <v>151.79</v>
      </c>
      <c r="D85" s="45">
        <v>149.79</v>
      </c>
      <c r="E85" s="46">
        <v>150.79</v>
      </c>
      <c r="F85" s="44">
        <v>166.31</v>
      </c>
      <c r="G85" s="45">
        <v>163.31</v>
      </c>
      <c r="H85" s="46">
        <v>164.81</v>
      </c>
      <c r="I85" s="44">
        <v>113.52</v>
      </c>
      <c r="J85" s="45">
        <v>110.32</v>
      </c>
      <c r="K85" s="46">
        <v>111.91999999999999</v>
      </c>
      <c r="L85" s="45">
        <v>196.92</v>
      </c>
      <c r="M85" s="45">
        <v>188.92</v>
      </c>
      <c r="N85" s="45">
        <v>192.92</v>
      </c>
      <c r="O85" s="44">
        <v>171.13</v>
      </c>
      <c r="P85" s="45">
        <v>169.32999999999998</v>
      </c>
      <c r="Q85" s="46">
        <v>170.23</v>
      </c>
      <c r="R85" s="45">
        <v>22.4</v>
      </c>
      <c r="S85" s="45">
        <v>21.799999999999997</v>
      </c>
      <c r="T85" s="45">
        <v>22.099999999999998</v>
      </c>
      <c r="U85" s="44">
        <v>14.6</v>
      </c>
      <c r="V85" s="45">
        <v>14</v>
      </c>
      <c r="W85" s="46">
        <v>14.3</v>
      </c>
      <c r="X85" s="44">
        <v>14.93</v>
      </c>
      <c r="Y85" s="45">
        <v>14.129999999999999</v>
      </c>
      <c r="Z85" s="46">
        <v>14.53</v>
      </c>
      <c r="AA85" s="44">
        <v>101.69</v>
      </c>
      <c r="AB85" s="45">
        <v>97.69</v>
      </c>
      <c r="AC85" s="46">
        <v>99.69</v>
      </c>
      <c r="AD85" s="44">
        <v>93.83</v>
      </c>
      <c r="AE85" s="45">
        <v>89.83</v>
      </c>
      <c r="AF85" s="46">
        <v>91.83</v>
      </c>
      <c r="AG85" s="45">
        <v>19.71</v>
      </c>
      <c r="AH85" s="45">
        <v>18.850000000000001</v>
      </c>
      <c r="AI85" s="45">
        <v>19.28</v>
      </c>
      <c r="AJ85" s="47"/>
      <c r="AK85" s="48"/>
      <c r="AL85" s="49"/>
      <c r="AM85" s="45">
        <v>113.49</v>
      </c>
      <c r="AN85" s="45">
        <v>111.83</v>
      </c>
      <c r="AO85" s="45">
        <v>112.66</v>
      </c>
      <c r="AP85" s="44">
        <v>41.08</v>
      </c>
      <c r="AQ85" s="45">
        <v>39.479999999999997</v>
      </c>
      <c r="AR85" s="46">
        <v>40.28</v>
      </c>
      <c r="AS85" s="45">
        <v>41.81</v>
      </c>
      <c r="AT85" s="45">
        <v>40.450000000000003</v>
      </c>
      <c r="AU85" s="45">
        <v>41.13</v>
      </c>
      <c r="AV85" s="44">
        <v>21.22</v>
      </c>
      <c r="AW85" s="45">
        <v>20.619999999999997</v>
      </c>
      <c r="AX85" s="46">
        <v>20.919999999999998</v>
      </c>
      <c r="AY85" s="44">
        <v>4.28</v>
      </c>
      <c r="AZ85" s="45">
        <v>4.12</v>
      </c>
      <c r="BA85" s="46">
        <v>4.2</v>
      </c>
      <c r="BB85" s="44">
        <v>1.98</v>
      </c>
      <c r="BC85" s="50">
        <v>1.68</v>
      </c>
      <c r="BD85" s="51">
        <v>1.83</v>
      </c>
      <c r="BE85" s="45">
        <v>0.69</v>
      </c>
      <c r="BF85" s="50">
        <v>0.38999999999999996</v>
      </c>
      <c r="BG85" s="50">
        <v>0.53999999999999992</v>
      </c>
      <c r="BH85" s="44">
        <v>499.33</v>
      </c>
      <c r="BI85" s="45">
        <v>483.33</v>
      </c>
      <c r="BJ85" s="46">
        <v>491.33</v>
      </c>
      <c r="BK85" s="45">
        <v>41.95</v>
      </c>
      <c r="BL85" s="45">
        <v>40.590000000000003</v>
      </c>
      <c r="BM85" s="45">
        <v>41.27</v>
      </c>
      <c r="BN85" s="52">
        <v>1.08</v>
      </c>
      <c r="BO85" s="50">
        <v>0.84000000000000008</v>
      </c>
      <c r="BP85" s="51">
        <v>0.96000000000000008</v>
      </c>
      <c r="BQ85" s="45">
        <v>10.039999999999999</v>
      </c>
      <c r="BR85" s="45">
        <v>8.0399999999999991</v>
      </c>
      <c r="BS85" s="45">
        <v>9.0399999999999991</v>
      </c>
      <c r="BT85" s="44">
        <v>11.57</v>
      </c>
      <c r="BU85" s="45">
        <v>11.17</v>
      </c>
      <c r="BV85" s="46">
        <v>11.370000000000001</v>
      </c>
      <c r="BW85" s="44">
        <v>2.85</v>
      </c>
      <c r="BX85" s="50">
        <v>2.5700000000000003</v>
      </c>
      <c r="BY85" s="51">
        <v>2.71</v>
      </c>
      <c r="BZ85" s="44">
        <v>9.56</v>
      </c>
      <c r="CA85" s="45">
        <v>6.5600000000000005</v>
      </c>
      <c r="CB85" s="46">
        <v>8.06</v>
      </c>
      <c r="CC85" s="44">
        <v>6.67</v>
      </c>
      <c r="CD85" s="45">
        <v>6.43</v>
      </c>
      <c r="CE85" s="46">
        <v>6.55</v>
      </c>
      <c r="CF85" s="44">
        <v>1.89</v>
      </c>
      <c r="CG85" s="45">
        <v>1.39</v>
      </c>
      <c r="CH85" s="46">
        <v>1.64</v>
      </c>
      <c r="CI85" s="44">
        <v>0.44</v>
      </c>
      <c r="CJ85" s="45">
        <v>0.4</v>
      </c>
      <c r="CK85" s="46">
        <v>0.42000000000000004</v>
      </c>
      <c r="CL85" s="44">
        <v>39.450000000000003</v>
      </c>
      <c r="CM85">
        <v>37.050000000000004</v>
      </c>
      <c r="CN85">
        <v>38.25</v>
      </c>
      <c r="CO85">
        <v>7.16</v>
      </c>
      <c r="CP85">
        <v>2.16</v>
      </c>
      <c r="CQ85">
        <v>4.66</v>
      </c>
    </row>
    <row r="86" spans="1:95">
      <c r="A86" s="223">
        <v>45373</v>
      </c>
      <c r="B86" s="90" t="s">
        <v>100</v>
      </c>
      <c r="C86" s="44">
        <v>152.59</v>
      </c>
      <c r="D86" s="45">
        <v>150.59</v>
      </c>
      <c r="E86" s="46">
        <v>151.59</v>
      </c>
      <c r="F86" s="44">
        <v>166.2</v>
      </c>
      <c r="G86" s="45">
        <v>163.19999999999999</v>
      </c>
      <c r="H86" s="46">
        <v>164.7</v>
      </c>
      <c r="I86" s="44">
        <v>113.69</v>
      </c>
      <c r="J86" s="45">
        <v>110.49</v>
      </c>
      <c r="K86" s="46">
        <v>112.09</v>
      </c>
      <c r="L86" s="45">
        <v>196.13</v>
      </c>
      <c r="M86" s="45">
        <v>188.13</v>
      </c>
      <c r="N86" s="45">
        <v>192.13</v>
      </c>
      <c r="O86" s="44">
        <v>169.8</v>
      </c>
      <c r="P86" s="45">
        <v>168</v>
      </c>
      <c r="Q86" s="46">
        <v>168.9</v>
      </c>
      <c r="R86" s="45">
        <v>22.38</v>
      </c>
      <c r="S86" s="45">
        <v>21.779999999999998</v>
      </c>
      <c r="T86" s="45">
        <v>22.08</v>
      </c>
      <c r="U86" s="44">
        <v>14.52</v>
      </c>
      <c r="V86" s="45">
        <v>13.92</v>
      </c>
      <c r="W86" s="46">
        <v>14.219999999999999</v>
      </c>
      <c r="X86" s="44">
        <v>14.88</v>
      </c>
      <c r="Y86" s="45">
        <v>14.08</v>
      </c>
      <c r="Z86" s="46">
        <v>14.48</v>
      </c>
      <c r="AA86" s="44">
        <v>101.67</v>
      </c>
      <c r="AB86" s="45">
        <v>97.67</v>
      </c>
      <c r="AC86" s="46">
        <v>99.67</v>
      </c>
      <c r="AD86" s="44">
        <v>93.71</v>
      </c>
      <c r="AE86" s="45">
        <v>89.71</v>
      </c>
      <c r="AF86" s="46">
        <v>91.71</v>
      </c>
      <c r="AG86" s="45">
        <v>19.809999999999999</v>
      </c>
      <c r="AH86" s="45">
        <v>18.95</v>
      </c>
      <c r="AI86" s="45">
        <v>19.38</v>
      </c>
      <c r="AJ86" s="47"/>
      <c r="AK86" s="48"/>
      <c r="AL86" s="49"/>
      <c r="AM86" s="45">
        <v>113.7</v>
      </c>
      <c r="AN86" s="45">
        <v>112.04</v>
      </c>
      <c r="AO86" s="45">
        <v>112.87</v>
      </c>
      <c r="AP86" s="44">
        <v>41.29</v>
      </c>
      <c r="AQ86" s="45">
        <v>39.69</v>
      </c>
      <c r="AR86" s="46">
        <v>40.489999999999995</v>
      </c>
      <c r="AS86" s="45">
        <v>41.88</v>
      </c>
      <c r="AT86" s="45">
        <v>40.520000000000003</v>
      </c>
      <c r="AU86" s="45">
        <v>41.2</v>
      </c>
      <c r="AV86" s="44">
        <v>21.3</v>
      </c>
      <c r="AW86" s="45">
        <v>20.7</v>
      </c>
      <c r="AX86" s="46">
        <v>21</v>
      </c>
      <c r="AY86" s="44">
        <v>4.26</v>
      </c>
      <c r="AZ86" s="45">
        <v>4.0999999999999996</v>
      </c>
      <c r="BA86" s="46">
        <v>4.18</v>
      </c>
      <c r="BB86" s="44">
        <v>1.98</v>
      </c>
      <c r="BC86" s="50">
        <v>1.68</v>
      </c>
      <c r="BD86" s="51">
        <v>1.83</v>
      </c>
      <c r="BE86" s="45">
        <v>0.7</v>
      </c>
      <c r="BF86" s="50">
        <v>0.39999999999999997</v>
      </c>
      <c r="BG86" s="50">
        <v>0.54999999999999993</v>
      </c>
      <c r="BH86" s="44">
        <v>501.78</v>
      </c>
      <c r="BI86" s="45">
        <v>485.78</v>
      </c>
      <c r="BJ86" s="46">
        <v>493.78</v>
      </c>
      <c r="BK86" s="45">
        <v>42.31</v>
      </c>
      <c r="BL86" s="45">
        <v>40.950000000000003</v>
      </c>
      <c r="BM86" s="45">
        <v>41.63</v>
      </c>
      <c r="BN86" s="52">
        <v>1.0900000000000001</v>
      </c>
      <c r="BO86" s="50">
        <v>0.85000000000000009</v>
      </c>
      <c r="BP86" s="51">
        <v>0.97000000000000008</v>
      </c>
      <c r="BQ86" s="45">
        <v>10.07</v>
      </c>
      <c r="BR86" s="45">
        <v>8.07</v>
      </c>
      <c r="BS86" s="45">
        <v>9.07</v>
      </c>
      <c r="BT86" s="44">
        <v>11.61</v>
      </c>
      <c r="BU86" s="45">
        <v>11.209999999999999</v>
      </c>
      <c r="BV86" s="46">
        <v>11.41</v>
      </c>
      <c r="BW86" s="44">
        <v>2.87</v>
      </c>
      <c r="BX86" s="50">
        <v>2.59</v>
      </c>
      <c r="BY86" s="51">
        <v>2.73</v>
      </c>
      <c r="BZ86" s="44">
        <v>9.56</v>
      </c>
      <c r="CA86" s="45">
        <v>6.5600000000000005</v>
      </c>
      <c r="CB86" s="46">
        <v>8.06</v>
      </c>
      <c r="CC86" s="44">
        <v>6.63</v>
      </c>
      <c r="CD86" s="45">
        <v>6.39</v>
      </c>
      <c r="CE86" s="46">
        <v>6.51</v>
      </c>
      <c r="CF86" s="44">
        <v>1.9</v>
      </c>
      <c r="CG86" s="45">
        <v>1.4</v>
      </c>
      <c r="CH86" s="46">
        <v>1.65</v>
      </c>
      <c r="CI86" s="44">
        <v>0.44</v>
      </c>
      <c r="CJ86" s="45">
        <v>0.4</v>
      </c>
      <c r="CK86" s="46">
        <v>0.42000000000000004</v>
      </c>
      <c r="CL86" s="44">
        <v>39.479999999999997</v>
      </c>
      <c r="CM86">
        <v>37.08</v>
      </c>
      <c r="CN86">
        <v>38.28</v>
      </c>
      <c r="CO86">
        <v>7.24</v>
      </c>
      <c r="CP86">
        <v>2.2400000000000002</v>
      </c>
      <c r="CQ86">
        <v>4.74</v>
      </c>
    </row>
    <row r="87" spans="1:95">
      <c r="A87" s="223">
        <v>45374</v>
      </c>
      <c r="B87" s="90" t="s">
        <v>307</v>
      </c>
      <c r="C87" s="44"/>
      <c r="D87" s="45"/>
      <c r="E87" s="46"/>
      <c r="F87" s="44"/>
      <c r="G87" s="45"/>
      <c r="H87" s="46"/>
      <c r="I87" s="44"/>
      <c r="J87" s="45"/>
      <c r="K87" s="46"/>
      <c r="L87" s="45"/>
      <c r="M87" s="45"/>
      <c r="N87" s="45"/>
      <c r="O87" s="44"/>
      <c r="P87" s="45"/>
      <c r="Q87" s="46"/>
      <c r="R87" s="45"/>
      <c r="S87" s="45"/>
      <c r="T87" s="45"/>
      <c r="U87" s="44"/>
      <c r="V87" s="45"/>
      <c r="W87" s="46"/>
      <c r="X87" s="44"/>
      <c r="Y87" s="45"/>
      <c r="Z87" s="46"/>
      <c r="AA87" s="44"/>
      <c r="AB87" s="45"/>
      <c r="AC87" s="46"/>
      <c r="AD87" s="44"/>
      <c r="AE87" s="45"/>
      <c r="AF87" s="46"/>
      <c r="AG87" s="45"/>
      <c r="AH87" s="45"/>
      <c r="AI87" s="45"/>
      <c r="AJ87" s="47"/>
      <c r="AK87" s="48"/>
      <c r="AL87" s="49"/>
      <c r="AM87" s="45"/>
      <c r="AN87" s="45"/>
      <c r="AO87" s="45"/>
      <c r="AP87" s="44"/>
      <c r="AQ87" s="45"/>
      <c r="AR87" s="46"/>
      <c r="AS87" s="45"/>
      <c r="AT87" s="45"/>
      <c r="AU87" s="45"/>
      <c r="AV87" s="44"/>
      <c r="AW87" s="45"/>
      <c r="AX87" s="46"/>
      <c r="AY87" s="44"/>
      <c r="AZ87" s="45"/>
      <c r="BA87" s="46"/>
      <c r="BB87" s="44"/>
      <c r="BC87" s="50"/>
      <c r="BD87" s="51"/>
      <c r="BE87" s="45"/>
      <c r="BF87" s="50"/>
      <c r="BG87" s="50"/>
      <c r="BH87" s="44"/>
      <c r="BI87" s="45"/>
      <c r="BJ87" s="46"/>
      <c r="BK87" s="45"/>
      <c r="BL87" s="45"/>
      <c r="BM87" s="45"/>
      <c r="BN87" s="52"/>
      <c r="BO87" s="50"/>
      <c r="BP87" s="51"/>
      <c r="BQ87" s="45"/>
      <c r="BR87" s="45"/>
      <c r="BS87" s="45"/>
      <c r="BT87" s="44"/>
      <c r="BU87" s="45"/>
      <c r="BV87" s="46"/>
      <c r="BW87" s="44"/>
      <c r="BX87" s="50"/>
      <c r="BY87" s="51"/>
      <c r="BZ87" s="44"/>
      <c r="CA87" s="45"/>
      <c r="CB87" s="46"/>
      <c r="CC87" s="44"/>
      <c r="CD87" s="45"/>
      <c r="CE87" s="46"/>
      <c r="CF87" s="44"/>
      <c r="CG87" s="45"/>
      <c r="CH87" s="46"/>
      <c r="CI87" s="44"/>
      <c r="CJ87" s="45"/>
      <c r="CK87" s="46"/>
      <c r="CL87" s="44"/>
    </row>
    <row r="88" spans="1:95">
      <c r="A88" s="223">
        <v>45375</v>
      </c>
      <c r="B88" s="90" t="s">
        <v>308</v>
      </c>
      <c r="C88" s="44"/>
      <c r="D88" s="45"/>
      <c r="E88" s="46"/>
      <c r="F88" s="44"/>
      <c r="G88" s="45"/>
      <c r="H88" s="46"/>
      <c r="I88" s="44"/>
      <c r="J88" s="45"/>
      <c r="K88" s="46"/>
      <c r="L88" s="45"/>
      <c r="M88" s="45"/>
      <c r="N88" s="45"/>
      <c r="O88" s="44"/>
      <c r="P88" s="45"/>
      <c r="Q88" s="46"/>
      <c r="R88" s="45"/>
      <c r="S88" s="45"/>
      <c r="T88" s="45"/>
      <c r="U88" s="44"/>
      <c r="V88" s="45"/>
      <c r="W88" s="46"/>
      <c r="X88" s="44"/>
      <c r="Y88" s="45"/>
      <c r="Z88" s="46"/>
      <c r="AA88" s="44"/>
      <c r="AB88" s="45"/>
      <c r="AC88" s="46"/>
      <c r="AD88" s="44"/>
      <c r="AE88" s="45"/>
      <c r="AF88" s="46"/>
      <c r="AG88" s="45"/>
      <c r="AH88" s="45"/>
      <c r="AI88" s="45"/>
      <c r="AJ88" s="47"/>
      <c r="AK88" s="48"/>
      <c r="AL88" s="49"/>
      <c r="AM88" s="45"/>
      <c r="AN88" s="45"/>
      <c r="AO88" s="45"/>
      <c r="AP88" s="44"/>
      <c r="AQ88" s="45"/>
      <c r="AR88" s="46"/>
      <c r="AS88" s="45"/>
      <c r="AT88" s="45"/>
      <c r="AU88" s="45"/>
      <c r="AV88" s="44"/>
      <c r="AW88" s="45"/>
      <c r="AX88" s="46"/>
      <c r="AY88" s="44"/>
      <c r="AZ88" s="45"/>
      <c r="BA88" s="46"/>
      <c r="BB88" s="44"/>
      <c r="BC88" s="50"/>
      <c r="BD88" s="51"/>
      <c r="BE88" s="45"/>
      <c r="BF88" s="50"/>
      <c r="BG88" s="50"/>
      <c r="BH88" s="44"/>
      <c r="BI88" s="45"/>
      <c r="BJ88" s="46"/>
      <c r="BK88" s="45"/>
      <c r="BL88" s="45"/>
      <c r="BM88" s="45"/>
      <c r="BN88" s="52"/>
      <c r="BO88" s="50"/>
      <c r="BP88" s="51"/>
      <c r="BQ88" s="45"/>
      <c r="BR88" s="45"/>
      <c r="BS88" s="45"/>
      <c r="BT88" s="44"/>
      <c r="BU88" s="45"/>
      <c r="BV88" s="46"/>
      <c r="BW88" s="44"/>
      <c r="BX88" s="50"/>
      <c r="BY88" s="51"/>
      <c r="BZ88" s="44"/>
      <c r="CA88" s="45"/>
      <c r="CB88" s="46"/>
      <c r="CC88" s="44"/>
      <c r="CD88" s="45"/>
      <c r="CE88" s="46"/>
      <c r="CF88" s="44"/>
      <c r="CG88" s="45"/>
      <c r="CH88" s="46"/>
      <c r="CI88" s="44"/>
      <c r="CJ88" s="45"/>
      <c r="CK88" s="46"/>
      <c r="CL88" s="44"/>
    </row>
    <row r="89" spans="1:95">
      <c r="A89" s="223">
        <v>45376</v>
      </c>
      <c r="B89" s="90" t="s">
        <v>96</v>
      </c>
      <c r="C89" s="44">
        <v>152.43</v>
      </c>
      <c r="D89" s="45">
        <v>150.43</v>
      </c>
      <c r="E89" s="46">
        <v>151.43</v>
      </c>
      <c r="F89" s="44">
        <v>165.1</v>
      </c>
      <c r="G89" s="45">
        <v>162.1</v>
      </c>
      <c r="H89" s="46">
        <v>163.6</v>
      </c>
      <c r="I89" s="44">
        <v>112.82</v>
      </c>
      <c r="J89" s="45">
        <v>109.61999999999999</v>
      </c>
      <c r="K89" s="46">
        <v>111.22</v>
      </c>
      <c r="L89" s="45">
        <v>194.71</v>
      </c>
      <c r="M89" s="45">
        <v>186.71</v>
      </c>
      <c r="N89" s="45">
        <v>190.71</v>
      </c>
      <c r="O89" s="44">
        <v>169.46</v>
      </c>
      <c r="P89" s="45">
        <v>167.66</v>
      </c>
      <c r="Q89" s="46">
        <v>168.56</v>
      </c>
      <c r="R89" s="45">
        <v>22.24</v>
      </c>
      <c r="S89" s="45">
        <v>21.639999999999997</v>
      </c>
      <c r="T89" s="45">
        <v>21.939999999999998</v>
      </c>
      <c r="U89" s="44">
        <v>14.37</v>
      </c>
      <c r="V89" s="45">
        <v>13.77</v>
      </c>
      <c r="W89" s="46">
        <v>14.07</v>
      </c>
      <c r="X89" s="44">
        <v>14.73</v>
      </c>
      <c r="Y89" s="45">
        <v>13.93</v>
      </c>
      <c r="Z89" s="46">
        <v>14.33</v>
      </c>
      <c r="AA89" s="44">
        <v>100.64</v>
      </c>
      <c r="AB89" s="45">
        <v>96.64</v>
      </c>
      <c r="AC89" s="46">
        <v>98.64</v>
      </c>
      <c r="AD89" s="44">
        <v>92.75</v>
      </c>
      <c r="AE89" s="45">
        <v>88.75</v>
      </c>
      <c r="AF89" s="46">
        <v>90.75</v>
      </c>
      <c r="AG89" s="45">
        <v>19.79</v>
      </c>
      <c r="AH89" s="45">
        <v>18.93</v>
      </c>
      <c r="AI89" s="45">
        <v>19.36</v>
      </c>
      <c r="AJ89" s="47"/>
      <c r="AK89" s="48"/>
      <c r="AL89" s="49"/>
      <c r="AM89" s="45">
        <v>113.03</v>
      </c>
      <c r="AN89" s="45">
        <v>111.37</v>
      </c>
      <c r="AO89" s="45">
        <v>112.2</v>
      </c>
      <c r="AP89" s="44">
        <v>41.24</v>
      </c>
      <c r="AQ89" s="45">
        <v>39.64</v>
      </c>
      <c r="AR89" s="46">
        <v>40.44</v>
      </c>
      <c r="AS89" s="45">
        <v>41.99</v>
      </c>
      <c r="AT89" s="45">
        <v>40.630000000000003</v>
      </c>
      <c r="AU89" s="45">
        <v>41.31</v>
      </c>
      <c r="AV89" s="44">
        <v>21.12</v>
      </c>
      <c r="AW89" s="45">
        <v>20.52</v>
      </c>
      <c r="AX89" s="46">
        <v>20.82</v>
      </c>
      <c r="AY89" s="44">
        <v>4.25</v>
      </c>
      <c r="AZ89" s="45">
        <v>4.09</v>
      </c>
      <c r="BA89" s="46">
        <v>4.17</v>
      </c>
      <c r="BB89" s="44">
        <v>1.97</v>
      </c>
      <c r="BC89" s="50">
        <v>1.67</v>
      </c>
      <c r="BD89" s="51">
        <v>1.8199999999999998</v>
      </c>
      <c r="BE89" s="45">
        <v>0.7</v>
      </c>
      <c r="BF89" s="50">
        <v>0.39999999999999997</v>
      </c>
      <c r="BG89" s="50">
        <v>0.54999999999999993</v>
      </c>
      <c r="BH89" s="44">
        <v>501.1</v>
      </c>
      <c r="BI89" s="45">
        <v>485.1</v>
      </c>
      <c r="BJ89" s="46">
        <v>493.1</v>
      </c>
      <c r="BK89" s="45">
        <v>42.27</v>
      </c>
      <c r="BL89" s="45">
        <v>40.910000000000004</v>
      </c>
      <c r="BM89" s="45">
        <v>41.59</v>
      </c>
      <c r="BN89" s="52">
        <v>1.08</v>
      </c>
      <c r="BO89" s="50">
        <v>0.84000000000000008</v>
      </c>
      <c r="BP89" s="51">
        <v>0.96000000000000008</v>
      </c>
      <c r="BQ89" s="45">
        <v>10.039999999999999</v>
      </c>
      <c r="BR89" s="45">
        <v>8.0399999999999991</v>
      </c>
      <c r="BS89" s="45">
        <v>9.0399999999999991</v>
      </c>
      <c r="BT89" s="44">
        <v>11.48</v>
      </c>
      <c r="BU89" s="45">
        <v>11.08</v>
      </c>
      <c r="BV89" s="46">
        <v>11.280000000000001</v>
      </c>
      <c r="BW89" s="44">
        <v>2.85</v>
      </c>
      <c r="BX89" s="50">
        <v>2.5700000000000003</v>
      </c>
      <c r="BY89" s="51">
        <v>2.71</v>
      </c>
      <c r="BZ89" s="44">
        <v>9.4600000000000009</v>
      </c>
      <c r="CA89" s="45">
        <v>6.4600000000000009</v>
      </c>
      <c r="CB89" s="46">
        <v>7.9600000000000009</v>
      </c>
      <c r="CC89" s="44">
        <v>6.58</v>
      </c>
      <c r="CD89" s="45">
        <v>6.34</v>
      </c>
      <c r="CE89" s="46">
        <v>6.46</v>
      </c>
      <c r="CF89" s="44">
        <v>1.89</v>
      </c>
      <c r="CG89" s="45">
        <v>1.39</v>
      </c>
      <c r="CH89" s="46">
        <v>1.64</v>
      </c>
      <c r="CI89" s="44">
        <v>0.43</v>
      </c>
      <c r="CJ89" s="45">
        <v>0.39</v>
      </c>
      <c r="CK89" s="46">
        <v>0.41000000000000003</v>
      </c>
      <c r="CL89" s="44">
        <v>39.07</v>
      </c>
      <c r="CM89">
        <v>36.67</v>
      </c>
      <c r="CN89">
        <v>37.870000000000005</v>
      </c>
      <c r="CO89">
        <v>7.22</v>
      </c>
      <c r="CP89">
        <v>2.2199999999999998</v>
      </c>
      <c r="CQ89">
        <v>4.72</v>
      </c>
    </row>
    <row r="90" spans="1:95">
      <c r="A90" s="223">
        <v>45377</v>
      </c>
      <c r="B90" s="90" t="s">
        <v>97</v>
      </c>
      <c r="C90" s="44">
        <v>152.33000000000001</v>
      </c>
      <c r="D90" s="45">
        <v>150.33000000000001</v>
      </c>
      <c r="E90" s="46">
        <v>151.33000000000001</v>
      </c>
      <c r="F90" s="44">
        <v>165.54</v>
      </c>
      <c r="G90" s="45">
        <v>162.54</v>
      </c>
      <c r="H90" s="46">
        <v>164.04</v>
      </c>
      <c r="I90" s="44">
        <v>113.03</v>
      </c>
      <c r="J90" s="45">
        <v>109.83</v>
      </c>
      <c r="K90" s="46">
        <v>111.43</v>
      </c>
      <c r="L90" s="45">
        <v>195.33</v>
      </c>
      <c r="M90" s="45">
        <v>187.33</v>
      </c>
      <c r="N90" s="45">
        <v>191.33</v>
      </c>
      <c r="O90" s="44">
        <v>169.12</v>
      </c>
      <c r="P90" s="45">
        <v>167.32</v>
      </c>
      <c r="Q90" s="46">
        <v>168.22</v>
      </c>
      <c r="R90" s="45">
        <v>22.29</v>
      </c>
      <c r="S90" s="45">
        <v>21.689999999999998</v>
      </c>
      <c r="T90" s="45">
        <v>21.99</v>
      </c>
      <c r="U90" s="44">
        <v>14.43</v>
      </c>
      <c r="V90" s="45">
        <v>13.83</v>
      </c>
      <c r="W90" s="46">
        <v>14.129999999999999</v>
      </c>
      <c r="X90" s="44">
        <v>14.71</v>
      </c>
      <c r="Y90" s="45">
        <v>13.91</v>
      </c>
      <c r="Z90" s="46">
        <v>14.31</v>
      </c>
      <c r="AA90" s="44">
        <v>101.03</v>
      </c>
      <c r="AB90" s="45">
        <v>97.03</v>
      </c>
      <c r="AC90" s="46">
        <v>99.03</v>
      </c>
      <c r="AD90" s="44">
        <v>92.93</v>
      </c>
      <c r="AE90" s="45">
        <v>88.93</v>
      </c>
      <c r="AF90" s="46">
        <v>90.93</v>
      </c>
      <c r="AG90" s="45">
        <v>19.78</v>
      </c>
      <c r="AH90" s="45">
        <v>18.920000000000002</v>
      </c>
      <c r="AI90" s="45">
        <v>19.350000000000001</v>
      </c>
      <c r="AJ90" s="47"/>
      <c r="AK90" s="48"/>
      <c r="AL90" s="49"/>
      <c r="AM90" s="45">
        <v>113.34</v>
      </c>
      <c r="AN90" s="45">
        <v>111.68</v>
      </c>
      <c r="AO90" s="45">
        <v>112.51</v>
      </c>
      <c r="AP90" s="44">
        <v>41.21</v>
      </c>
      <c r="AQ90" s="45">
        <v>39.61</v>
      </c>
      <c r="AR90" s="46">
        <v>40.409999999999997</v>
      </c>
      <c r="AS90" s="45">
        <v>41.96</v>
      </c>
      <c r="AT90" s="45">
        <v>40.6</v>
      </c>
      <c r="AU90" s="45">
        <v>41.28</v>
      </c>
      <c r="AV90" s="44">
        <v>21.18</v>
      </c>
      <c r="AW90" s="45">
        <v>20.58</v>
      </c>
      <c r="AX90" s="46">
        <v>20.88</v>
      </c>
      <c r="AY90" s="44">
        <v>4.24</v>
      </c>
      <c r="AZ90" s="45">
        <v>4.08</v>
      </c>
      <c r="BA90" s="46">
        <v>4.16</v>
      </c>
      <c r="BB90" s="44">
        <v>1.97</v>
      </c>
      <c r="BC90" s="50">
        <v>1.67</v>
      </c>
      <c r="BD90" s="51">
        <v>1.8199999999999998</v>
      </c>
      <c r="BE90" s="45">
        <v>0.7</v>
      </c>
      <c r="BF90" s="50">
        <v>0.39999999999999997</v>
      </c>
      <c r="BG90" s="50">
        <v>0.54999999999999993</v>
      </c>
      <c r="BH90" s="44">
        <v>499.33</v>
      </c>
      <c r="BI90" s="45">
        <v>483.33</v>
      </c>
      <c r="BJ90" s="46">
        <v>491.33</v>
      </c>
      <c r="BK90" s="45">
        <v>42.23</v>
      </c>
      <c r="BL90" s="45">
        <v>40.869999999999997</v>
      </c>
      <c r="BM90" s="45">
        <v>41.55</v>
      </c>
      <c r="BN90" s="52">
        <v>1.08</v>
      </c>
      <c r="BO90" s="50">
        <v>0.84000000000000008</v>
      </c>
      <c r="BP90" s="51">
        <v>0.96000000000000008</v>
      </c>
      <c r="BQ90" s="45">
        <v>10.08</v>
      </c>
      <c r="BR90" s="45">
        <v>8.08</v>
      </c>
      <c r="BS90" s="45">
        <v>9.08</v>
      </c>
      <c r="BT90" s="44">
        <v>11.53</v>
      </c>
      <c r="BU90" s="45">
        <v>11.129999999999999</v>
      </c>
      <c r="BV90" s="46">
        <v>11.329999999999998</v>
      </c>
      <c r="BW90" s="44">
        <v>2.84</v>
      </c>
      <c r="BX90" s="50">
        <v>2.5599999999999996</v>
      </c>
      <c r="BY90" s="51">
        <v>2.6999999999999997</v>
      </c>
      <c r="BZ90" s="44">
        <v>9.52</v>
      </c>
      <c r="CA90" s="45">
        <v>6.52</v>
      </c>
      <c r="CB90" s="46">
        <v>8.02</v>
      </c>
      <c r="CC90" s="44">
        <v>6.6</v>
      </c>
      <c r="CD90" s="45">
        <v>6.3599999999999994</v>
      </c>
      <c r="CE90" s="46">
        <v>6.4799999999999995</v>
      </c>
      <c r="CF90" s="44">
        <v>1.88</v>
      </c>
      <c r="CG90" s="45">
        <v>1.38</v>
      </c>
      <c r="CH90" s="46">
        <v>1.63</v>
      </c>
      <c r="CI90" s="44">
        <v>0.43</v>
      </c>
      <c r="CJ90" s="45">
        <v>0.39</v>
      </c>
      <c r="CK90" s="46">
        <v>0.41000000000000003</v>
      </c>
      <c r="CL90" s="44">
        <v>39.32</v>
      </c>
      <c r="CM90">
        <v>36.92</v>
      </c>
      <c r="CN90">
        <v>38.120000000000005</v>
      </c>
      <c r="CO90">
        <v>7.21</v>
      </c>
      <c r="CP90">
        <v>2.21</v>
      </c>
      <c r="CQ90">
        <v>4.71</v>
      </c>
    </row>
    <row r="91" spans="1:95">
      <c r="A91" s="223">
        <v>45378</v>
      </c>
      <c r="B91" s="90" t="s">
        <v>98</v>
      </c>
      <c r="C91" s="44">
        <v>152.57</v>
      </c>
      <c r="D91" s="45">
        <v>150.57</v>
      </c>
      <c r="E91" s="46">
        <v>151.57</v>
      </c>
      <c r="F91" s="44">
        <v>165.65</v>
      </c>
      <c r="G91" s="45">
        <v>162.65</v>
      </c>
      <c r="H91" s="46">
        <v>164.15</v>
      </c>
      <c r="I91" s="44">
        <v>113.15</v>
      </c>
      <c r="J91" s="45">
        <v>109.95</v>
      </c>
      <c r="K91" s="46">
        <v>111.55000000000001</v>
      </c>
      <c r="L91" s="45">
        <v>195.34</v>
      </c>
      <c r="M91" s="45">
        <v>187.34</v>
      </c>
      <c r="N91" s="45">
        <v>191.34</v>
      </c>
      <c r="O91" s="44">
        <v>168.55</v>
      </c>
      <c r="P91" s="45">
        <v>166.75</v>
      </c>
      <c r="Q91" s="46">
        <v>167.65</v>
      </c>
      <c r="R91" s="45">
        <v>22.3</v>
      </c>
      <c r="S91" s="45">
        <v>21.7</v>
      </c>
      <c r="T91" s="45">
        <v>22</v>
      </c>
      <c r="U91" s="44">
        <v>14.39</v>
      </c>
      <c r="V91" s="45">
        <v>13.790000000000001</v>
      </c>
      <c r="W91" s="46">
        <v>14.09</v>
      </c>
      <c r="X91" s="44">
        <v>14.71</v>
      </c>
      <c r="Y91" s="45">
        <v>13.91</v>
      </c>
      <c r="Z91" s="46">
        <v>14.31</v>
      </c>
      <c r="AA91" s="44">
        <v>100.88</v>
      </c>
      <c r="AB91" s="45">
        <v>96.88</v>
      </c>
      <c r="AC91" s="46">
        <v>98.88</v>
      </c>
      <c r="AD91" s="44">
        <v>92.97</v>
      </c>
      <c r="AE91" s="45">
        <v>88.97</v>
      </c>
      <c r="AF91" s="46">
        <v>90.97</v>
      </c>
      <c r="AG91" s="45">
        <v>19.8</v>
      </c>
      <c r="AH91" s="45">
        <v>18.940000000000001</v>
      </c>
      <c r="AI91" s="45">
        <v>19.37</v>
      </c>
      <c r="AJ91" s="47"/>
      <c r="AK91" s="48"/>
      <c r="AL91" s="49"/>
      <c r="AM91" s="45">
        <v>113.48</v>
      </c>
      <c r="AN91" s="45">
        <v>111.82000000000001</v>
      </c>
      <c r="AO91" s="45">
        <v>112.65</v>
      </c>
      <c r="AP91" s="44">
        <v>41.28</v>
      </c>
      <c r="AQ91" s="45">
        <v>39.68</v>
      </c>
      <c r="AR91" s="46">
        <v>40.480000000000004</v>
      </c>
      <c r="AS91" s="45">
        <v>42.02</v>
      </c>
      <c r="AT91" s="45">
        <v>40.660000000000004</v>
      </c>
      <c r="AU91" s="45">
        <v>41.34</v>
      </c>
      <c r="AV91" s="44">
        <v>21.21</v>
      </c>
      <c r="AW91" s="45">
        <v>20.61</v>
      </c>
      <c r="AX91" s="46">
        <v>20.91</v>
      </c>
      <c r="AY91" s="44">
        <v>4.25</v>
      </c>
      <c r="AZ91" s="45">
        <v>4.09</v>
      </c>
      <c r="BA91" s="46">
        <v>4.17</v>
      </c>
      <c r="BB91" s="44">
        <v>1.98</v>
      </c>
      <c r="BC91" s="50">
        <v>1.68</v>
      </c>
      <c r="BD91" s="51">
        <v>1.83</v>
      </c>
      <c r="BE91" s="45">
        <v>0.7</v>
      </c>
      <c r="BF91" s="50">
        <v>0.39999999999999997</v>
      </c>
      <c r="BG91" s="50">
        <v>0.54999999999999993</v>
      </c>
      <c r="BH91" s="44">
        <v>501.55</v>
      </c>
      <c r="BI91" s="45">
        <v>485.55</v>
      </c>
      <c r="BJ91" s="46">
        <v>493.55</v>
      </c>
      <c r="BK91" s="45">
        <v>42.31</v>
      </c>
      <c r="BL91" s="45">
        <v>40.950000000000003</v>
      </c>
      <c r="BM91" s="45">
        <v>41.63</v>
      </c>
      <c r="BN91" s="52">
        <v>1.08</v>
      </c>
      <c r="BO91" s="50">
        <v>0.84000000000000008</v>
      </c>
      <c r="BP91" s="51">
        <v>0.96000000000000008</v>
      </c>
      <c r="BQ91" s="45">
        <v>10.11</v>
      </c>
      <c r="BR91" s="45">
        <v>8.11</v>
      </c>
      <c r="BS91" s="45">
        <v>9.11</v>
      </c>
      <c r="BT91" s="44">
        <v>11.5</v>
      </c>
      <c r="BU91" s="45">
        <v>11.1</v>
      </c>
      <c r="BV91" s="46">
        <v>11.3</v>
      </c>
      <c r="BW91" s="44">
        <v>2.85</v>
      </c>
      <c r="BX91" s="50">
        <v>2.5700000000000003</v>
      </c>
      <c r="BY91" s="51">
        <v>2.71</v>
      </c>
      <c r="BZ91" s="44">
        <v>9.49</v>
      </c>
      <c r="CA91" s="45">
        <v>6.49</v>
      </c>
      <c r="CB91" s="46">
        <v>7.99</v>
      </c>
      <c r="CC91" s="44">
        <v>6.61</v>
      </c>
      <c r="CD91" s="45">
        <v>6.37</v>
      </c>
      <c r="CE91" s="46">
        <v>6.49</v>
      </c>
      <c r="CF91" s="44">
        <v>1.89</v>
      </c>
      <c r="CG91" s="45">
        <v>1.39</v>
      </c>
      <c r="CH91" s="46">
        <v>1.64</v>
      </c>
      <c r="CI91" s="44">
        <v>0.44</v>
      </c>
      <c r="CJ91" s="45">
        <v>0.4</v>
      </c>
      <c r="CK91" s="46">
        <v>0.42000000000000004</v>
      </c>
      <c r="CL91" s="44">
        <v>39.32</v>
      </c>
      <c r="CM91">
        <v>36.92</v>
      </c>
      <c r="CN91">
        <v>38.120000000000005</v>
      </c>
      <c r="CO91">
        <v>7.21</v>
      </c>
      <c r="CP91">
        <v>2.21</v>
      </c>
      <c r="CQ91">
        <v>4.71</v>
      </c>
    </row>
    <row r="92" spans="1:95">
      <c r="A92" s="223">
        <v>45379</v>
      </c>
      <c r="B92" s="90" t="s">
        <v>99</v>
      </c>
      <c r="C92" s="44">
        <v>152.52000000000001</v>
      </c>
      <c r="D92" s="45">
        <v>150.52000000000001</v>
      </c>
      <c r="E92" s="46">
        <v>151.52000000000001</v>
      </c>
      <c r="F92" s="44">
        <v>165.43</v>
      </c>
      <c r="G92" s="45">
        <v>162.43</v>
      </c>
      <c r="H92" s="46">
        <v>163.93</v>
      </c>
      <c r="I92" s="44">
        <v>113.11</v>
      </c>
      <c r="J92" s="45">
        <v>109.91</v>
      </c>
      <c r="K92" s="46">
        <v>111.50999999999999</v>
      </c>
      <c r="L92" s="45">
        <v>195.32</v>
      </c>
      <c r="M92" s="45">
        <v>187.32</v>
      </c>
      <c r="N92" s="45">
        <v>191.32</v>
      </c>
      <c r="O92" s="44">
        <v>168.09</v>
      </c>
      <c r="P92" s="45">
        <v>166.29</v>
      </c>
      <c r="Q92" s="46">
        <v>167.19</v>
      </c>
      <c r="R92" s="45">
        <v>22.28</v>
      </c>
      <c r="S92" s="45">
        <v>21.68</v>
      </c>
      <c r="T92" s="45">
        <v>21.98</v>
      </c>
      <c r="U92" s="44">
        <v>14.32</v>
      </c>
      <c r="V92" s="45">
        <v>13.72</v>
      </c>
      <c r="W92" s="46">
        <v>14.02</v>
      </c>
      <c r="X92" s="44">
        <v>14.66</v>
      </c>
      <c r="Y92" s="45">
        <v>13.86</v>
      </c>
      <c r="Z92" s="46">
        <v>14.26</v>
      </c>
      <c r="AA92" s="44">
        <v>100.78</v>
      </c>
      <c r="AB92" s="45">
        <v>96.78</v>
      </c>
      <c r="AC92" s="46">
        <v>98.78</v>
      </c>
      <c r="AD92" s="44">
        <v>92.7</v>
      </c>
      <c r="AE92" s="45">
        <v>88.7</v>
      </c>
      <c r="AF92" s="46">
        <v>90.7</v>
      </c>
      <c r="AG92" s="45">
        <v>19.8</v>
      </c>
      <c r="AH92" s="45">
        <v>18.940000000000001</v>
      </c>
      <c r="AI92" s="45">
        <v>19.37</v>
      </c>
      <c r="AJ92" s="47"/>
      <c r="AK92" s="48"/>
      <c r="AL92" s="49"/>
      <c r="AM92" s="45">
        <v>113.2</v>
      </c>
      <c r="AN92" s="45">
        <v>111.54</v>
      </c>
      <c r="AO92" s="45">
        <v>112.37</v>
      </c>
      <c r="AP92" s="44">
        <v>41.27</v>
      </c>
      <c r="AQ92" s="45">
        <v>39.67</v>
      </c>
      <c r="AR92" s="46">
        <v>40.47</v>
      </c>
      <c r="AS92" s="45">
        <v>42.01</v>
      </c>
      <c r="AT92" s="45">
        <v>40.65</v>
      </c>
      <c r="AU92" s="45">
        <v>41.33</v>
      </c>
      <c r="AV92" s="44">
        <v>21.18</v>
      </c>
      <c r="AW92" s="45">
        <v>20.58</v>
      </c>
      <c r="AX92" s="46">
        <v>20.88</v>
      </c>
      <c r="AY92" s="44">
        <v>4.2300000000000004</v>
      </c>
      <c r="AZ92" s="45">
        <v>4.07</v>
      </c>
      <c r="BA92" s="46">
        <v>4.1500000000000004</v>
      </c>
      <c r="BB92" s="44">
        <v>1.98</v>
      </c>
      <c r="BC92" s="50">
        <v>1.68</v>
      </c>
      <c r="BD92" s="51">
        <v>1.83</v>
      </c>
      <c r="BE92" s="45">
        <v>0.7</v>
      </c>
      <c r="BF92" s="50">
        <v>0.39999999999999997</v>
      </c>
      <c r="BG92" s="50">
        <v>0.54999999999999993</v>
      </c>
      <c r="BH92" s="44">
        <v>501.55</v>
      </c>
      <c r="BI92" s="45">
        <v>485.55</v>
      </c>
      <c r="BJ92" s="46">
        <v>493.55</v>
      </c>
      <c r="BK92" s="45">
        <v>42.31</v>
      </c>
      <c r="BL92" s="45">
        <v>40.950000000000003</v>
      </c>
      <c r="BM92" s="45">
        <v>41.63</v>
      </c>
      <c r="BN92" s="52">
        <v>1.08</v>
      </c>
      <c r="BO92" s="50">
        <v>0.84000000000000008</v>
      </c>
      <c r="BP92" s="51">
        <v>0.96000000000000008</v>
      </c>
      <c r="BQ92" s="45">
        <v>10.15</v>
      </c>
      <c r="BR92" s="45">
        <v>8.15</v>
      </c>
      <c r="BS92" s="45">
        <v>9.15</v>
      </c>
      <c r="BT92" s="44">
        <v>11.44</v>
      </c>
      <c r="BU92" s="45">
        <v>11.04</v>
      </c>
      <c r="BV92" s="46">
        <v>11.239999999999998</v>
      </c>
      <c r="BW92" s="44">
        <v>2.86</v>
      </c>
      <c r="BX92" s="50">
        <v>2.58</v>
      </c>
      <c r="BY92" s="51">
        <v>2.7199999999999998</v>
      </c>
      <c r="BZ92" s="44">
        <v>9.49</v>
      </c>
      <c r="CA92" s="45">
        <v>6.49</v>
      </c>
      <c r="CB92" s="46">
        <v>7.99</v>
      </c>
      <c r="CC92" s="44">
        <v>6.6</v>
      </c>
      <c r="CD92" s="45">
        <v>6.3599999999999994</v>
      </c>
      <c r="CE92" s="46">
        <v>6.4799999999999995</v>
      </c>
      <c r="CF92" s="44">
        <v>1.89</v>
      </c>
      <c r="CG92" s="45">
        <v>1.39</v>
      </c>
      <c r="CH92" s="46">
        <v>1.64</v>
      </c>
      <c r="CI92" s="44">
        <v>0.44</v>
      </c>
      <c r="CJ92" s="45">
        <v>0.4</v>
      </c>
      <c r="CK92" s="46">
        <v>0.42000000000000004</v>
      </c>
      <c r="CL92" s="44">
        <v>39.200000000000003</v>
      </c>
      <c r="CM92">
        <v>36.800000000000004</v>
      </c>
      <c r="CN92">
        <v>38</v>
      </c>
      <c r="CO92">
        <v>7.19</v>
      </c>
      <c r="CP92">
        <v>2.1900000000000004</v>
      </c>
      <c r="CQ92">
        <v>4.6900000000000004</v>
      </c>
    </row>
    <row r="93" spans="1:95">
      <c r="A93" s="223">
        <v>45380</v>
      </c>
      <c r="B93" s="90" t="s">
        <v>100</v>
      </c>
      <c r="C93" s="44">
        <v>152.41</v>
      </c>
      <c r="D93" s="45">
        <v>150.41</v>
      </c>
      <c r="E93" s="46">
        <v>151.41</v>
      </c>
      <c r="F93" s="44">
        <v>164.74</v>
      </c>
      <c r="G93" s="45">
        <v>161.74</v>
      </c>
      <c r="H93" s="46">
        <v>163.24</v>
      </c>
      <c r="I93" s="44">
        <v>113.41</v>
      </c>
      <c r="J93" s="45">
        <v>110.21</v>
      </c>
      <c r="K93" s="46">
        <v>111.81</v>
      </c>
      <c r="L93" s="45">
        <v>195.22</v>
      </c>
      <c r="M93" s="45">
        <v>187.22</v>
      </c>
      <c r="N93" s="45">
        <v>191.22</v>
      </c>
      <c r="O93" s="44">
        <v>168.82</v>
      </c>
      <c r="P93" s="45">
        <v>167.01999999999998</v>
      </c>
      <c r="Q93" s="46">
        <v>167.92</v>
      </c>
      <c r="R93" s="45">
        <v>22.18</v>
      </c>
      <c r="S93" s="45">
        <v>21.58</v>
      </c>
      <c r="T93" s="45">
        <v>21.88</v>
      </c>
      <c r="U93" s="44">
        <v>14.24</v>
      </c>
      <c r="V93" s="45">
        <v>13.64</v>
      </c>
      <c r="W93" s="46">
        <v>13.940000000000001</v>
      </c>
      <c r="X93" s="44">
        <v>14.55</v>
      </c>
      <c r="Y93" s="45">
        <v>13.75</v>
      </c>
      <c r="Z93" s="46">
        <v>14.15</v>
      </c>
      <c r="AA93" s="44">
        <v>100.61</v>
      </c>
      <c r="AB93" s="45">
        <v>96.61</v>
      </c>
      <c r="AC93" s="46">
        <v>98.61</v>
      </c>
      <c r="AD93" s="44">
        <v>92.5</v>
      </c>
      <c r="AE93" s="45">
        <v>88.5</v>
      </c>
      <c r="AF93" s="46">
        <v>90.5</v>
      </c>
      <c r="AG93" s="45">
        <v>19.77</v>
      </c>
      <c r="AH93" s="45">
        <v>18.91</v>
      </c>
      <c r="AI93" s="45">
        <v>19.34</v>
      </c>
      <c r="AJ93" s="47"/>
      <c r="AK93" s="48"/>
      <c r="AL93" s="49"/>
      <c r="AM93" s="45">
        <v>112.94</v>
      </c>
      <c r="AN93" s="45">
        <v>111.28</v>
      </c>
      <c r="AO93" s="45">
        <v>112.11</v>
      </c>
      <c r="AP93" s="44">
        <v>41.11</v>
      </c>
      <c r="AQ93" s="45">
        <v>39.51</v>
      </c>
      <c r="AR93" s="46">
        <v>40.31</v>
      </c>
      <c r="AS93" s="45">
        <v>41.98</v>
      </c>
      <c r="AT93" s="45">
        <v>40.619999999999997</v>
      </c>
      <c r="AU93" s="45">
        <v>41.3</v>
      </c>
      <c r="AV93" s="44">
        <v>21.13</v>
      </c>
      <c r="AW93" s="45">
        <v>20.529999999999998</v>
      </c>
      <c r="AX93" s="46">
        <v>20.83</v>
      </c>
      <c r="AY93" s="44">
        <v>4.24</v>
      </c>
      <c r="AZ93" s="45">
        <v>4.08</v>
      </c>
      <c r="BA93" s="46">
        <v>4.16</v>
      </c>
      <c r="BB93" s="44">
        <v>1.98</v>
      </c>
      <c r="BC93" s="50">
        <v>1.68</v>
      </c>
      <c r="BD93" s="51">
        <v>1.83</v>
      </c>
      <c r="BE93" s="45">
        <v>0.7</v>
      </c>
      <c r="BF93" s="50">
        <v>0.39999999999999997</v>
      </c>
      <c r="BG93" s="50">
        <v>0.54999999999999993</v>
      </c>
      <c r="BH93" s="44">
        <v>501.03</v>
      </c>
      <c r="BI93" s="45">
        <v>485.03</v>
      </c>
      <c r="BJ93" s="46">
        <v>493.03</v>
      </c>
      <c r="BK93" s="45">
        <v>42.28</v>
      </c>
      <c r="BL93" s="45">
        <v>40.92</v>
      </c>
      <c r="BM93" s="45">
        <v>41.6</v>
      </c>
      <c r="BN93" s="52">
        <v>1.08</v>
      </c>
      <c r="BO93" s="50">
        <v>0.84000000000000008</v>
      </c>
      <c r="BP93" s="51">
        <v>0.96000000000000008</v>
      </c>
      <c r="BQ93" s="45">
        <v>10.130000000000001</v>
      </c>
      <c r="BR93" s="45">
        <v>8.1300000000000008</v>
      </c>
      <c r="BS93" s="45">
        <v>9.1300000000000008</v>
      </c>
      <c r="BT93" s="44">
        <v>11.45</v>
      </c>
      <c r="BU93" s="45">
        <v>11.049999999999999</v>
      </c>
      <c r="BV93" s="46">
        <v>11.25</v>
      </c>
      <c r="BW93" s="44">
        <v>2.85</v>
      </c>
      <c r="BX93" s="50">
        <v>2.5700000000000003</v>
      </c>
      <c r="BY93" s="51">
        <v>2.71</v>
      </c>
      <c r="BZ93" s="44">
        <v>9.49</v>
      </c>
      <c r="CA93" s="45">
        <v>6.49</v>
      </c>
      <c r="CB93" s="46">
        <v>7.99</v>
      </c>
      <c r="CC93" s="44">
        <v>6.59</v>
      </c>
      <c r="CD93" s="45">
        <v>6.35</v>
      </c>
      <c r="CE93" s="46">
        <v>6.47</v>
      </c>
      <c r="CF93" s="44">
        <v>1.89</v>
      </c>
      <c r="CG93" s="45">
        <v>1.39</v>
      </c>
      <c r="CH93" s="46">
        <v>1.64</v>
      </c>
      <c r="CI93" s="44">
        <v>0.43</v>
      </c>
      <c r="CJ93" s="45">
        <v>0.39</v>
      </c>
      <c r="CK93" s="46">
        <v>0.41000000000000003</v>
      </c>
      <c r="CL93" s="44">
        <v>39.17</v>
      </c>
      <c r="CM93">
        <v>36.770000000000003</v>
      </c>
      <c r="CN93">
        <v>37.97</v>
      </c>
      <c r="CO93">
        <v>7.18</v>
      </c>
      <c r="CP93">
        <v>2.1799999999999997</v>
      </c>
      <c r="CQ93">
        <v>4.68</v>
      </c>
    </row>
    <row r="94" spans="1:95">
      <c r="A94" s="223">
        <v>45381</v>
      </c>
      <c r="B94" s="90" t="s">
        <v>307</v>
      </c>
      <c r="C94" s="44"/>
      <c r="D94" s="45"/>
      <c r="E94" s="46"/>
      <c r="F94" s="44"/>
      <c r="G94" s="45"/>
      <c r="H94" s="46"/>
      <c r="I94" s="44"/>
      <c r="J94" s="45"/>
      <c r="K94" s="46"/>
      <c r="L94" s="45"/>
      <c r="M94" s="45"/>
      <c r="N94" s="45"/>
      <c r="O94" s="44"/>
      <c r="P94" s="45"/>
      <c r="Q94" s="46"/>
      <c r="R94" s="45"/>
      <c r="S94" s="45"/>
      <c r="T94" s="45"/>
      <c r="U94" s="44"/>
      <c r="V94" s="45"/>
      <c r="W94" s="46"/>
      <c r="X94" s="44"/>
      <c r="Y94" s="45"/>
      <c r="Z94" s="46"/>
      <c r="AA94" s="44"/>
      <c r="AB94" s="45"/>
      <c r="AC94" s="46"/>
      <c r="AD94" s="44"/>
      <c r="AE94" s="45"/>
      <c r="AF94" s="46"/>
      <c r="AG94" s="45"/>
      <c r="AH94" s="45"/>
      <c r="AI94" s="45"/>
      <c r="AJ94" s="47"/>
      <c r="AK94" s="48"/>
      <c r="AL94" s="49"/>
      <c r="AM94" s="45"/>
      <c r="AN94" s="45"/>
      <c r="AO94" s="45"/>
      <c r="AP94" s="44"/>
      <c r="AQ94" s="45"/>
      <c r="AR94" s="46"/>
      <c r="AS94" s="45"/>
      <c r="AT94" s="45"/>
      <c r="AU94" s="45"/>
      <c r="AV94" s="44"/>
      <c r="AW94" s="45"/>
      <c r="AX94" s="46"/>
      <c r="AY94" s="44"/>
      <c r="AZ94" s="45"/>
      <c r="BA94" s="46"/>
      <c r="BB94" s="44"/>
      <c r="BC94" s="50"/>
      <c r="BD94" s="51"/>
      <c r="BE94" s="45"/>
      <c r="BF94" s="50"/>
      <c r="BG94" s="50"/>
      <c r="BH94" s="44"/>
      <c r="BI94" s="45"/>
      <c r="BJ94" s="46"/>
      <c r="BK94" s="45"/>
      <c r="BL94" s="45"/>
      <c r="BM94" s="45"/>
      <c r="BN94" s="52"/>
      <c r="BO94" s="50"/>
      <c r="BP94" s="51"/>
      <c r="BQ94" s="45"/>
      <c r="BR94" s="45"/>
      <c r="BS94" s="45"/>
      <c r="BT94" s="44"/>
      <c r="BU94" s="45"/>
      <c r="BV94" s="46"/>
      <c r="BW94" s="44"/>
      <c r="BX94" s="50"/>
      <c r="BY94" s="51"/>
      <c r="BZ94" s="44"/>
      <c r="CA94" s="45"/>
      <c r="CB94" s="46"/>
      <c r="CC94" s="44"/>
      <c r="CD94" s="45"/>
      <c r="CE94" s="46"/>
      <c r="CF94" s="44"/>
      <c r="CG94" s="45"/>
      <c r="CH94" s="46"/>
      <c r="CI94" s="44"/>
      <c r="CJ94" s="45"/>
      <c r="CK94" s="46"/>
      <c r="CL94" s="44"/>
    </row>
    <row r="95" spans="1:95">
      <c r="A95" s="223">
        <v>45382</v>
      </c>
      <c r="B95" s="90" t="s">
        <v>308</v>
      </c>
      <c r="C95" s="44"/>
      <c r="D95" s="45"/>
      <c r="E95" s="46"/>
      <c r="F95" s="44"/>
      <c r="G95" s="45"/>
      <c r="H95" s="46"/>
      <c r="I95" s="44"/>
      <c r="J95" s="45"/>
      <c r="K95" s="46"/>
      <c r="L95" s="45"/>
      <c r="M95" s="45"/>
      <c r="N95" s="45"/>
      <c r="O95" s="44"/>
      <c r="P95" s="45"/>
      <c r="Q95" s="46"/>
      <c r="R95" s="45"/>
      <c r="S95" s="45"/>
      <c r="T95" s="45"/>
      <c r="U95" s="44"/>
      <c r="V95" s="45"/>
      <c r="W95" s="46"/>
      <c r="X95" s="44"/>
      <c r="Y95" s="45"/>
      <c r="Z95" s="46"/>
      <c r="AA95" s="44"/>
      <c r="AB95" s="45"/>
      <c r="AC95" s="46"/>
      <c r="AD95" s="44"/>
      <c r="AE95" s="45"/>
      <c r="AF95" s="46"/>
      <c r="AG95" s="45"/>
      <c r="AH95" s="45"/>
      <c r="AI95" s="45"/>
      <c r="AJ95" s="47"/>
      <c r="AK95" s="48"/>
      <c r="AL95" s="49"/>
      <c r="AM95" s="45"/>
      <c r="AN95" s="45"/>
      <c r="AO95" s="45"/>
      <c r="AP95" s="44"/>
      <c r="AQ95" s="45"/>
      <c r="AR95" s="46"/>
      <c r="AS95" s="45"/>
      <c r="AT95" s="45"/>
      <c r="AU95" s="45"/>
      <c r="AV95" s="44"/>
      <c r="AW95" s="45"/>
      <c r="AX95" s="46"/>
      <c r="AY95" s="44"/>
      <c r="AZ95" s="45"/>
      <c r="BA95" s="46"/>
      <c r="BB95" s="44"/>
      <c r="BC95" s="50"/>
      <c r="BD95" s="51"/>
      <c r="BE95" s="45"/>
      <c r="BF95" s="50"/>
      <c r="BG95" s="50"/>
      <c r="BH95" s="44"/>
      <c r="BI95" s="45"/>
      <c r="BJ95" s="46"/>
      <c r="BK95" s="45"/>
      <c r="BL95" s="45"/>
      <c r="BM95" s="45"/>
      <c r="BN95" s="52"/>
      <c r="BO95" s="50"/>
      <c r="BP95" s="51"/>
      <c r="BQ95" s="45"/>
      <c r="BR95" s="45"/>
      <c r="BS95" s="45"/>
      <c r="BT95" s="44"/>
      <c r="BU95" s="45"/>
      <c r="BV95" s="46"/>
      <c r="BW95" s="44"/>
      <c r="BX95" s="50"/>
      <c r="BY95" s="51"/>
      <c r="BZ95" s="44"/>
      <c r="CA95" s="45"/>
      <c r="CB95" s="46"/>
      <c r="CC95" s="44"/>
      <c r="CD95" s="45"/>
      <c r="CE95" s="46"/>
      <c r="CF95" s="44"/>
      <c r="CG95" s="45"/>
      <c r="CH95" s="46"/>
      <c r="CI95" s="44"/>
      <c r="CJ95" s="45"/>
      <c r="CK95" s="46"/>
      <c r="CL95" s="44"/>
    </row>
    <row r="96" spans="1:95">
      <c r="A96" s="223">
        <v>45383</v>
      </c>
      <c r="B96" s="90" t="s">
        <v>96</v>
      </c>
      <c r="C96" s="44">
        <v>152.43</v>
      </c>
      <c r="D96" s="45">
        <v>150.43</v>
      </c>
      <c r="E96" s="46">
        <v>151.43</v>
      </c>
      <c r="F96" s="44">
        <v>164.92</v>
      </c>
      <c r="G96" s="45">
        <v>161.91999999999999</v>
      </c>
      <c r="H96" s="46">
        <v>163.41999999999999</v>
      </c>
      <c r="I96" s="44">
        <v>113.6</v>
      </c>
      <c r="J96" s="45">
        <v>110.39999999999999</v>
      </c>
      <c r="K96" s="46">
        <v>112</v>
      </c>
      <c r="L96" s="45">
        <v>195.35</v>
      </c>
      <c r="M96" s="45">
        <v>187.35</v>
      </c>
      <c r="N96" s="45">
        <v>191.35</v>
      </c>
      <c r="O96" s="44">
        <v>168.82</v>
      </c>
      <c r="P96" s="45">
        <v>167.01999999999998</v>
      </c>
      <c r="Q96" s="46">
        <v>167.92</v>
      </c>
      <c r="R96" s="45">
        <v>22.21</v>
      </c>
      <c r="S96" s="45">
        <v>21.61</v>
      </c>
      <c r="T96" s="45">
        <v>21.91</v>
      </c>
      <c r="U96" s="44">
        <v>14.27</v>
      </c>
      <c r="V96" s="45">
        <v>13.67</v>
      </c>
      <c r="W96" s="46">
        <v>13.969999999999999</v>
      </c>
      <c r="X96" s="44">
        <v>14.58</v>
      </c>
      <c r="Y96" s="45">
        <v>13.78</v>
      </c>
      <c r="Z96" s="46">
        <v>14.18</v>
      </c>
      <c r="AA96" s="44">
        <v>100.96</v>
      </c>
      <c r="AB96" s="45">
        <v>96.96</v>
      </c>
      <c r="AC96" s="46">
        <v>98.96</v>
      </c>
      <c r="AD96" s="44">
        <v>92.74</v>
      </c>
      <c r="AE96" s="45">
        <v>88.74</v>
      </c>
      <c r="AF96" s="46">
        <v>90.74</v>
      </c>
      <c r="AG96" s="45">
        <v>19.78</v>
      </c>
      <c r="AH96" s="45">
        <v>18.920000000000002</v>
      </c>
      <c r="AI96" s="45">
        <v>19.350000000000001</v>
      </c>
      <c r="AJ96" s="47"/>
      <c r="AK96" s="48"/>
      <c r="AL96" s="49"/>
      <c r="AM96" s="45">
        <v>113.18</v>
      </c>
      <c r="AN96" s="45">
        <v>111.52000000000001</v>
      </c>
      <c r="AO96" s="45">
        <v>112.35000000000001</v>
      </c>
      <c r="AP96" s="44">
        <v>41.24</v>
      </c>
      <c r="AQ96" s="45">
        <v>39.64</v>
      </c>
      <c r="AR96" s="46">
        <v>40.44</v>
      </c>
      <c r="AS96" s="45">
        <v>41.99</v>
      </c>
      <c r="AT96" s="45">
        <v>40.630000000000003</v>
      </c>
      <c r="AU96" s="45">
        <v>41.31</v>
      </c>
      <c r="AV96" s="44">
        <v>21.18</v>
      </c>
      <c r="AW96" s="45">
        <v>20.58</v>
      </c>
      <c r="AX96" s="46">
        <v>20.88</v>
      </c>
      <c r="AY96" s="44">
        <v>4.25</v>
      </c>
      <c r="AZ96" s="45">
        <v>4.09</v>
      </c>
      <c r="BA96" s="46">
        <v>4.17</v>
      </c>
      <c r="BB96" s="44">
        <v>1.98</v>
      </c>
      <c r="BC96" s="50">
        <v>1.68</v>
      </c>
      <c r="BD96" s="51">
        <v>1.83</v>
      </c>
      <c r="BE96" s="45">
        <v>0.7</v>
      </c>
      <c r="BF96" s="50">
        <v>0.39999999999999997</v>
      </c>
      <c r="BG96" s="50">
        <v>0.54999999999999993</v>
      </c>
      <c r="BH96" s="44">
        <v>501.1</v>
      </c>
      <c r="BI96" s="45">
        <v>485.1</v>
      </c>
      <c r="BJ96" s="46">
        <v>493.1</v>
      </c>
      <c r="BK96" s="45">
        <v>42.28</v>
      </c>
      <c r="BL96" s="45">
        <v>40.92</v>
      </c>
      <c r="BM96" s="45">
        <v>41.6</v>
      </c>
      <c r="BN96" s="52">
        <v>1.08</v>
      </c>
      <c r="BO96" s="50">
        <v>0.84000000000000008</v>
      </c>
      <c r="BP96" s="51">
        <v>0.96000000000000008</v>
      </c>
      <c r="BQ96" s="45">
        <v>10.15</v>
      </c>
      <c r="BR96" s="45">
        <v>8.15</v>
      </c>
      <c r="BS96" s="45">
        <v>9.15</v>
      </c>
      <c r="BT96" s="44">
        <v>11.47</v>
      </c>
      <c r="BU96" s="45">
        <v>11.07</v>
      </c>
      <c r="BV96" s="46">
        <v>11.27</v>
      </c>
      <c r="BW96" s="44">
        <v>2.85</v>
      </c>
      <c r="BX96" s="50">
        <v>2.5700000000000003</v>
      </c>
      <c r="BY96" s="51">
        <v>2.71</v>
      </c>
      <c r="BZ96" s="44">
        <v>9.5299999999999994</v>
      </c>
      <c r="CA96" s="45">
        <v>6.5299999999999994</v>
      </c>
      <c r="CB96" s="46">
        <v>8.0299999999999994</v>
      </c>
      <c r="CC96" s="44">
        <v>6.6</v>
      </c>
      <c r="CD96" s="45">
        <v>6.3599999999999994</v>
      </c>
      <c r="CE96" s="46">
        <v>6.4799999999999995</v>
      </c>
      <c r="CF96" s="44">
        <v>1.89</v>
      </c>
      <c r="CG96" s="45">
        <v>1.39</v>
      </c>
      <c r="CH96" s="46">
        <v>1.64</v>
      </c>
      <c r="CI96" s="44">
        <v>0.44</v>
      </c>
      <c r="CJ96" s="45">
        <v>0.4</v>
      </c>
      <c r="CK96" s="46">
        <v>0.42000000000000004</v>
      </c>
      <c r="CL96" s="44">
        <v>39.25</v>
      </c>
      <c r="CM96">
        <v>36.85</v>
      </c>
      <c r="CN96">
        <v>38.049999999999997</v>
      </c>
      <c r="CO96">
        <v>7.18</v>
      </c>
      <c r="CP96">
        <v>2.1799999999999997</v>
      </c>
      <c r="CQ96">
        <v>4.68</v>
      </c>
    </row>
    <row r="97" spans="1:95">
      <c r="A97" s="223">
        <v>45384</v>
      </c>
      <c r="B97" s="90" t="s">
        <v>97</v>
      </c>
      <c r="C97" s="44">
        <v>152.76</v>
      </c>
      <c r="D97" s="45">
        <v>150.76</v>
      </c>
      <c r="E97" s="46">
        <v>151.76</v>
      </c>
      <c r="F97" s="44">
        <v>164.48</v>
      </c>
      <c r="G97" s="45">
        <v>161.47999999999999</v>
      </c>
      <c r="H97" s="46">
        <v>162.97999999999999</v>
      </c>
      <c r="I97" s="44">
        <v>113.4</v>
      </c>
      <c r="J97" s="45">
        <v>110.2</v>
      </c>
      <c r="K97" s="46">
        <v>111.80000000000001</v>
      </c>
      <c r="L97" s="45">
        <v>194.4</v>
      </c>
      <c r="M97" s="45">
        <v>186.4</v>
      </c>
      <c r="N97" s="45">
        <v>190.4</v>
      </c>
      <c r="O97" s="44">
        <v>168.54</v>
      </c>
      <c r="P97" s="45">
        <v>166.73999999999998</v>
      </c>
      <c r="Q97" s="46">
        <v>167.64</v>
      </c>
      <c r="R97" s="45">
        <v>22.15</v>
      </c>
      <c r="S97" s="45">
        <v>21.549999999999997</v>
      </c>
      <c r="T97" s="45">
        <v>21.849999999999998</v>
      </c>
      <c r="U97" s="44">
        <v>14.14</v>
      </c>
      <c r="V97" s="45">
        <v>13.540000000000001</v>
      </c>
      <c r="W97" s="46">
        <v>13.84</v>
      </c>
      <c r="X97" s="44">
        <v>14.45</v>
      </c>
      <c r="Y97" s="45">
        <v>13.649999999999999</v>
      </c>
      <c r="Z97" s="46">
        <v>14.049999999999999</v>
      </c>
      <c r="AA97" s="44">
        <v>100.51</v>
      </c>
      <c r="AB97" s="45">
        <v>96.51</v>
      </c>
      <c r="AC97" s="46">
        <v>98.51</v>
      </c>
      <c r="AD97" s="44">
        <v>92.27</v>
      </c>
      <c r="AE97" s="45">
        <v>88.27</v>
      </c>
      <c r="AF97" s="46">
        <v>90.27</v>
      </c>
      <c r="AG97" s="45">
        <v>19.82</v>
      </c>
      <c r="AH97" s="45">
        <v>18.96</v>
      </c>
      <c r="AI97" s="45">
        <v>19.39</v>
      </c>
      <c r="AJ97" s="47"/>
      <c r="AK97" s="48"/>
      <c r="AL97" s="49"/>
      <c r="AM97" s="45">
        <v>113.01</v>
      </c>
      <c r="AN97" s="45">
        <v>111.35000000000001</v>
      </c>
      <c r="AO97" s="45">
        <v>112.18</v>
      </c>
      <c r="AP97" s="44">
        <v>41.32</v>
      </c>
      <c r="AQ97" s="45">
        <v>39.72</v>
      </c>
      <c r="AR97" s="46">
        <v>40.519999999999996</v>
      </c>
      <c r="AS97" s="45">
        <v>42.08</v>
      </c>
      <c r="AT97" s="45">
        <v>40.72</v>
      </c>
      <c r="AU97" s="45">
        <v>41.4</v>
      </c>
      <c r="AV97" s="44">
        <v>21.2</v>
      </c>
      <c r="AW97" s="45">
        <v>20.599999999999998</v>
      </c>
      <c r="AX97" s="46">
        <v>20.9</v>
      </c>
      <c r="AY97" s="44">
        <v>4.2300000000000004</v>
      </c>
      <c r="AZ97" s="45">
        <v>4.07</v>
      </c>
      <c r="BA97" s="46">
        <v>4.1500000000000004</v>
      </c>
      <c r="BB97" s="44">
        <v>1.98</v>
      </c>
      <c r="BC97" s="50">
        <v>1.68</v>
      </c>
      <c r="BD97" s="51">
        <v>1.83</v>
      </c>
      <c r="BE97" s="45">
        <v>0.7</v>
      </c>
      <c r="BF97" s="50">
        <v>0.39999999999999997</v>
      </c>
      <c r="BG97" s="50">
        <v>0.54999999999999993</v>
      </c>
      <c r="BH97" s="44">
        <v>502.01</v>
      </c>
      <c r="BI97" s="45">
        <v>486.01</v>
      </c>
      <c r="BJ97" s="46">
        <v>494.01</v>
      </c>
      <c r="BK97" s="45">
        <v>42.38</v>
      </c>
      <c r="BL97" s="45">
        <v>41.02</v>
      </c>
      <c r="BM97" s="45">
        <v>41.7</v>
      </c>
      <c r="BN97" s="52">
        <v>1.08</v>
      </c>
      <c r="BO97" s="50">
        <v>0.84000000000000008</v>
      </c>
      <c r="BP97" s="51">
        <v>0.96000000000000008</v>
      </c>
      <c r="BQ97" s="45">
        <v>10.14</v>
      </c>
      <c r="BR97" s="45">
        <v>8.14</v>
      </c>
      <c r="BS97" s="45">
        <v>9.14</v>
      </c>
      <c r="BT97" s="44">
        <v>11.42</v>
      </c>
      <c r="BU97" s="45">
        <v>11.02</v>
      </c>
      <c r="BV97" s="46">
        <v>11.219999999999999</v>
      </c>
      <c r="BW97" s="44">
        <v>2.86</v>
      </c>
      <c r="BX97" s="50">
        <v>2.58</v>
      </c>
      <c r="BY97" s="51">
        <v>2.7199999999999998</v>
      </c>
      <c r="BZ97" s="44">
        <v>9.52</v>
      </c>
      <c r="CA97" s="45">
        <v>6.52</v>
      </c>
      <c r="CB97" s="46">
        <v>8.02</v>
      </c>
      <c r="CC97" s="44">
        <v>6.58</v>
      </c>
      <c r="CD97" s="45">
        <v>6.34</v>
      </c>
      <c r="CE97" s="46">
        <v>6.46</v>
      </c>
      <c r="CF97" s="44">
        <v>1.9</v>
      </c>
      <c r="CG97" s="45">
        <v>1.4</v>
      </c>
      <c r="CH97" s="46">
        <v>1.65</v>
      </c>
      <c r="CI97" s="44">
        <v>0.43</v>
      </c>
      <c r="CJ97" s="45">
        <v>0.39</v>
      </c>
      <c r="CK97" s="46">
        <v>0.41000000000000003</v>
      </c>
      <c r="CL97" s="44">
        <v>39.17</v>
      </c>
      <c r="CM97">
        <v>36.770000000000003</v>
      </c>
      <c r="CN97">
        <v>37.97</v>
      </c>
      <c r="CO97">
        <v>7.2</v>
      </c>
      <c r="CP97">
        <v>2.2000000000000002</v>
      </c>
      <c r="CQ97">
        <v>4.7</v>
      </c>
    </row>
    <row r="98" spans="1:95">
      <c r="A98" s="223">
        <v>45385</v>
      </c>
      <c r="B98" s="90" t="s">
        <v>98</v>
      </c>
      <c r="C98" s="44">
        <v>152.6</v>
      </c>
      <c r="D98" s="45">
        <v>150.6</v>
      </c>
      <c r="E98" s="46">
        <v>151.6</v>
      </c>
      <c r="F98" s="44">
        <v>164.8</v>
      </c>
      <c r="G98" s="45">
        <v>161.80000000000001</v>
      </c>
      <c r="H98" s="46">
        <v>163.30000000000001</v>
      </c>
      <c r="I98" s="44">
        <v>113.35</v>
      </c>
      <c r="J98" s="45">
        <v>110.14999999999999</v>
      </c>
      <c r="K98" s="46">
        <v>111.75</v>
      </c>
      <c r="L98" s="45">
        <v>194.64</v>
      </c>
      <c r="M98" s="45">
        <v>186.64</v>
      </c>
      <c r="N98" s="45">
        <v>190.64</v>
      </c>
      <c r="O98" s="44">
        <v>167.84</v>
      </c>
      <c r="P98" s="45">
        <v>166.04</v>
      </c>
      <c r="Q98" s="46">
        <v>166.94</v>
      </c>
      <c r="R98" s="45">
        <v>22.19</v>
      </c>
      <c r="S98" s="45">
        <v>21.59</v>
      </c>
      <c r="T98" s="45">
        <v>21.89</v>
      </c>
      <c r="U98" s="44">
        <v>14.29</v>
      </c>
      <c r="V98" s="45">
        <v>13.69</v>
      </c>
      <c r="W98" s="46">
        <v>13.989999999999998</v>
      </c>
      <c r="X98" s="44">
        <v>14.51</v>
      </c>
      <c r="Y98" s="45">
        <v>13.709999999999999</v>
      </c>
      <c r="Z98" s="46">
        <v>14.11</v>
      </c>
      <c r="AA98" s="44">
        <v>100.71</v>
      </c>
      <c r="AB98" s="45">
        <v>96.71</v>
      </c>
      <c r="AC98" s="46">
        <v>98.71</v>
      </c>
      <c r="AD98" s="44">
        <v>92.41</v>
      </c>
      <c r="AE98" s="45">
        <v>88.41</v>
      </c>
      <c r="AF98" s="46">
        <v>90.41</v>
      </c>
      <c r="AG98" s="45">
        <v>19.79</v>
      </c>
      <c r="AH98" s="45">
        <v>18.93</v>
      </c>
      <c r="AI98" s="45">
        <v>19.36</v>
      </c>
      <c r="AJ98" s="47"/>
      <c r="AK98" s="48"/>
      <c r="AL98" s="49"/>
      <c r="AM98" s="45">
        <v>113.02</v>
      </c>
      <c r="AN98" s="45">
        <v>111.36</v>
      </c>
      <c r="AO98" s="45">
        <v>112.19</v>
      </c>
      <c r="AP98" s="44">
        <v>41.18</v>
      </c>
      <c r="AQ98" s="45">
        <v>39.58</v>
      </c>
      <c r="AR98" s="46">
        <v>40.379999999999995</v>
      </c>
      <c r="AS98" s="45">
        <v>42.03</v>
      </c>
      <c r="AT98" s="45">
        <v>40.67</v>
      </c>
      <c r="AU98" s="45">
        <v>41.35</v>
      </c>
      <c r="AV98" s="44">
        <v>21.2</v>
      </c>
      <c r="AW98" s="45">
        <v>20.599999999999998</v>
      </c>
      <c r="AX98" s="46">
        <v>20.9</v>
      </c>
      <c r="AY98" s="44">
        <v>4.22</v>
      </c>
      <c r="AZ98" s="45">
        <v>4.0599999999999996</v>
      </c>
      <c r="BA98" s="46">
        <v>4.1399999999999997</v>
      </c>
      <c r="BB98" s="44">
        <v>1.98</v>
      </c>
      <c r="BC98" s="50">
        <v>1.68</v>
      </c>
      <c r="BD98" s="51">
        <v>1.83</v>
      </c>
      <c r="BE98" s="45">
        <v>0.7</v>
      </c>
      <c r="BF98" s="50">
        <v>0.39999999999999997</v>
      </c>
      <c r="BG98" s="50">
        <v>0.54999999999999993</v>
      </c>
      <c r="BH98" s="44">
        <v>501.65</v>
      </c>
      <c r="BI98" s="45">
        <v>485.65</v>
      </c>
      <c r="BJ98" s="46">
        <v>493.65</v>
      </c>
      <c r="BK98" s="45">
        <v>42.34</v>
      </c>
      <c r="BL98" s="45">
        <v>40.980000000000004</v>
      </c>
      <c r="BM98" s="45">
        <v>41.660000000000004</v>
      </c>
      <c r="BN98" s="52">
        <v>1.08</v>
      </c>
      <c r="BO98" s="50">
        <v>0.84000000000000008</v>
      </c>
      <c r="BP98" s="51">
        <v>0.96000000000000008</v>
      </c>
      <c r="BQ98" s="45">
        <v>10.15</v>
      </c>
      <c r="BR98" s="45">
        <v>8.15</v>
      </c>
      <c r="BS98" s="45">
        <v>9.15</v>
      </c>
      <c r="BT98" s="44">
        <v>11.45</v>
      </c>
      <c r="BU98" s="45">
        <v>11.049999999999999</v>
      </c>
      <c r="BV98" s="46">
        <v>11.25</v>
      </c>
      <c r="BW98" s="44">
        <v>2.85</v>
      </c>
      <c r="BX98" s="50">
        <v>2.5700000000000003</v>
      </c>
      <c r="BY98" s="51">
        <v>2.71</v>
      </c>
      <c r="BZ98" s="44">
        <v>9.57</v>
      </c>
      <c r="CA98" s="45">
        <v>6.57</v>
      </c>
      <c r="CB98" s="46">
        <v>8.07</v>
      </c>
      <c r="CC98" s="44">
        <v>6.58</v>
      </c>
      <c r="CD98" s="45">
        <v>6.34</v>
      </c>
      <c r="CE98" s="46">
        <v>6.46</v>
      </c>
      <c r="CF98" s="44">
        <v>1.89</v>
      </c>
      <c r="CG98" s="45">
        <v>1.39</v>
      </c>
      <c r="CH98" s="46">
        <v>1.64</v>
      </c>
      <c r="CI98" s="44">
        <v>0.43</v>
      </c>
      <c r="CJ98" s="45">
        <v>0.39</v>
      </c>
      <c r="CK98" s="46">
        <v>0.41000000000000003</v>
      </c>
      <c r="CL98" s="44">
        <v>39.229999999999997</v>
      </c>
      <c r="CM98">
        <v>36.83</v>
      </c>
      <c r="CN98">
        <v>38.03</v>
      </c>
      <c r="CO98">
        <v>7.22</v>
      </c>
      <c r="CP98">
        <v>2.2199999999999998</v>
      </c>
      <c r="CQ98">
        <v>4.72</v>
      </c>
    </row>
    <row r="99" spans="1:95">
      <c r="A99" s="223">
        <v>45386</v>
      </c>
      <c r="B99" s="90" t="s">
        <v>99</v>
      </c>
      <c r="C99" s="44">
        <v>152.74</v>
      </c>
      <c r="D99" s="45">
        <v>150.74</v>
      </c>
      <c r="E99" s="46">
        <v>151.74</v>
      </c>
      <c r="F99" s="44">
        <v>166.02</v>
      </c>
      <c r="G99" s="45">
        <v>163.02000000000001</v>
      </c>
      <c r="H99" s="46">
        <v>164.52</v>
      </c>
      <c r="I99" s="44">
        <v>113.85</v>
      </c>
      <c r="J99" s="45">
        <v>110.64999999999999</v>
      </c>
      <c r="K99" s="46">
        <v>112.25</v>
      </c>
      <c r="L99" s="45">
        <v>195.98</v>
      </c>
      <c r="M99" s="45">
        <v>187.98</v>
      </c>
      <c r="N99" s="45">
        <v>191.98</v>
      </c>
      <c r="O99" s="44">
        <v>168.92</v>
      </c>
      <c r="P99" s="45">
        <v>167.11999999999998</v>
      </c>
      <c r="Q99" s="46">
        <v>168.01999999999998</v>
      </c>
      <c r="R99" s="45">
        <v>22.35</v>
      </c>
      <c r="S99" s="45">
        <v>21.75</v>
      </c>
      <c r="T99" s="45">
        <v>22.05</v>
      </c>
      <c r="U99" s="44">
        <v>14.47</v>
      </c>
      <c r="V99" s="45">
        <v>13.870000000000001</v>
      </c>
      <c r="W99" s="46">
        <v>14.170000000000002</v>
      </c>
      <c r="X99" s="44">
        <v>14.67</v>
      </c>
      <c r="Y99" s="45">
        <v>13.87</v>
      </c>
      <c r="Z99" s="46">
        <v>14.27</v>
      </c>
      <c r="AA99" s="44">
        <v>101.77</v>
      </c>
      <c r="AB99" s="45">
        <v>97.77</v>
      </c>
      <c r="AC99" s="46">
        <v>99.77</v>
      </c>
      <c r="AD99" s="44">
        <v>93.41</v>
      </c>
      <c r="AE99" s="45">
        <v>89.41</v>
      </c>
      <c r="AF99" s="46">
        <v>91.41</v>
      </c>
      <c r="AG99" s="45">
        <v>19.809999999999999</v>
      </c>
      <c r="AH99" s="45">
        <v>18.95</v>
      </c>
      <c r="AI99" s="45">
        <v>19.38</v>
      </c>
      <c r="AJ99" s="47"/>
      <c r="AK99" s="48"/>
      <c r="AL99" s="49"/>
      <c r="AM99" s="45">
        <v>113.41</v>
      </c>
      <c r="AN99" s="45">
        <v>111.75</v>
      </c>
      <c r="AO99" s="45">
        <v>112.58</v>
      </c>
      <c r="AP99" s="44">
        <v>41.32</v>
      </c>
      <c r="AQ99" s="45">
        <v>39.72</v>
      </c>
      <c r="AR99" s="46">
        <v>40.519999999999996</v>
      </c>
      <c r="AS99" s="45">
        <v>42.07</v>
      </c>
      <c r="AT99" s="45">
        <v>40.71</v>
      </c>
      <c r="AU99" s="45">
        <v>41.39</v>
      </c>
      <c r="AV99" s="44">
        <v>21.23</v>
      </c>
      <c r="AW99" s="45">
        <v>20.63</v>
      </c>
      <c r="AX99" s="46">
        <v>20.93</v>
      </c>
      <c r="AY99" s="44">
        <v>4.2300000000000004</v>
      </c>
      <c r="AZ99" s="45">
        <v>4.07</v>
      </c>
      <c r="BA99" s="46">
        <v>4.1500000000000004</v>
      </c>
      <c r="BB99" s="44">
        <v>1.98</v>
      </c>
      <c r="BC99" s="50">
        <v>1.68</v>
      </c>
      <c r="BD99" s="51">
        <v>1.83</v>
      </c>
      <c r="BE99" s="45">
        <v>0.7</v>
      </c>
      <c r="BF99" s="50">
        <v>0.39999999999999997</v>
      </c>
      <c r="BG99" s="50">
        <v>0.54999999999999993</v>
      </c>
      <c r="BH99" s="44">
        <v>502.43</v>
      </c>
      <c r="BI99" s="45">
        <v>486.43</v>
      </c>
      <c r="BJ99" s="46">
        <v>494.43</v>
      </c>
      <c r="BK99" s="45">
        <v>42.38</v>
      </c>
      <c r="BL99" s="45">
        <v>41.02</v>
      </c>
      <c r="BM99" s="45">
        <v>41.7</v>
      </c>
      <c r="BN99" s="52">
        <v>1.08</v>
      </c>
      <c r="BO99" s="50">
        <v>0.84000000000000008</v>
      </c>
      <c r="BP99" s="51">
        <v>0.96000000000000008</v>
      </c>
      <c r="BQ99" s="45">
        <v>10.18</v>
      </c>
      <c r="BR99" s="45">
        <v>8.18</v>
      </c>
      <c r="BS99" s="45">
        <v>9.18</v>
      </c>
      <c r="BT99" s="44">
        <v>11.5</v>
      </c>
      <c r="BU99" s="45">
        <v>11.1</v>
      </c>
      <c r="BV99" s="46">
        <v>11.3</v>
      </c>
      <c r="BW99" s="44">
        <v>2.85</v>
      </c>
      <c r="BX99" s="50">
        <v>2.5700000000000003</v>
      </c>
      <c r="BY99" s="51">
        <v>2.71</v>
      </c>
      <c r="BZ99" s="44">
        <v>9.6300000000000008</v>
      </c>
      <c r="CA99" s="45">
        <v>6.6300000000000008</v>
      </c>
      <c r="CB99" s="46">
        <v>8.1300000000000008</v>
      </c>
      <c r="CC99" s="44">
        <v>6.62</v>
      </c>
      <c r="CD99" s="45">
        <v>6.38</v>
      </c>
      <c r="CE99" s="46">
        <v>6.5</v>
      </c>
      <c r="CF99" s="44">
        <v>1.89</v>
      </c>
      <c r="CG99" s="45">
        <v>1.39</v>
      </c>
      <c r="CH99" s="46">
        <v>1.64</v>
      </c>
      <c r="CI99" s="44">
        <v>0.44</v>
      </c>
      <c r="CJ99" s="45">
        <v>0.4</v>
      </c>
      <c r="CK99" s="46">
        <v>0.42000000000000004</v>
      </c>
      <c r="CL99" s="44">
        <v>39.549999999999997</v>
      </c>
      <c r="CM99">
        <v>37.15</v>
      </c>
      <c r="CN99">
        <v>38.349999999999994</v>
      </c>
      <c r="CO99">
        <v>7.25</v>
      </c>
      <c r="CP99">
        <v>2.25</v>
      </c>
      <c r="CQ99">
        <v>4.75</v>
      </c>
    </row>
    <row r="100" spans="1:95">
      <c r="A100" s="223">
        <v>45387</v>
      </c>
      <c r="B100" s="90" t="s">
        <v>100</v>
      </c>
      <c r="C100" s="44">
        <v>151.99</v>
      </c>
      <c r="D100" s="45">
        <v>149.99</v>
      </c>
      <c r="E100" s="46">
        <v>150.99</v>
      </c>
      <c r="F100" s="44">
        <v>165.22</v>
      </c>
      <c r="G100" s="45">
        <v>162.22</v>
      </c>
      <c r="H100" s="46">
        <v>163.72</v>
      </c>
      <c r="I100" s="44">
        <v>113.06</v>
      </c>
      <c r="J100" s="45">
        <v>109.86</v>
      </c>
      <c r="K100" s="46">
        <v>111.46000000000001</v>
      </c>
      <c r="L100" s="45">
        <v>194.96</v>
      </c>
      <c r="M100" s="45">
        <v>186.96</v>
      </c>
      <c r="N100" s="45">
        <v>190.96</v>
      </c>
      <c r="O100" s="44">
        <v>168.39</v>
      </c>
      <c r="P100" s="45">
        <v>166.58999999999997</v>
      </c>
      <c r="Q100" s="46">
        <v>167.48999999999998</v>
      </c>
      <c r="R100" s="45">
        <v>22.25</v>
      </c>
      <c r="S100" s="45">
        <v>21.65</v>
      </c>
      <c r="T100" s="45">
        <v>21.95</v>
      </c>
      <c r="U100" s="44">
        <v>14.38</v>
      </c>
      <c r="V100" s="45">
        <v>13.780000000000001</v>
      </c>
      <c r="W100" s="46">
        <v>14.080000000000002</v>
      </c>
      <c r="X100" s="44">
        <v>14.6</v>
      </c>
      <c r="Y100" s="45">
        <v>13.799999999999999</v>
      </c>
      <c r="Z100" s="46">
        <v>14.2</v>
      </c>
      <c r="AA100" s="44">
        <v>101.53</v>
      </c>
      <c r="AB100" s="45">
        <v>97.53</v>
      </c>
      <c r="AC100" s="46">
        <v>99.53</v>
      </c>
      <c r="AD100" s="44">
        <v>93.08</v>
      </c>
      <c r="AE100" s="45">
        <v>89.08</v>
      </c>
      <c r="AF100" s="46">
        <v>91.08</v>
      </c>
      <c r="AG100" s="45">
        <v>19.72</v>
      </c>
      <c r="AH100" s="45">
        <v>18.86</v>
      </c>
      <c r="AI100" s="45">
        <v>19.29</v>
      </c>
      <c r="AJ100" s="47"/>
      <c r="AK100" s="48"/>
      <c r="AL100" s="49"/>
      <c r="AM100" s="45">
        <v>112.86</v>
      </c>
      <c r="AN100" s="45">
        <v>111.2</v>
      </c>
      <c r="AO100" s="45">
        <v>112.03</v>
      </c>
      <c r="AP100" s="44">
        <v>41.12</v>
      </c>
      <c r="AQ100" s="45">
        <v>39.519999999999996</v>
      </c>
      <c r="AR100" s="46">
        <v>40.319999999999993</v>
      </c>
      <c r="AS100" s="45">
        <v>41.87</v>
      </c>
      <c r="AT100" s="45">
        <v>40.51</v>
      </c>
      <c r="AU100" s="45">
        <v>41.19</v>
      </c>
      <c r="AV100" s="44">
        <v>21.14</v>
      </c>
      <c r="AW100" s="45">
        <v>20.54</v>
      </c>
      <c r="AX100" s="46">
        <v>20.84</v>
      </c>
      <c r="AY100" s="44">
        <v>4.1900000000000004</v>
      </c>
      <c r="AZ100" s="45">
        <v>4.03</v>
      </c>
      <c r="BA100" s="46">
        <v>4.1100000000000003</v>
      </c>
      <c r="BB100" s="44">
        <v>1.97</v>
      </c>
      <c r="BC100" s="50">
        <v>1.67</v>
      </c>
      <c r="BD100" s="51">
        <v>1.8199999999999998</v>
      </c>
      <c r="BE100" s="45">
        <v>0.7</v>
      </c>
      <c r="BF100" s="50">
        <v>0.39999999999999997</v>
      </c>
      <c r="BG100" s="50">
        <v>0.54999999999999993</v>
      </c>
      <c r="BH100" s="44">
        <v>500.14</v>
      </c>
      <c r="BI100" s="45">
        <v>484.14</v>
      </c>
      <c r="BJ100" s="46">
        <v>492.14</v>
      </c>
      <c r="BK100" s="45">
        <v>42.17</v>
      </c>
      <c r="BL100" s="45">
        <v>40.81</v>
      </c>
      <c r="BM100" s="45">
        <v>41.49</v>
      </c>
      <c r="BN100" s="52">
        <v>1.08</v>
      </c>
      <c r="BO100" s="50">
        <v>0.84000000000000008</v>
      </c>
      <c r="BP100" s="51">
        <v>0.96000000000000008</v>
      </c>
      <c r="BQ100" s="45">
        <v>10.119999999999999</v>
      </c>
      <c r="BR100" s="45">
        <v>8.1199999999999992</v>
      </c>
      <c r="BS100" s="45">
        <v>9.1199999999999992</v>
      </c>
      <c r="BT100" s="44">
        <v>11.41</v>
      </c>
      <c r="BU100" s="45">
        <v>11.01</v>
      </c>
      <c r="BV100" s="46">
        <v>11.21</v>
      </c>
      <c r="BW100" s="44">
        <v>2.84</v>
      </c>
      <c r="BX100" s="50">
        <v>2.5599999999999996</v>
      </c>
      <c r="BY100" s="51">
        <v>2.6999999999999997</v>
      </c>
      <c r="BZ100" s="44">
        <v>9.58</v>
      </c>
      <c r="CA100" s="45">
        <v>6.58</v>
      </c>
      <c r="CB100" s="46">
        <v>8.08</v>
      </c>
      <c r="CC100" s="44">
        <v>6.59</v>
      </c>
      <c r="CD100" s="45">
        <v>6.35</v>
      </c>
      <c r="CE100" s="46">
        <v>6.47</v>
      </c>
      <c r="CF100" s="44">
        <v>1.89</v>
      </c>
      <c r="CG100" s="45">
        <v>1.39</v>
      </c>
      <c r="CH100" s="46">
        <v>1.64</v>
      </c>
      <c r="CI100" s="44">
        <v>0.44</v>
      </c>
      <c r="CJ100" s="45">
        <v>0.4</v>
      </c>
      <c r="CK100" s="46">
        <v>0.42000000000000004</v>
      </c>
      <c r="CL100" s="44">
        <v>39.39</v>
      </c>
      <c r="CM100">
        <v>36.99</v>
      </c>
      <c r="CN100">
        <v>38.19</v>
      </c>
      <c r="CO100">
        <v>7.24</v>
      </c>
      <c r="CP100">
        <v>2.2400000000000002</v>
      </c>
      <c r="CQ100">
        <v>4.74</v>
      </c>
    </row>
    <row r="101" spans="1:95">
      <c r="A101" s="223">
        <v>45388</v>
      </c>
      <c r="B101" s="90" t="s">
        <v>307</v>
      </c>
      <c r="C101" s="44"/>
      <c r="D101" s="45"/>
      <c r="E101" s="46"/>
      <c r="F101" s="44"/>
      <c r="G101" s="45"/>
      <c r="H101" s="46"/>
      <c r="I101" s="44"/>
      <c r="J101" s="45"/>
      <c r="K101" s="46"/>
      <c r="L101" s="45"/>
      <c r="M101" s="45"/>
      <c r="N101" s="45"/>
      <c r="O101" s="44"/>
      <c r="P101" s="45"/>
      <c r="Q101" s="46"/>
      <c r="R101" s="45"/>
      <c r="S101" s="45"/>
      <c r="T101" s="45"/>
      <c r="U101" s="44"/>
      <c r="V101" s="45"/>
      <c r="W101" s="46"/>
      <c r="X101" s="44"/>
      <c r="Y101" s="45"/>
      <c r="Z101" s="46"/>
      <c r="AA101" s="44"/>
      <c r="AB101" s="45"/>
      <c r="AC101" s="46"/>
      <c r="AD101" s="44"/>
      <c r="AE101" s="45"/>
      <c r="AF101" s="46"/>
      <c r="AG101" s="45"/>
      <c r="AH101" s="45"/>
      <c r="AI101" s="45"/>
      <c r="AJ101" s="47"/>
      <c r="AK101" s="48"/>
      <c r="AL101" s="49"/>
      <c r="AM101" s="45"/>
      <c r="AN101" s="45"/>
      <c r="AO101" s="45"/>
      <c r="AP101" s="44"/>
      <c r="AQ101" s="45"/>
      <c r="AR101" s="46"/>
      <c r="AS101" s="45"/>
      <c r="AT101" s="45"/>
      <c r="AU101" s="45"/>
      <c r="AV101" s="44"/>
      <c r="AW101" s="45"/>
      <c r="AX101" s="46"/>
      <c r="AY101" s="44"/>
      <c r="AZ101" s="45"/>
      <c r="BA101" s="46"/>
      <c r="BB101" s="44"/>
      <c r="BC101" s="50"/>
      <c r="BD101" s="51"/>
      <c r="BE101" s="45"/>
      <c r="BF101" s="50"/>
      <c r="BG101" s="50"/>
      <c r="BH101" s="44"/>
      <c r="BI101" s="45"/>
      <c r="BJ101" s="46"/>
      <c r="BK101" s="45"/>
      <c r="BL101" s="45"/>
      <c r="BM101" s="45"/>
      <c r="BN101" s="52"/>
      <c r="BO101" s="50"/>
      <c r="BP101" s="51"/>
      <c r="BQ101" s="45"/>
      <c r="BR101" s="45"/>
      <c r="BS101" s="45"/>
      <c r="BT101" s="44"/>
      <c r="BU101" s="45"/>
      <c r="BV101" s="46"/>
      <c r="BW101" s="44"/>
      <c r="BX101" s="50"/>
      <c r="BY101" s="51"/>
      <c r="BZ101" s="44"/>
      <c r="CA101" s="45"/>
      <c r="CB101" s="46"/>
      <c r="CC101" s="44"/>
      <c r="CD101" s="45"/>
      <c r="CE101" s="46"/>
      <c r="CF101" s="44"/>
      <c r="CG101" s="45"/>
      <c r="CH101" s="46"/>
      <c r="CI101" s="44"/>
      <c r="CJ101" s="45"/>
      <c r="CK101" s="46"/>
      <c r="CL101" s="44"/>
    </row>
    <row r="102" spans="1:95">
      <c r="A102" s="223">
        <v>45389</v>
      </c>
      <c r="B102" s="90" t="s">
        <v>308</v>
      </c>
      <c r="C102" s="44"/>
      <c r="D102" s="45"/>
      <c r="E102" s="46"/>
      <c r="F102" s="44"/>
      <c r="G102" s="45"/>
      <c r="H102" s="46"/>
      <c r="I102" s="44"/>
      <c r="J102" s="45"/>
      <c r="K102" s="46"/>
      <c r="L102" s="45"/>
      <c r="M102" s="45"/>
      <c r="N102" s="45"/>
      <c r="O102" s="44"/>
      <c r="P102" s="45"/>
      <c r="Q102" s="46"/>
      <c r="R102" s="45"/>
      <c r="S102" s="45"/>
      <c r="T102" s="45"/>
      <c r="U102" s="44"/>
      <c r="V102" s="45"/>
      <c r="W102" s="46"/>
      <c r="X102" s="44"/>
      <c r="Y102" s="45"/>
      <c r="Z102" s="46"/>
      <c r="AA102" s="44"/>
      <c r="AB102" s="45"/>
      <c r="AC102" s="46"/>
      <c r="AD102" s="44"/>
      <c r="AE102" s="45"/>
      <c r="AF102" s="46"/>
      <c r="AG102" s="45"/>
      <c r="AH102" s="45"/>
      <c r="AI102" s="45"/>
      <c r="AJ102" s="47"/>
      <c r="AK102" s="48"/>
      <c r="AL102" s="49"/>
      <c r="AM102" s="45"/>
      <c r="AN102" s="45"/>
      <c r="AO102" s="45"/>
      <c r="AP102" s="44"/>
      <c r="AQ102" s="45"/>
      <c r="AR102" s="46"/>
      <c r="AS102" s="45"/>
      <c r="AT102" s="45"/>
      <c r="AU102" s="45"/>
      <c r="AV102" s="44"/>
      <c r="AW102" s="45"/>
      <c r="AX102" s="46"/>
      <c r="AY102" s="44"/>
      <c r="AZ102" s="45"/>
      <c r="BA102" s="46"/>
      <c r="BB102" s="44"/>
      <c r="BC102" s="50"/>
      <c r="BD102" s="51"/>
      <c r="BE102" s="45"/>
      <c r="BF102" s="50"/>
      <c r="BG102" s="50"/>
      <c r="BH102" s="44"/>
      <c r="BI102" s="45"/>
      <c r="BJ102" s="46"/>
      <c r="BK102" s="45"/>
      <c r="BL102" s="45"/>
      <c r="BM102" s="45"/>
      <c r="BN102" s="52"/>
      <c r="BO102" s="50"/>
      <c r="BP102" s="51"/>
      <c r="BQ102" s="45"/>
      <c r="BR102" s="45"/>
      <c r="BS102" s="45"/>
      <c r="BT102" s="44"/>
      <c r="BU102" s="45"/>
      <c r="BV102" s="46"/>
      <c r="BW102" s="44"/>
      <c r="BX102" s="50"/>
      <c r="BY102" s="51"/>
      <c r="BZ102" s="44"/>
      <c r="CA102" s="45"/>
      <c r="CB102" s="46"/>
      <c r="CC102" s="44"/>
      <c r="CD102" s="45"/>
      <c r="CE102" s="46"/>
      <c r="CF102" s="44"/>
      <c r="CG102" s="45"/>
      <c r="CH102" s="46"/>
      <c r="CI102" s="44"/>
      <c r="CJ102" s="45"/>
      <c r="CK102" s="46"/>
      <c r="CL102" s="44"/>
    </row>
    <row r="103" spans="1:95">
      <c r="A103" s="223">
        <v>45390</v>
      </c>
      <c r="B103" s="90" t="s">
        <v>96</v>
      </c>
      <c r="C103" s="44">
        <v>152.80000000000001</v>
      </c>
      <c r="D103" s="45">
        <v>150.80000000000001</v>
      </c>
      <c r="E103" s="46">
        <v>151.80000000000001</v>
      </c>
      <c r="F103" s="44">
        <v>165.87</v>
      </c>
      <c r="G103" s="45">
        <v>162.87</v>
      </c>
      <c r="H103" s="46">
        <v>164.37</v>
      </c>
      <c r="I103" s="44">
        <v>113.09</v>
      </c>
      <c r="J103" s="45">
        <v>109.89</v>
      </c>
      <c r="K103" s="46">
        <v>111.49000000000001</v>
      </c>
      <c r="L103" s="45">
        <v>195.54</v>
      </c>
      <c r="M103" s="45">
        <v>187.54</v>
      </c>
      <c r="N103" s="45">
        <v>191.54</v>
      </c>
      <c r="O103" s="44">
        <v>168.78</v>
      </c>
      <c r="P103" s="45">
        <v>166.98</v>
      </c>
      <c r="Q103" s="46">
        <v>167.88</v>
      </c>
      <c r="R103" s="45">
        <v>22.34</v>
      </c>
      <c r="S103" s="45">
        <v>21.74</v>
      </c>
      <c r="T103" s="45">
        <v>22.04</v>
      </c>
      <c r="U103" s="44">
        <v>14.4</v>
      </c>
      <c r="V103" s="45">
        <v>13.8</v>
      </c>
      <c r="W103" s="46">
        <v>14.100000000000001</v>
      </c>
      <c r="X103" s="44">
        <v>14.64</v>
      </c>
      <c r="Y103" s="45">
        <v>13.84</v>
      </c>
      <c r="Z103" s="46">
        <v>14.24</v>
      </c>
      <c r="AA103" s="44">
        <v>101.6</v>
      </c>
      <c r="AB103" s="45">
        <v>97.6</v>
      </c>
      <c r="AC103" s="46">
        <v>99.6</v>
      </c>
      <c r="AD103" s="44">
        <v>93.19</v>
      </c>
      <c r="AE103" s="45">
        <v>89.19</v>
      </c>
      <c r="AF103" s="46">
        <v>91.19</v>
      </c>
      <c r="AG103" s="45">
        <v>19.82</v>
      </c>
      <c r="AH103" s="45">
        <v>18.96</v>
      </c>
      <c r="AI103" s="45">
        <v>19.39</v>
      </c>
      <c r="AJ103" s="47"/>
      <c r="AK103" s="48"/>
      <c r="AL103" s="49"/>
      <c r="AM103" s="45">
        <v>113.3</v>
      </c>
      <c r="AN103" s="45">
        <v>111.64</v>
      </c>
      <c r="AO103" s="45">
        <v>112.47</v>
      </c>
      <c r="AP103" s="44">
        <v>41.33</v>
      </c>
      <c r="AQ103" s="45">
        <v>39.729999999999997</v>
      </c>
      <c r="AR103" s="46">
        <v>40.53</v>
      </c>
      <c r="AS103" s="45">
        <v>41.97</v>
      </c>
      <c r="AT103" s="45">
        <v>40.61</v>
      </c>
      <c r="AU103" s="45">
        <v>41.29</v>
      </c>
      <c r="AV103" s="44">
        <v>21.23</v>
      </c>
      <c r="AW103" s="45">
        <v>20.63</v>
      </c>
      <c r="AX103" s="46">
        <v>20.93</v>
      </c>
      <c r="AY103" s="44">
        <v>4.22</v>
      </c>
      <c r="AZ103" s="45">
        <v>4.0599999999999996</v>
      </c>
      <c r="BA103" s="46">
        <v>4.1399999999999997</v>
      </c>
      <c r="BB103" s="44">
        <v>1.98</v>
      </c>
      <c r="BC103" s="50">
        <v>1.68</v>
      </c>
      <c r="BD103" s="51">
        <v>1.83</v>
      </c>
      <c r="BE103" s="45">
        <v>0.7</v>
      </c>
      <c r="BF103" s="50">
        <v>0.39999999999999997</v>
      </c>
      <c r="BG103" s="50">
        <v>0.54999999999999993</v>
      </c>
      <c r="BH103" s="44">
        <v>502.62</v>
      </c>
      <c r="BI103" s="45">
        <v>486.62</v>
      </c>
      <c r="BJ103" s="46">
        <v>494.62</v>
      </c>
      <c r="BK103" s="45">
        <v>42.39</v>
      </c>
      <c r="BL103" s="45">
        <v>41.03</v>
      </c>
      <c r="BM103" s="45">
        <v>41.71</v>
      </c>
      <c r="BN103" s="52">
        <v>1.08</v>
      </c>
      <c r="BO103" s="50">
        <v>0.84000000000000008</v>
      </c>
      <c r="BP103" s="51">
        <v>0.96000000000000008</v>
      </c>
      <c r="BQ103" s="45">
        <v>10.210000000000001</v>
      </c>
      <c r="BR103" s="45">
        <v>8.2100000000000009</v>
      </c>
      <c r="BS103" s="45">
        <v>9.2100000000000009</v>
      </c>
      <c r="BT103" s="44">
        <v>11.42</v>
      </c>
      <c r="BU103" s="45">
        <v>11.02</v>
      </c>
      <c r="BV103" s="46">
        <v>11.219999999999999</v>
      </c>
      <c r="BW103" s="44">
        <v>2.85</v>
      </c>
      <c r="BX103" s="50">
        <v>2.5700000000000003</v>
      </c>
      <c r="BY103" s="51">
        <v>2.71</v>
      </c>
      <c r="BZ103" s="44">
        <v>9.6</v>
      </c>
      <c r="CA103" s="45">
        <v>6.6</v>
      </c>
      <c r="CB103" s="46">
        <v>8.1</v>
      </c>
      <c r="CC103" s="44">
        <v>6.61</v>
      </c>
      <c r="CD103" s="45">
        <v>6.37</v>
      </c>
      <c r="CE103" s="46">
        <v>6.49</v>
      </c>
      <c r="CF103" s="44">
        <v>1.89</v>
      </c>
      <c r="CG103" s="45">
        <v>1.39</v>
      </c>
      <c r="CH103" s="46">
        <v>1.64</v>
      </c>
      <c r="CI103" s="44">
        <v>0.44</v>
      </c>
      <c r="CJ103" s="45">
        <v>0.4</v>
      </c>
      <c r="CK103" s="46">
        <v>0.42000000000000004</v>
      </c>
      <c r="CL103" s="44">
        <v>39.61</v>
      </c>
      <c r="CM103">
        <v>37.21</v>
      </c>
      <c r="CN103">
        <v>38.409999999999997</v>
      </c>
      <c r="CO103">
        <v>7.24</v>
      </c>
      <c r="CP103">
        <v>2.2400000000000002</v>
      </c>
      <c r="CQ103">
        <v>4.74</v>
      </c>
    </row>
    <row r="104" spans="1:95">
      <c r="A104" s="223">
        <v>45391</v>
      </c>
      <c r="B104" s="90" t="s">
        <v>97</v>
      </c>
      <c r="C104" s="44">
        <v>152.97999999999999</v>
      </c>
      <c r="D104" s="45">
        <v>150.97999999999999</v>
      </c>
      <c r="E104" s="46">
        <v>151.97999999999999</v>
      </c>
      <c r="F104" s="44">
        <v>166.54</v>
      </c>
      <c r="G104" s="45">
        <v>163.54</v>
      </c>
      <c r="H104" s="46">
        <v>165.04</v>
      </c>
      <c r="I104" s="44">
        <v>113.58</v>
      </c>
      <c r="J104" s="45">
        <v>110.38</v>
      </c>
      <c r="K104" s="46">
        <v>111.97999999999999</v>
      </c>
      <c r="L104" s="45">
        <v>196.32</v>
      </c>
      <c r="M104" s="45">
        <v>188.32</v>
      </c>
      <c r="N104" s="45">
        <v>192.32</v>
      </c>
      <c r="O104" s="44">
        <v>168.7</v>
      </c>
      <c r="P104" s="45">
        <v>166.89999999999998</v>
      </c>
      <c r="Q104" s="46">
        <v>167.79999999999998</v>
      </c>
      <c r="R104" s="45">
        <v>22.43</v>
      </c>
      <c r="S104" s="45">
        <v>21.83</v>
      </c>
      <c r="T104" s="45">
        <v>22.13</v>
      </c>
      <c r="U104" s="44">
        <v>14.53</v>
      </c>
      <c r="V104" s="45">
        <v>13.93</v>
      </c>
      <c r="W104" s="46">
        <v>14.23</v>
      </c>
      <c r="X104" s="44">
        <v>14.78</v>
      </c>
      <c r="Y104" s="45">
        <v>13.979999999999999</v>
      </c>
      <c r="Z104" s="46">
        <v>14.379999999999999</v>
      </c>
      <c r="AA104" s="44">
        <v>102.38</v>
      </c>
      <c r="AB104" s="45">
        <v>98.38</v>
      </c>
      <c r="AC104" s="46">
        <v>100.38</v>
      </c>
      <c r="AD104" s="44">
        <v>93.81</v>
      </c>
      <c r="AE104" s="45">
        <v>89.81</v>
      </c>
      <c r="AF104" s="46">
        <v>91.81</v>
      </c>
      <c r="AG104" s="45">
        <v>19.84</v>
      </c>
      <c r="AH104" s="45">
        <v>18.98</v>
      </c>
      <c r="AI104" s="45">
        <v>19.41</v>
      </c>
      <c r="AJ104" s="47"/>
      <c r="AK104" s="48"/>
      <c r="AL104" s="49"/>
      <c r="AM104" s="45">
        <v>113.61</v>
      </c>
      <c r="AN104" s="45">
        <v>111.95</v>
      </c>
      <c r="AO104" s="45">
        <v>112.78</v>
      </c>
      <c r="AP104" s="44">
        <v>41.38</v>
      </c>
      <c r="AQ104" s="45">
        <v>39.78</v>
      </c>
      <c r="AR104" s="46">
        <v>40.58</v>
      </c>
      <c r="AS104" s="45">
        <v>42.14</v>
      </c>
      <c r="AT104" s="45">
        <v>40.78</v>
      </c>
      <c r="AU104" s="45">
        <v>41.46</v>
      </c>
      <c r="AV104" s="44">
        <v>21.28</v>
      </c>
      <c r="AW104" s="45">
        <v>20.68</v>
      </c>
      <c r="AX104" s="46">
        <v>20.98</v>
      </c>
      <c r="AY104" s="44">
        <v>4.22</v>
      </c>
      <c r="AZ104" s="45">
        <v>4.0599999999999996</v>
      </c>
      <c r="BA104" s="46">
        <v>4.1399999999999997</v>
      </c>
      <c r="BB104" s="44">
        <v>1.98</v>
      </c>
      <c r="BC104" s="50">
        <v>1.68</v>
      </c>
      <c r="BD104" s="51">
        <v>1.83</v>
      </c>
      <c r="BE104" s="45">
        <v>0.7</v>
      </c>
      <c r="BF104" s="50">
        <v>0.39999999999999997</v>
      </c>
      <c r="BG104" s="50">
        <v>0.54999999999999993</v>
      </c>
      <c r="BH104" s="44">
        <v>503.21</v>
      </c>
      <c r="BI104" s="45">
        <v>487.21</v>
      </c>
      <c r="BJ104" s="46">
        <v>495.21</v>
      </c>
      <c r="BK104" s="45">
        <v>42.44</v>
      </c>
      <c r="BL104" s="45">
        <v>41.08</v>
      </c>
      <c r="BM104" s="45">
        <v>41.76</v>
      </c>
      <c r="BN104" s="52">
        <v>1.08</v>
      </c>
      <c r="BO104" s="50">
        <v>0.84000000000000008</v>
      </c>
      <c r="BP104" s="51">
        <v>0.96000000000000008</v>
      </c>
      <c r="BQ104" s="45">
        <v>10.31</v>
      </c>
      <c r="BR104" s="45">
        <v>8.31</v>
      </c>
      <c r="BS104" s="45">
        <v>9.31</v>
      </c>
      <c r="BT104" s="44">
        <v>11.44</v>
      </c>
      <c r="BU104" s="45">
        <v>11.04</v>
      </c>
      <c r="BV104" s="46">
        <v>11.239999999999998</v>
      </c>
      <c r="BW104" s="44">
        <v>2.85</v>
      </c>
      <c r="BX104" s="50">
        <v>2.5700000000000003</v>
      </c>
      <c r="BY104" s="51">
        <v>2.71</v>
      </c>
      <c r="BZ104" s="44">
        <v>9.65</v>
      </c>
      <c r="CA104" s="45">
        <v>6.65</v>
      </c>
      <c r="CB104" s="46">
        <v>8.15</v>
      </c>
      <c r="CC104" s="44">
        <v>6.64</v>
      </c>
      <c r="CD104" s="45">
        <v>6.3999999999999995</v>
      </c>
      <c r="CE104" s="46">
        <v>6.52</v>
      </c>
      <c r="CF104" s="44">
        <v>1.89</v>
      </c>
      <c r="CG104" s="45">
        <v>1.39</v>
      </c>
      <c r="CH104" s="46">
        <v>1.64</v>
      </c>
      <c r="CI104" s="44">
        <v>0.44</v>
      </c>
      <c r="CJ104" s="45">
        <v>0.4</v>
      </c>
      <c r="CK104" s="46">
        <v>0.42000000000000004</v>
      </c>
      <c r="CL104" s="44">
        <v>39.909999999999997</v>
      </c>
      <c r="CM104">
        <v>37.51</v>
      </c>
      <c r="CN104">
        <v>38.709999999999994</v>
      </c>
      <c r="CO104">
        <v>7.26</v>
      </c>
      <c r="CP104">
        <v>2.2599999999999998</v>
      </c>
      <c r="CQ104">
        <v>4.76</v>
      </c>
    </row>
    <row r="105" spans="1:95">
      <c r="A105" s="223">
        <v>45392</v>
      </c>
      <c r="B105" s="90" t="s">
        <v>98</v>
      </c>
      <c r="C105" s="44">
        <v>152.82</v>
      </c>
      <c r="D105" s="45">
        <v>150.82</v>
      </c>
      <c r="E105" s="46">
        <v>151.82</v>
      </c>
      <c r="F105" s="44">
        <v>166.35</v>
      </c>
      <c r="G105" s="45">
        <v>163.35</v>
      </c>
      <c r="H105" s="46">
        <v>164.85</v>
      </c>
      <c r="I105" s="44">
        <v>113.51</v>
      </c>
      <c r="J105" s="45">
        <v>110.31</v>
      </c>
      <c r="K105" s="46">
        <v>111.91</v>
      </c>
      <c r="L105" s="45">
        <v>196.46</v>
      </c>
      <c r="M105" s="45">
        <v>188.46</v>
      </c>
      <c r="N105" s="45">
        <v>192.46</v>
      </c>
      <c r="O105" s="44">
        <v>168.95</v>
      </c>
      <c r="P105" s="45">
        <v>167.14999999999998</v>
      </c>
      <c r="Q105" s="46">
        <v>168.04999999999998</v>
      </c>
      <c r="R105" s="45">
        <v>22.4</v>
      </c>
      <c r="S105" s="45">
        <v>21.799999999999997</v>
      </c>
      <c r="T105" s="45">
        <v>22.099999999999998</v>
      </c>
      <c r="U105" s="44">
        <v>14.53</v>
      </c>
      <c r="V105" s="45">
        <v>13.93</v>
      </c>
      <c r="W105" s="46">
        <v>14.23</v>
      </c>
      <c r="X105" s="44">
        <v>14.79</v>
      </c>
      <c r="Y105" s="45">
        <v>13.989999999999998</v>
      </c>
      <c r="Z105" s="46">
        <v>14.389999999999999</v>
      </c>
      <c r="AA105" s="44">
        <v>102.64</v>
      </c>
      <c r="AB105" s="45">
        <v>98.64</v>
      </c>
      <c r="AC105" s="46">
        <v>100.64</v>
      </c>
      <c r="AD105" s="44">
        <v>94.03</v>
      </c>
      <c r="AE105" s="45">
        <v>90.03</v>
      </c>
      <c r="AF105" s="46">
        <v>92.03</v>
      </c>
      <c r="AG105" s="45">
        <v>19.809999999999999</v>
      </c>
      <c r="AH105" s="45">
        <v>18.95</v>
      </c>
      <c r="AI105" s="45">
        <v>19.38</v>
      </c>
      <c r="AJ105" s="47"/>
      <c r="AK105" s="48"/>
      <c r="AL105" s="49"/>
      <c r="AM105" s="45">
        <v>113.72</v>
      </c>
      <c r="AN105" s="45">
        <v>112.06</v>
      </c>
      <c r="AO105" s="45">
        <v>112.89</v>
      </c>
      <c r="AP105" s="44">
        <v>41.34</v>
      </c>
      <c r="AQ105" s="45">
        <v>39.74</v>
      </c>
      <c r="AR105" s="46">
        <v>40.540000000000006</v>
      </c>
      <c r="AS105" s="45">
        <v>42.09</v>
      </c>
      <c r="AT105" s="45">
        <v>40.730000000000004</v>
      </c>
      <c r="AU105" s="45">
        <v>41.410000000000004</v>
      </c>
      <c r="AV105" s="44">
        <v>21.28</v>
      </c>
      <c r="AW105" s="45">
        <v>20.68</v>
      </c>
      <c r="AX105" s="46">
        <v>20.98</v>
      </c>
      <c r="AY105" s="44">
        <v>4.25</v>
      </c>
      <c r="AZ105" s="45">
        <v>4.09</v>
      </c>
      <c r="BA105" s="46">
        <v>4.17</v>
      </c>
      <c r="BB105" s="44">
        <v>1.99</v>
      </c>
      <c r="BC105" s="50">
        <v>1.69</v>
      </c>
      <c r="BD105" s="51">
        <v>1.8399999999999999</v>
      </c>
      <c r="BE105" s="45">
        <v>0.7</v>
      </c>
      <c r="BF105" s="50">
        <v>0.39999999999999997</v>
      </c>
      <c r="BG105" s="50">
        <v>0.54999999999999993</v>
      </c>
      <c r="BH105" s="44">
        <v>502.69</v>
      </c>
      <c r="BI105" s="45">
        <v>486.69</v>
      </c>
      <c r="BJ105" s="46">
        <v>494.69</v>
      </c>
      <c r="BK105" s="45">
        <v>42.4</v>
      </c>
      <c r="BL105" s="45">
        <v>41.04</v>
      </c>
      <c r="BM105" s="45">
        <v>41.72</v>
      </c>
      <c r="BN105" s="52">
        <v>1.08</v>
      </c>
      <c r="BO105" s="50">
        <v>0.84000000000000008</v>
      </c>
      <c r="BP105" s="51">
        <v>0.96000000000000008</v>
      </c>
      <c r="BQ105" s="45">
        <v>10.27</v>
      </c>
      <c r="BR105" s="45">
        <v>8.27</v>
      </c>
      <c r="BS105" s="45">
        <v>9.27</v>
      </c>
      <c r="BT105" s="44">
        <v>11.44</v>
      </c>
      <c r="BU105" s="45">
        <v>11.04</v>
      </c>
      <c r="BV105" s="46">
        <v>11.239999999999998</v>
      </c>
      <c r="BW105" s="44">
        <v>2.84</v>
      </c>
      <c r="BX105" s="50">
        <v>2.5599999999999996</v>
      </c>
      <c r="BY105" s="51">
        <v>2.6999999999999997</v>
      </c>
      <c r="BZ105" s="44">
        <v>9.73</v>
      </c>
      <c r="CA105" s="45">
        <v>6.73</v>
      </c>
      <c r="CB105" s="46">
        <v>8.23</v>
      </c>
      <c r="CC105" s="44">
        <v>6.61</v>
      </c>
      <c r="CD105" s="45">
        <v>6.37</v>
      </c>
      <c r="CE105" s="46">
        <v>6.49</v>
      </c>
      <c r="CF105" s="44">
        <v>1.89</v>
      </c>
      <c r="CG105" s="45">
        <v>1.39</v>
      </c>
      <c r="CH105" s="46">
        <v>1.64</v>
      </c>
      <c r="CI105" s="44">
        <v>0.44</v>
      </c>
      <c r="CJ105" s="45">
        <v>0.4</v>
      </c>
      <c r="CK105" s="46">
        <v>0.42000000000000004</v>
      </c>
      <c r="CL105" s="44">
        <v>39.86</v>
      </c>
      <c r="CM105">
        <v>37.46</v>
      </c>
      <c r="CN105">
        <v>38.659999999999997</v>
      </c>
      <c r="CO105">
        <v>7.24</v>
      </c>
      <c r="CP105">
        <v>2.2400000000000002</v>
      </c>
      <c r="CQ105">
        <v>4.74</v>
      </c>
    </row>
    <row r="106" spans="1:95">
      <c r="A106" s="223">
        <v>45393</v>
      </c>
      <c r="B106" s="90" t="s">
        <v>99</v>
      </c>
      <c r="C106" s="44">
        <v>154.01</v>
      </c>
      <c r="D106" s="45">
        <v>152.01</v>
      </c>
      <c r="E106" s="46">
        <v>153.01</v>
      </c>
      <c r="F106" s="44">
        <v>165.85</v>
      </c>
      <c r="G106" s="45">
        <v>162.85</v>
      </c>
      <c r="H106" s="46">
        <v>164.35</v>
      </c>
      <c r="I106" s="44">
        <v>113.35</v>
      </c>
      <c r="J106" s="45">
        <v>110.14999999999999</v>
      </c>
      <c r="K106" s="46">
        <v>111.75</v>
      </c>
      <c r="L106" s="45">
        <v>195.83</v>
      </c>
      <c r="M106" s="45">
        <v>187.83</v>
      </c>
      <c r="N106" s="45">
        <v>191.83</v>
      </c>
      <c r="O106" s="44">
        <v>168.36</v>
      </c>
      <c r="P106" s="45">
        <v>166.56</v>
      </c>
      <c r="Q106" s="46">
        <v>167.46</v>
      </c>
      <c r="R106" s="45">
        <v>22.33</v>
      </c>
      <c r="S106" s="45">
        <v>21.729999999999997</v>
      </c>
      <c r="T106" s="45">
        <v>22.029999999999998</v>
      </c>
      <c r="U106" s="44">
        <v>14.41</v>
      </c>
      <c r="V106" s="45">
        <v>13.81</v>
      </c>
      <c r="W106" s="46">
        <v>14.11</v>
      </c>
      <c r="X106" s="44">
        <v>14.66</v>
      </c>
      <c r="Y106" s="45">
        <v>13.86</v>
      </c>
      <c r="Z106" s="46">
        <v>14.26</v>
      </c>
      <c r="AA106" s="44">
        <v>101.53</v>
      </c>
      <c r="AB106" s="45">
        <v>97.53</v>
      </c>
      <c r="AC106" s="46">
        <v>99.53</v>
      </c>
      <c r="AD106" s="44">
        <v>93.41</v>
      </c>
      <c r="AE106" s="45">
        <v>89.41</v>
      </c>
      <c r="AF106" s="46">
        <v>91.41</v>
      </c>
      <c r="AG106" s="45">
        <v>19.96</v>
      </c>
      <c r="AH106" s="45">
        <v>19.100000000000001</v>
      </c>
      <c r="AI106" s="45">
        <v>19.53</v>
      </c>
      <c r="AJ106" s="47"/>
      <c r="AK106" s="48"/>
      <c r="AL106" s="49"/>
      <c r="AM106" s="45">
        <v>113.85</v>
      </c>
      <c r="AN106" s="45">
        <v>112.19</v>
      </c>
      <c r="AO106" s="45">
        <v>113.02</v>
      </c>
      <c r="AP106" s="44">
        <v>41.66</v>
      </c>
      <c r="AQ106" s="45">
        <v>40.059999999999995</v>
      </c>
      <c r="AR106" s="46">
        <v>40.86</v>
      </c>
      <c r="AS106" s="45">
        <v>42.3</v>
      </c>
      <c r="AT106" s="45">
        <v>40.94</v>
      </c>
      <c r="AU106" s="45">
        <v>41.62</v>
      </c>
      <c r="AV106" s="44">
        <v>21.38</v>
      </c>
      <c r="AW106" s="45">
        <v>20.779999999999998</v>
      </c>
      <c r="AX106" s="46">
        <v>21.08</v>
      </c>
      <c r="AY106" s="44">
        <v>4.24</v>
      </c>
      <c r="AZ106" s="45">
        <v>4.08</v>
      </c>
      <c r="BA106" s="46">
        <v>4.16</v>
      </c>
      <c r="BB106" s="44">
        <v>1.99</v>
      </c>
      <c r="BC106" s="50">
        <v>1.69</v>
      </c>
      <c r="BD106" s="51">
        <v>1.8399999999999999</v>
      </c>
      <c r="BE106" s="45">
        <v>0.7</v>
      </c>
      <c r="BF106" s="50">
        <v>0.39999999999999997</v>
      </c>
      <c r="BG106" s="50">
        <v>0.54999999999999993</v>
      </c>
      <c r="BH106" s="44">
        <v>506.57</v>
      </c>
      <c r="BI106" s="45">
        <v>490.57</v>
      </c>
      <c r="BJ106" s="46">
        <v>498.57</v>
      </c>
      <c r="BK106" s="45">
        <v>42.73</v>
      </c>
      <c r="BL106" s="45">
        <v>41.37</v>
      </c>
      <c r="BM106" s="45">
        <v>42.05</v>
      </c>
      <c r="BN106" s="52">
        <v>1.0900000000000001</v>
      </c>
      <c r="BO106" s="50">
        <v>0.85000000000000009</v>
      </c>
      <c r="BP106" s="51">
        <v>0.97000000000000008</v>
      </c>
      <c r="BQ106" s="45">
        <v>10.3</v>
      </c>
      <c r="BR106" s="45">
        <v>8.3000000000000007</v>
      </c>
      <c r="BS106" s="45">
        <v>9.3000000000000007</v>
      </c>
      <c r="BT106" s="44">
        <v>11.43</v>
      </c>
      <c r="BU106" s="45">
        <v>11.03</v>
      </c>
      <c r="BV106" s="46">
        <v>11.23</v>
      </c>
      <c r="BW106" s="44">
        <v>2.86</v>
      </c>
      <c r="BX106" s="50">
        <v>2.58</v>
      </c>
      <c r="BY106" s="51">
        <v>2.7199999999999998</v>
      </c>
      <c r="BZ106" s="44">
        <v>9.65</v>
      </c>
      <c r="CA106" s="45">
        <v>6.65</v>
      </c>
      <c r="CB106" s="46">
        <v>8.15</v>
      </c>
      <c r="CC106" s="44">
        <v>6.59</v>
      </c>
      <c r="CD106" s="45">
        <v>6.35</v>
      </c>
      <c r="CE106" s="46">
        <v>6.47</v>
      </c>
      <c r="CF106" s="44">
        <v>1.89</v>
      </c>
      <c r="CG106" s="45">
        <v>1.39</v>
      </c>
      <c r="CH106" s="46">
        <v>1.64</v>
      </c>
      <c r="CI106" s="44">
        <v>0.44</v>
      </c>
      <c r="CJ106" s="45">
        <v>0.4</v>
      </c>
      <c r="CK106" s="46">
        <v>0.42000000000000004</v>
      </c>
      <c r="CL106" s="44">
        <v>39.74</v>
      </c>
      <c r="CM106">
        <v>37.340000000000003</v>
      </c>
      <c r="CN106">
        <v>38.540000000000006</v>
      </c>
      <c r="CO106">
        <v>7.26</v>
      </c>
      <c r="CP106">
        <v>2.2599999999999998</v>
      </c>
      <c r="CQ106">
        <v>4.76</v>
      </c>
    </row>
    <row r="107" spans="1:95">
      <c r="A107" s="223">
        <v>45394</v>
      </c>
      <c r="B107" s="90" t="s">
        <v>100</v>
      </c>
      <c r="C107" s="44">
        <v>154.09</v>
      </c>
      <c r="D107" s="45">
        <v>152.09</v>
      </c>
      <c r="E107" s="46">
        <v>153.09</v>
      </c>
      <c r="F107" s="44">
        <v>165.67</v>
      </c>
      <c r="G107" s="45">
        <v>162.66999999999999</v>
      </c>
      <c r="H107" s="46">
        <v>164.17</v>
      </c>
      <c r="I107" s="44">
        <v>113.44</v>
      </c>
      <c r="J107" s="45">
        <v>110.24</v>
      </c>
      <c r="K107" s="46">
        <v>111.84</v>
      </c>
      <c r="L107" s="45">
        <v>196.17</v>
      </c>
      <c r="M107" s="45">
        <v>188.17</v>
      </c>
      <c r="N107" s="45">
        <v>192.17</v>
      </c>
      <c r="O107" s="44">
        <v>169.13</v>
      </c>
      <c r="P107" s="45">
        <v>167.32999999999998</v>
      </c>
      <c r="Q107" s="46">
        <v>168.23</v>
      </c>
      <c r="R107" s="45">
        <v>22.31</v>
      </c>
      <c r="S107" s="45">
        <v>21.709999999999997</v>
      </c>
      <c r="T107" s="45">
        <v>22.009999999999998</v>
      </c>
      <c r="U107" s="44">
        <v>14.44</v>
      </c>
      <c r="V107" s="45">
        <v>13.84</v>
      </c>
      <c r="W107" s="46">
        <v>14.14</v>
      </c>
      <c r="X107" s="44">
        <v>14.67</v>
      </c>
      <c r="Y107" s="45">
        <v>13.87</v>
      </c>
      <c r="Z107" s="46">
        <v>14.27</v>
      </c>
      <c r="AA107" s="44">
        <v>102.09</v>
      </c>
      <c r="AB107" s="45">
        <v>98.09</v>
      </c>
      <c r="AC107" s="46">
        <v>100.09</v>
      </c>
      <c r="AD107" s="44">
        <v>93.93</v>
      </c>
      <c r="AE107" s="45">
        <v>89.93</v>
      </c>
      <c r="AF107" s="46">
        <v>91.93</v>
      </c>
      <c r="AG107" s="45">
        <v>19.96</v>
      </c>
      <c r="AH107" s="45">
        <v>19.100000000000001</v>
      </c>
      <c r="AI107" s="45">
        <v>19.53</v>
      </c>
      <c r="AJ107" s="47"/>
      <c r="AK107" s="48"/>
      <c r="AL107" s="49"/>
      <c r="AM107" s="45">
        <v>113.97</v>
      </c>
      <c r="AN107" s="45">
        <v>112.31</v>
      </c>
      <c r="AO107" s="45">
        <v>113.14</v>
      </c>
      <c r="AP107" s="44">
        <v>41.68</v>
      </c>
      <c r="AQ107" s="45">
        <v>40.08</v>
      </c>
      <c r="AR107" s="46">
        <v>40.879999999999995</v>
      </c>
      <c r="AS107" s="45">
        <v>42.44</v>
      </c>
      <c r="AT107" s="45">
        <v>41.08</v>
      </c>
      <c r="AU107" s="45">
        <v>41.76</v>
      </c>
      <c r="AV107" s="44">
        <v>21.4</v>
      </c>
      <c r="AW107" s="45">
        <v>20.799999999999997</v>
      </c>
      <c r="AX107" s="46">
        <v>21.099999999999998</v>
      </c>
      <c r="AY107" s="44">
        <v>4.28</v>
      </c>
      <c r="AZ107" s="45">
        <v>4.12</v>
      </c>
      <c r="BA107" s="46">
        <v>4.2</v>
      </c>
      <c r="BB107" s="44">
        <v>2</v>
      </c>
      <c r="BC107" s="50">
        <v>1.7</v>
      </c>
      <c r="BD107" s="51">
        <v>1.85</v>
      </c>
      <c r="BE107" s="45">
        <v>0.7</v>
      </c>
      <c r="BF107" s="50">
        <v>0.39999999999999997</v>
      </c>
      <c r="BG107" s="50">
        <v>0.54999999999999993</v>
      </c>
      <c r="BH107" s="44">
        <v>506.18</v>
      </c>
      <c r="BI107" s="45">
        <v>490.18</v>
      </c>
      <c r="BJ107" s="46">
        <v>498.18</v>
      </c>
      <c r="BK107" s="45">
        <v>42.75</v>
      </c>
      <c r="BL107" s="45">
        <v>41.39</v>
      </c>
      <c r="BM107" s="45">
        <v>42.07</v>
      </c>
      <c r="BN107" s="52">
        <v>1.0900000000000001</v>
      </c>
      <c r="BO107" s="50">
        <v>0.85000000000000009</v>
      </c>
      <c r="BP107" s="51">
        <v>0.97000000000000008</v>
      </c>
      <c r="BQ107" s="45">
        <v>10.32</v>
      </c>
      <c r="BR107" s="45">
        <v>8.32</v>
      </c>
      <c r="BS107" s="45">
        <v>9.32</v>
      </c>
      <c r="BT107" s="44">
        <v>11.41</v>
      </c>
      <c r="BU107" s="45">
        <v>11.01</v>
      </c>
      <c r="BV107" s="46">
        <v>11.21</v>
      </c>
      <c r="BW107" s="44">
        <v>2.87</v>
      </c>
      <c r="BX107" s="50">
        <v>2.59</v>
      </c>
      <c r="BY107" s="51">
        <v>2.73</v>
      </c>
      <c r="BZ107" s="44">
        <v>9.68</v>
      </c>
      <c r="CA107" s="45">
        <v>6.68</v>
      </c>
      <c r="CB107" s="46">
        <v>8.18</v>
      </c>
      <c r="CC107" s="44">
        <v>6.6</v>
      </c>
      <c r="CD107" s="45">
        <v>6.3599999999999994</v>
      </c>
      <c r="CE107" s="46">
        <v>6.4799999999999995</v>
      </c>
      <c r="CF107" s="44">
        <v>1.89</v>
      </c>
      <c r="CG107" s="45">
        <v>1.39</v>
      </c>
      <c r="CH107" s="46">
        <v>1.64</v>
      </c>
      <c r="CI107" s="44">
        <v>0.44</v>
      </c>
      <c r="CJ107" s="45">
        <v>0.4</v>
      </c>
      <c r="CK107" s="46">
        <v>0.42000000000000004</v>
      </c>
      <c r="CL107" s="44">
        <v>39.729999999999997</v>
      </c>
      <c r="CM107">
        <v>37.33</v>
      </c>
      <c r="CN107">
        <v>38.53</v>
      </c>
      <c r="CO107">
        <v>7.25</v>
      </c>
      <c r="CP107">
        <v>2.25</v>
      </c>
      <c r="CQ107">
        <v>4.75</v>
      </c>
    </row>
    <row r="108" spans="1:95">
      <c r="A108" s="223">
        <v>45395</v>
      </c>
      <c r="B108" s="90" t="s">
        <v>307</v>
      </c>
      <c r="C108" s="44"/>
      <c r="D108" s="45"/>
      <c r="E108" s="46"/>
      <c r="F108" s="44"/>
      <c r="G108" s="45"/>
      <c r="H108" s="46"/>
      <c r="I108" s="44"/>
      <c r="J108" s="45"/>
      <c r="K108" s="46"/>
      <c r="L108" s="45"/>
      <c r="M108" s="45"/>
      <c r="N108" s="45"/>
      <c r="O108" s="44"/>
      <c r="P108" s="45"/>
      <c r="Q108" s="46"/>
      <c r="R108" s="45"/>
      <c r="S108" s="45"/>
      <c r="T108" s="45"/>
      <c r="U108" s="44"/>
      <c r="V108" s="45"/>
      <c r="W108" s="46"/>
      <c r="X108" s="44"/>
      <c r="Y108" s="45"/>
      <c r="Z108" s="46"/>
      <c r="AA108" s="44"/>
      <c r="AB108" s="45"/>
      <c r="AC108" s="46"/>
      <c r="AD108" s="44"/>
      <c r="AE108" s="45"/>
      <c r="AF108" s="46"/>
      <c r="AG108" s="45"/>
      <c r="AH108" s="45"/>
      <c r="AI108" s="45"/>
      <c r="AJ108" s="47"/>
      <c r="AK108" s="48"/>
      <c r="AL108" s="49"/>
      <c r="AM108" s="45"/>
      <c r="AN108" s="45"/>
      <c r="AO108" s="45"/>
      <c r="AP108" s="44"/>
      <c r="AQ108" s="45"/>
      <c r="AR108" s="46"/>
      <c r="AS108" s="45"/>
      <c r="AT108" s="45"/>
      <c r="AU108" s="45"/>
      <c r="AV108" s="44"/>
      <c r="AW108" s="45"/>
      <c r="AX108" s="46"/>
      <c r="AY108" s="44"/>
      <c r="AZ108" s="45"/>
      <c r="BA108" s="46"/>
      <c r="BB108" s="44"/>
      <c r="BC108" s="50"/>
      <c r="BD108" s="51"/>
      <c r="BE108" s="45"/>
      <c r="BF108" s="50"/>
      <c r="BG108" s="50"/>
      <c r="BH108" s="44"/>
      <c r="BI108" s="45"/>
      <c r="BJ108" s="46"/>
      <c r="BK108" s="45"/>
      <c r="BL108" s="45"/>
      <c r="BM108" s="45"/>
      <c r="BN108" s="52"/>
      <c r="BO108" s="50"/>
      <c r="BP108" s="51"/>
      <c r="BQ108" s="45"/>
      <c r="BR108" s="45"/>
      <c r="BS108" s="45"/>
      <c r="BT108" s="44"/>
      <c r="BU108" s="45"/>
      <c r="BV108" s="46"/>
      <c r="BW108" s="44"/>
      <c r="BX108" s="50"/>
      <c r="BY108" s="51"/>
      <c r="BZ108" s="44"/>
      <c r="CA108" s="45"/>
      <c r="CB108" s="46"/>
      <c r="CC108" s="44"/>
      <c r="CD108" s="45"/>
      <c r="CE108" s="46"/>
      <c r="CF108" s="44"/>
      <c r="CG108" s="45"/>
      <c r="CH108" s="46"/>
      <c r="CI108" s="44"/>
      <c r="CJ108" s="45"/>
      <c r="CK108" s="46"/>
      <c r="CL108" s="44"/>
    </row>
    <row r="109" spans="1:95">
      <c r="A109" s="223">
        <v>45396</v>
      </c>
      <c r="B109" s="90" t="s">
        <v>308</v>
      </c>
      <c r="C109" s="44"/>
      <c r="D109" s="45"/>
      <c r="E109" s="46"/>
      <c r="F109" s="44"/>
      <c r="G109" s="45"/>
      <c r="H109" s="46"/>
      <c r="I109" s="44"/>
      <c r="J109" s="45"/>
      <c r="K109" s="46"/>
      <c r="L109" s="45"/>
      <c r="M109" s="45"/>
      <c r="N109" s="45"/>
      <c r="O109" s="44"/>
      <c r="P109" s="45"/>
      <c r="Q109" s="46"/>
      <c r="R109" s="45"/>
      <c r="S109" s="45"/>
      <c r="T109" s="45"/>
      <c r="U109" s="44"/>
      <c r="V109" s="45"/>
      <c r="W109" s="46"/>
      <c r="X109" s="44"/>
      <c r="Y109" s="45"/>
      <c r="Z109" s="46"/>
      <c r="AA109" s="44"/>
      <c r="AB109" s="45"/>
      <c r="AC109" s="46"/>
      <c r="AD109" s="44"/>
      <c r="AE109" s="45"/>
      <c r="AF109" s="46"/>
      <c r="AG109" s="45"/>
      <c r="AH109" s="45"/>
      <c r="AI109" s="45"/>
      <c r="AJ109" s="47"/>
      <c r="AK109" s="48"/>
      <c r="AL109" s="49"/>
      <c r="AM109" s="45"/>
      <c r="AN109" s="45"/>
      <c r="AO109" s="45"/>
      <c r="AP109" s="44"/>
      <c r="AQ109" s="45"/>
      <c r="AR109" s="46"/>
      <c r="AS109" s="45"/>
      <c r="AT109" s="45"/>
      <c r="AU109" s="45"/>
      <c r="AV109" s="44"/>
      <c r="AW109" s="45"/>
      <c r="AX109" s="46"/>
      <c r="AY109" s="44"/>
      <c r="AZ109" s="45"/>
      <c r="BA109" s="46"/>
      <c r="BB109" s="44"/>
      <c r="BC109" s="50"/>
      <c r="BD109" s="51"/>
      <c r="BE109" s="45"/>
      <c r="BF109" s="50"/>
      <c r="BG109" s="50"/>
      <c r="BH109" s="44"/>
      <c r="BI109" s="45"/>
      <c r="BJ109" s="46"/>
      <c r="BK109" s="45"/>
      <c r="BL109" s="45"/>
      <c r="BM109" s="45"/>
      <c r="BN109" s="52"/>
      <c r="BO109" s="50"/>
      <c r="BP109" s="51"/>
      <c r="BQ109" s="45"/>
      <c r="BR109" s="45"/>
      <c r="BS109" s="45"/>
      <c r="BT109" s="44"/>
      <c r="BU109" s="45"/>
      <c r="BV109" s="46"/>
      <c r="BW109" s="44"/>
      <c r="BX109" s="50"/>
      <c r="BY109" s="51"/>
      <c r="BZ109" s="44"/>
      <c r="CA109" s="45"/>
      <c r="CB109" s="46"/>
      <c r="CC109" s="44"/>
      <c r="CD109" s="45"/>
      <c r="CE109" s="46"/>
      <c r="CF109" s="44"/>
      <c r="CG109" s="45"/>
      <c r="CH109" s="46"/>
      <c r="CI109" s="44"/>
      <c r="CJ109" s="45"/>
      <c r="CK109" s="46"/>
      <c r="CL109" s="44"/>
    </row>
    <row r="110" spans="1:95">
      <c r="A110" s="223">
        <v>45397</v>
      </c>
      <c r="B110" s="90" t="s">
        <v>96</v>
      </c>
      <c r="C110" s="44">
        <v>154.46</v>
      </c>
      <c r="D110" s="45">
        <v>152.46</v>
      </c>
      <c r="E110" s="46">
        <v>153.46</v>
      </c>
      <c r="F110" s="44">
        <v>164.9</v>
      </c>
      <c r="G110" s="45">
        <v>161.9</v>
      </c>
      <c r="H110" s="46">
        <v>163.4</v>
      </c>
      <c r="I110" s="44">
        <v>113.05</v>
      </c>
      <c r="J110" s="45">
        <v>109.85</v>
      </c>
      <c r="K110" s="46">
        <v>111.44999999999999</v>
      </c>
      <c r="L110" s="45">
        <v>195.15</v>
      </c>
      <c r="M110" s="45">
        <v>187.15</v>
      </c>
      <c r="N110" s="45">
        <v>191.15</v>
      </c>
      <c r="O110" s="44">
        <v>168.8</v>
      </c>
      <c r="P110" s="45">
        <v>167</v>
      </c>
      <c r="Q110" s="46">
        <v>167.9</v>
      </c>
      <c r="R110" s="45">
        <v>22.2</v>
      </c>
      <c r="S110" s="45">
        <v>21.599999999999998</v>
      </c>
      <c r="T110" s="45">
        <v>21.9</v>
      </c>
      <c r="U110" s="44">
        <v>14.41</v>
      </c>
      <c r="V110" s="45">
        <v>13.81</v>
      </c>
      <c r="W110" s="46">
        <v>14.11</v>
      </c>
      <c r="X110" s="44">
        <v>14.53</v>
      </c>
      <c r="Y110" s="45">
        <v>13.729999999999999</v>
      </c>
      <c r="Z110" s="46">
        <v>14.129999999999999</v>
      </c>
      <c r="AA110" s="44">
        <v>101.33</v>
      </c>
      <c r="AB110" s="45">
        <v>97.33</v>
      </c>
      <c r="AC110" s="46">
        <v>99.33</v>
      </c>
      <c r="AD110" s="44">
        <v>93.12</v>
      </c>
      <c r="AE110" s="45">
        <v>89.12</v>
      </c>
      <c r="AF110" s="46">
        <v>91.12</v>
      </c>
      <c r="AG110" s="45">
        <v>20.010000000000002</v>
      </c>
      <c r="AH110" s="45">
        <v>19.150000000000002</v>
      </c>
      <c r="AI110" s="45">
        <v>19.580000000000002</v>
      </c>
      <c r="AJ110" s="47"/>
      <c r="AK110" s="48"/>
      <c r="AL110" s="49"/>
      <c r="AM110" s="45">
        <v>113.61</v>
      </c>
      <c r="AN110" s="45">
        <v>111.95</v>
      </c>
      <c r="AO110" s="45">
        <v>112.78</v>
      </c>
      <c r="AP110" s="44">
        <v>41.78</v>
      </c>
      <c r="AQ110" s="45">
        <v>40.18</v>
      </c>
      <c r="AR110" s="46">
        <v>40.980000000000004</v>
      </c>
      <c r="AS110" s="45">
        <v>42.54</v>
      </c>
      <c r="AT110" s="45">
        <v>41.18</v>
      </c>
      <c r="AU110" s="45">
        <v>41.86</v>
      </c>
      <c r="AV110" s="44">
        <v>21.43</v>
      </c>
      <c r="AW110" s="45">
        <v>20.83</v>
      </c>
      <c r="AX110" s="46">
        <v>21.13</v>
      </c>
      <c r="AY110" s="44">
        <v>4.26</v>
      </c>
      <c r="AZ110" s="45">
        <v>4.0999999999999996</v>
      </c>
      <c r="BA110" s="46">
        <v>4.18</v>
      </c>
      <c r="BB110" s="44">
        <v>2</v>
      </c>
      <c r="BC110" s="50">
        <v>1.7</v>
      </c>
      <c r="BD110" s="51">
        <v>1.85</v>
      </c>
      <c r="BE110" s="45">
        <v>0.7</v>
      </c>
      <c r="BF110" s="50">
        <v>0.39999999999999997</v>
      </c>
      <c r="BG110" s="50">
        <v>0.54999999999999993</v>
      </c>
      <c r="BH110" s="44">
        <v>506.89</v>
      </c>
      <c r="BI110" s="45">
        <v>490.89</v>
      </c>
      <c r="BJ110" s="46">
        <v>498.89</v>
      </c>
      <c r="BK110" s="45">
        <v>42.85</v>
      </c>
      <c r="BL110" s="45">
        <v>41.49</v>
      </c>
      <c r="BM110" s="45">
        <v>42.17</v>
      </c>
      <c r="BN110" s="52">
        <v>1.0900000000000001</v>
      </c>
      <c r="BO110" s="50">
        <v>0.85000000000000009</v>
      </c>
      <c r="BP110" s="51">
        <v>0.97000000000000008</v>
      </c>
      <c r="BQ110" s="45">
        <v>10.24</v>
      </c>
      <c r="BR110" s="45">
        <v>8.24</v>
      </c>
      <c r="BS110" s="45">
        <v>9.24</v>
      </c>
      <c r="BT110" s="44">
        <v>11.29</v>
      </c>
      <c r="BU110" s="45">
        <v>10.889999999999999</v>
      </c>
      <c r="BV110" s="46">
        <v>11.09</v>
      </c>
      <c r="BW110" s="44">
        <v>2.87</v>
      </c>
      <c r="BX110" s="50">
        <v>2.59</v>
      </c>
      <c r="BY110" s="51">
        <v>2.73</v>
      </c>
      <c r="BZ110" s="44">
        <v>9.64</v>
      </c>
      <c r="CA110" s="45">
        <v>6.6400000000000006</v>
      </c>
      <c r="CB110" s="46">
        <v>8.14</v>
      </c>
      <c r="CC110" s="44">
        <v>6.57</v>
      </c>
      <c r="CD110" s="45">
        <v>6.33</v>
      </c>
      <c r="CE110" s="46">
        <v>6.45</v>
      </c>
      <c r="CF110" s="44">
        <v>1.9</v>
      </c>
      <c r="CG110" s="45">
        <v>1.4</v>
      </c>
      <c r="CH110" s="46">
        <v>1.65</v>
      </c>
      <c r="CI110" s="44">
        <v>0.44</v>
      </c>
      <c r="CJ110" s="45">
        <v>0.4</v>
      </c>
      <c r="CK110" s="46">
        <v>0.42000000000000004</v>
      </c>
      <c r="CL110" s="44">
        <v>39.340000000000003</v>
      </c>
      <c r="CM110">
        <v>36.940000000000005</v>
      </c>
      <c r="CN110">
        <v>38.14</v>
      </c>
      <c r="CO110">
        <v>7.24</v>
      </c>
      <c r="CP110">
        <v>2.2400000000000002</v>
      </c>
      <c r="CQ110">
        <v>4.74</v>
      </c>
    </row>
    <row r="111" spans="1:95">
      <c r="A111" s="223">
        <v>45398</v>
      </c>
      <c r="B111" s="90" t="s">
        <v>97</v>
      </c>
      <c r="C111" s="44">
        <v>155.41999999999999</v>
      </c>
      <c r="D111" s="45">
        <v>153.41999999999999</v>
      </c>
      <c r="E111" s="46">
        <v>154.41999999999999</v>
      </c>
      <c r="F111" s="44">
        <v>165.49</v>
      </c>
      <c r="G111" s="45">
        <v>162.49</v>
      </c>
      <c r="H111" s="46">
        <v>163.99</v>
      </c>
      <c r="I111" s="44">
        <v>113.55</v>
      </c>
      <c r="J111" s="45">
        <v>110.35</v>
      </c>
      <c r="K111" s="46">
        <v>111.94999999999999</v>
      </c>
      <c r="L111" s="45">
        <v>196.1</v>
      </c>
      <c r="M111" s="45">
        <v>188.1</v>
      </c>
      <c r="N111" s="45">
        <v>192.1</v>
      </c>
      <c r="O111" s="44">
        <v>170.09</v>
      </c>
      <c r="P111" s="45">
        <v>168.29</v>
      </c>
      <c r="Q111" s="46">
        <v>169.19</v>
      </c>
      <c r="R111" s="45">
        <v>22.28</v>
      </c>
      <c r="S111" s="45">
        <v>21.68</v>
      </c>
      <c r="T111" s="45">
        <v>21.98</v>
      </c>
      <c r="U111" s="44">
        <v>14.39</v>
      </c>
      <c r="V111" s="45">
        <v>13.790000000000001</v>
      </c>
      <c r="W111" s="46">
        <v>14.09</v>
      </c>
      <c r="X111" s="44">
        <v>14.56</v>
      </c>
      <c r="Y111" s="45">
        <v>13.76</v>
      </c>
      <c r="Z111" s="46">
        <v>14.16</v>
      </c>
      <c r="AA111" s="44">
        <v>101.25</v>
      </c>
      <c r="AB111" s="45">
        <v>97.25</v>
      </c>
      <c r="AC111" s="46">
        <v>99.25</v>
      </c>
      <c r="AD111" s="44">
        <v>93</v>
      </c>
      <c r="AE111" s="45">
        <v>89</v>
      </c>
      <c r="AF111" s="46">
        <v>91</v>
      </c>
      <c r="AG111" s="45">
        <v>20.149999999999999</v>
      </c>
      <c r="AH111" s="45">
        <v>19.29</v>
      </c>
      <c r="AI111" s="45">
        <v>19.72</v>
      </c>
      <c r="AJ111" s="47"/>
      <c r="AK111" s="48"/>
      <c r="AL111" s="49"/>
      <c r="AM111" s="45">
        <v>114.07</v>
      </c>
      <c r="AN111" s="45">
        <v>112.41</v>
      </c>
      <c r="AO111" s="45">
        <v>113.24</v>
      </c>
      <c r="AP111" s="44">
        <v>42.03</v>
      </c>
      <c r="AQ111" s="45">
        <v>40.43</v>
      </c>
      <c r="AR111" s="46">
        <v>41.230000000000004</v>
      </c>
      <c r="AS111" s="45">
        <v>42.8</v>
      </c>
      <c r="AT111" s="45">
        <v>41.44</v>
      </c>
      <c r="AU111" s="45">
        <v>42.12</v>
      </c>
      <c r="AV111" s="44">
        <v>21.56</v>
      </c>
      <c r="AW111" s="45">
        <v>20.959999999999997</v>
      </c>
      <c r="AX111" s="46">
        <v>21.259999999999998</v>
      </c>
      <c r="AY111" s="44">
        <v>4.2699999999999996</v>
      </c>
      <c r="AZ111" s="45">
        <v>4.1099999999999994</v>
      </c>
      <c r="BA111" s="46">
        <v>4.1899999999999995</v>
      </c>
      <c r="BB111" s="44">
        <v>2.0099999999999998</v>
      </c>
      <c r="BC111" s="50">
        <v>1.7099999999999997</v>
      </c>
      <c r="BD111" s="51">
        <v>1.8599999999999999</v>
      </c>
      <c r="BE111" s="45">
        <v>0.71</v>
      </c>
      <c r="BF111" s="50">
        <v>0.41</v>
      </c>
      <c r="BG111" s="50">
        <v>0.55999999999999994</v>
      </c>
      <c r="BH111" s="44">
        <v>508.55</v>
      </c>
      <c r="BI111" s="45">
        <v>492.55</v>
      </c>
      <c r="BJ111" s="46">
        <v>500.55</v>
      </c>
      <c r="BK111" s="45">
        <v>43.1</v>
      </c>
      <c r="BL111" s="45">
        <v>41.74</v>
      </c>
      <c r="BM111" s="45">
        <v>42.42</v>
      </c>
      <c r="BN111" s="52">
        <v>1.1000000000000001</v>
      </c>
      <c r="BO111" s="50">
        <v>0.8600000000000001</v>
      </c>
      <c r="BP111" s="51">
        <v>0.98000000000000009</v>
      </c>
      <c r="BQ111" s="45">
        <v>10.24</v>
      </c>
      <c r="BR111" s="45">
        <v>8.24</v>
      </c>
      <c r="BS111" s="45">
        <v>9.24</v>
      </c>
      <c r="BT111" s="44">
        <v>11.3</v>
      </c>
      <c r="BU111" s="45">
        <v>10.9</v>
      </c>
      <c r="BV111" s="46">
        <v>11.100000000000001</v>
      </c>
      <c r="BW111" s="44">
        <v>2.88</v>
      </c>
      <c r="BX111" s="50">
        <v>2.5999999999999996</v>
      </c>
      <c r="BY111" s="51">
        <v>2.7399999999999998</v>
      </c>
      <c r="BZ111" s="44">
        <v>9.6300000000000008</v>
      </c>
      <c r="CA111" s="45">
        <v>6.6300000000000008</v>
      </c>
      <c r="CB111" s="46">
        <v>8.1300000000000008</v>
      </c>
      <c r="CC111" s="44">
        <v>6.61</v>
      </c>
      <c r="CD111" s="45">
        <v>6.37</v>
      </c>
      <c r="CE111" s="46">
        <v>6.49</v>
      </c>
      <c r="CF111" s="44">
        <v>1.9</v>
      </c>
      <c r="CG111" s="45">
        <v>1.4</v>
      </c>
      <c r="CH111" s="46">
        <v>1.65</v>
      </c>
      <c r="CI111" s="44">
        <v>0.44</v>
      </c>
      <c r="CJ111" s="45">
        <v>0.4</v>
      </c>
      <c r="CK111" s="46">
        <v>0.42000000000000004</v>
      </c>
      <c r="CL111" s="44">
        <v>39.200000000000003</v>
      </c>
      <c r="CM111">
        <v>36.800000000000004</v>
      </c>
      <c r="CN111">
        <v>38</v>
      </c>
      <c r="CO111">
        <v>7.26</v>
      </c>
      <c r="CP111">
        <v>2.2599999999999998</v>
      </c>
      <c r="CQ111">
        <v>4.76</v>
      </c>
    </row>
    <row r="112" spans="1:95">
      <c r="A112" s="223">
        <v>45399</v>
      </c>
      <c r="B112" s="90" t="s">
        <v>98</v>
      </c>
      <c r="C112" s="44">
        <v>155.79</v>
      </c>
      <c r="D112" s="45">
        <v>153.79</v>
      </c>
      <c r="E112" s="46">
        <v>154.79</v>
      </c>
      <c r="F112" s="44">
        <v>165.9</v>
      </c>
      <c r="G112" s="45">
        <v>162.9</v>
      </c>
      <c r="H112" s="46">
        <v>164.4</v>
      </c>
      <c r="I112" s="44">
        <v>113.59</v>
      </c>
      <c r="J112" s="45">
        <v>110.39</v>
      </c>
      <c r="K112" s="46">
        <v>111.99000000000001</v>
      </c>
      <c r="L112" s="45">
        <v>196.39</v>
      </c>
      <c r="M112" s="45">
        <v>188.39</v>
      </c>
      <c r="N112" s="45">
        <v>192.39</v>
      </c>
      <c r="O112" s="44">
        <v>170.55</v>
      </c>
      <c r="P112" s="45">
        <v>168.75</v>
      </c>
      <c r="Q112" s="46">
        <v>169.65</v>
      </c>
      <c r="R112" s="45">
        <v>22.34</v>
      </c>
      <c r="S112" s="45">
        <v>21.74</v>
      </c>
      <c r="T112" s="45">
        <v>22.04</v>
      </c>
      <c r="U112" s="44">
        <v>14.41</v>
      </c>
      <c r="V112" s="45">
        <v>13.81</v>
      </c>
      <c r="W112" s="46">
        <v>14.11</v>
      </c>
      <c r="X112" s="44">
        <v>14.53</v>
      </c>
      <c r="Y112" s="45">
        <v>13.729999999999999</v>
      </c>
      <c r="Z112" s="46">
        <v>14.129999999999999</v>
      </c>
      <c r="AA112" s="44">
        <v>101.27</v>
      </c>
      <c r="AB112" s="45">
        <v>97.27</v>
      </c>
      <c r="AC112" s="46">
        <v>99.27</v>
      </c>
      <c r="AD112" s="44">
        <v>93.33</v>
      </c>
      <c r="AE112" s="45">
        <v>89.33</v>
      </c>
      <c r="AF112" s="46">
        <v>91.33</v>
      </c>
      <c r="AG112" s="45">
        <v>20.190000000000001</v>
      </c>
      <c r="AH112" s="45">
        <v>19.330000000000002</v>
      </c>
      <c r="AI112" s="45">
        <v>19.760000000000002</v>
      </c>
      <c r="AJ112" s="47"/>
      <c r="AK112" s="48"/>
      <c r="AL112" s="49"/>
      <c r="AM112" s="45">
        <v>114.3</v>
      </c>
      <c r="AN112" s="45">
        <v>112.64</v>
      </c>
      <c r="AO112" s="45">
        <v>113.47</v>
      </c>
      <c r="AP112" s="44">
        <v>42.13</v>
      </c>
      <c r="AQ112" s="45">
        <v>40.53</v>
      </c>
      <c r="AR112" s="46">
        <v>41.33</v>
      </c>
      <c r="AS112" s="45">
        <v>42.9</v>
      </c>
      <c r="AT112" s="45">
        <v>41.54</v>
      </c>
      <c r="AU112" s="45">
        <v>42.22</v>
      </c>
      <c r="AV112" s="44">
        <v>21.61</v>
      </c>
      <c r="AW112" s="45">
        <v>21.009999999999998</v>
      </c>
      <c r="AX112" s="46">
        <v>21.31</v>
      </c>
      <c r="AY112" s="44">
        <v>4.3099999999999996</v>
      </c>
      <c r="AZ112" s="45">
        <v>4.1499999999999995</v>
      </c>
      <c r="BA112" s="46">
        <v>4.2299999999999995</v>
      </c>
      <c r="BB112" s="44">
        <v>2.0099999999999998</v>
      </c>
      <c r="BC112" s="50">
        <v>1.7099999999999997</v>
      </c>
      <c r="BD112" s="51">
        <v>1.8599999999999999</v>
      </c>
      <c r="BE112" s="45">
        <v>0.71</v>
      </c>
      <c r="BF112" s="50">
        <v>0.41</v>
      </c>
      <c r="BG112" s="50">
        <v>0.55999999999999994</v>
      </c>
      <c r="BH112" s="44">
        <v>511.38</v>
      </c>
      <c r="BI112" s="45">
        <v>495.38</v>
      </c>
      <c r="BJ112" s="46">
        <v>503.38</v>
      </c>
      <c r="BK112" s="45">
        <v>43.2</v>
      </c>
      <c r="BL112" s="45">
        <v>41.84</v>
      </c>
      <c r="BM112" s="45">
        <v>42.52</v>
      </c>
      <c r="BN112" s="52">
        <v>1.08</v>
      </c>
      <c r="BO112" s="50">
        <v>0.84000000000000008</v>
      </c>
      <c r="BP112" s="51">
        <v>0.96000000000000008</v>
      </c>
      <c r="BQ112" s="45">
        <v>10.09</v>
      </c>
      <c r="BR112" s="45">
        <v>8.09</v>
      </c>
      <c r="BS112" s="45">
        <v>9.09</v>
      </c>
      <c r="BT112" s="44">
        <v>11.36</v>
      </c>
      <c r="BU112" s="45">
        <v>10.959999999999999</v>
      </c>
      <c r="BV112" s="46">
        <v>11.16</v>
      </c>
      <c r="BW112" s="44">
        <v>2.88</v>
      </c>
      <c r="BX112" s="50">
        <v>2.5999999999999996</v>
      </c>
      <c r="BY112" s="51">
        <v>2.7399999999999998</v>
      </c>
      <c r="BZ112" s="44">
        <v>9.6199999999999992</v>
      </c>
      <c r="CA112" s="45">
        <v>6.6199999999999992</v>
      </c>
      <c r="CB112" s="46">
        <v>8.1199999999999992</v>
      </c>
      <c r="CC112" s="44">
        <v>6.66</v>
      </c>
      <c r="CD112" s="45">
        <v>6.42</v>
      </c>
      <c r="CE112" s="46">
        <v>6.54</v>
      </c>
      <c r="CF112" s="44">
        <v>1.89</v>
      </c>
      <c r="CG112" s="45">
        <v>1.39</v>
      </c>
      <c r="CH112" s="46">
        <v>1.64</v>
      </c>
      <c r="CI112" s="44">
        <v>0.44</v>
      </c>
      <c r="CJ112" s="45">
        <v>0.4</v>
      </c>
      <c r="CK112" s="46">
        <v>0.42000000000000004</v>
      </c>
      <c r="CL112" s="44">
        <v>38.880000000000003</v>
      </c>
      <c r="CM112">
        <v>36.480000000000004</v>
      </c>
      <c r="CN112">
        <v>37.680000000000007</v>
      </c>
      <c r="CO112">
        <v>7.27</v>
      </c>
      <c r="CP112">
        <v>2.2699999999999996</v>
      </c>
      <c r="CQ112">
        <v>4.7699999999999996</v>
      </c>
    </row>
    <row r="113" spans="1:95">
      <c r="A113" s="223">
        <v>45400</v>
      </c>
      <c r="B113" s="90" t="s">
        <v>99</v>
      </c>
      <c r="C113" s="44">
        <v>155.46</v>
      </c>
      <c r="D113" s="45">
        <v>153.46</v>
      </c>
      <c r="E113" s="46">
        <v>154.46</v>
      </c>
      <c r="F113" s="44">
        <v>166.23</v>
      </c>
      <c r="G113" s="45">
        <v>163.22999999999999</v>
      </c>
      <c r="H113" s="46">
        <v>164.73</v>
      </c>
      <c r="I113" s="44">
        <v>113.76</v>
      </c>
      <c r="J113" s="45">
        <v>110.56</v>
      </c>
      <c r="K113" s="46">
        <v>112.16</v>
      </c>
      <c r="L113" s="45">
        <v>196.32</v>
      </c>
      <c r="M113" s="45">
        <v>188.32</v>
      </c>
      <c r="N113" s="45">
        <v>192.32</v>
      </c>
      <c r="O113" s="44">
        <v>170.49</v>
      </c>
      <c r="P113" s="45">
        <v>168.69</v>
      </c>
      <c r="Q113" s="46">
        <v>169.59</v>
      </c>
      <c r="R113" s="45">
        <v>22.38</v>
      </c>
      <c r="S113" s="45">
        <v>21.779999999999998</v>
      </c>
      <c r="T113" s="45">
        <v>22.08</v>
      </c>
      <c r="U113" s="44">
        <v>14.33</v>
      </c>
      <c r="V113" s="45">
        <v>13.73</v>
      </c>
      <c r="W113" s="46">
        <v>14.030000000000001</v>
      </c>
      <c r="X113" s="44">
        <v>14.51</v>
      </c>
      <c r="Y113" s="45">
        <v>13.709999999999999</v>
      </c>
      <c r="Z113" s="46">
        <v>14.11</v>
      </c>
      <c r="AA113" s="44">
        <v>101.41</v>
      </c>
      <c r="AB113" s="45">
        <v>97.41</v>
      </c>
      <c r="AC113" s="46">
        <v>99.41</v>
      </c>
      <c r="AD113" s="44">
        <v>93.33</v>
      </c>
      <c r="AE113" s="45">
        <v>89.33</v>
      </c>
      <c r="AF113" s="46">
        <v>91.33</v>
      </c>
      <c r="AG113" s="45">
        <v>20.16</v>
      </c>
      <c r="AH113" s="45">
        <v>19.3</v>
      </c>
      <c r="AI113" s="45">
        <v>19.73</v>
      </c>
      <c r="AJ113" s="47"/>
      <c r="AK113" s="48"/>
      <c r="AL113" s="49"/>
      <c r="AM113" s="45">
        <v>114.38</v>
      </c>
      <c r="AN113" s="45">
        <v>112.72</v>
      </c>
      <c r="AO113" s="45">
        <v>113.55</v>
      </c>
      <c r="AP113" s="44">
        <v>42.04</v>
      </c>
      <c r="AQ113" s="45">
        <v>40.44</v>
      </c>
      <c r="AR113" s="46">
        <v>41.239999999999995</v>
      </c>
      <c r="AS113" s="45">
        <v>42.81</v>
      </c>
      <c r="AT113" s="45">
        <v>41.45</v>
      </c>
      <c r="AU113" s="45">
        <v>42.13</v>
      </c>
      <c r="AV113" s="44">
        <v>21.62</v>
      </c>
      <c r="AW113" s="45">
        <v>21.02</v>
      </c>
      <c r="AX113" s="46">
        <v>21.32</v>
      </c>
      <c r="AY113" s="44">
        <v>4.3</v>
      </c>
      <c r="AZ113" s="45">
        <v>4.1399999999999997</v>
      </c>
      <c r="BA113" s="46">
        <v>4.22</v>
      </c>
      <c r="BB113" s="44">
        <v>2.0099999999999998</v>
      </c>
      <c r="BC113" s="50">
        <v>1.7099999999999997</v>
      </c>
      <c r="BD113" s="51">
        <v>1.8599999999999999</v>
      </c>
      <c r="BE113" s="45">
        <v>0.71</v>
      </c>
      <c r="BF113" s="50">
        <v>0.41</v>
      </c>
      <c r="BG113" s="50">
        <v>0.55999999999999994</v>
      </c>
      <c r="BH113" s="44">
        <v>510.31</v>
      </c>
      <c r="BI113" s="45">
        <v>494.31</v>
      </c>
      <c r="BJ113" s="46">
        <v>502.31</v>
      </c>
      <c r="BK113" s="45">
        <v>43.11</v>
      </c>
      <c r="BL113" s="45">
        <v>41.75</v>
      </c>
      <c r="BM113" s="45">
        <v>42.43</v>
      </c>
      <c r="BN113" s="52">
        <v>1.08</v>
      </c>
      <c r="BO113" s="50">
        <v>0.84000000000000008</v>
      </c>
      <c r="BP113" s="51">
        <v>0.96000000000000008</v>
      </c>
      <c r="BQ113" s="45">
        <v>10.11</v>
      </c>
      <c r="BR113" s="45">
        <v>8.11</v>
      </c>
      <c r="BS113" s="45">
        <v>9.11</v>
      </c>
      <c r="BT113" s="44">
        <v>11.42</v>
      </c>
      <c r="BU113" s="45">
        <v>11.02</v>
      </c>
      <c r="BV113" s="46">
        <v>11.219999999999999</v>
      </c>
      <c r="BW113" s="44">
        <v>2.86</v>
      </c>
      <c r="BX113" s="50">
        <v>2.58</v>
      </c>
      <c r="BY113" s="51">
        <v>2.7199999999999998</v>
      </c>
      <c r="BZ113" s="44">
        <v>9.61</v>
      </c>
      <c r="CA113" s="45">
        <v>6.6099999999999994</v>
      </c>
      <c r="CB113" s="46">
        <v>8.11</v>
      </c>
      <c r="CC113" s="44">
        <v>6.65</v>
      </c>
      <c r="CD113" s="45">
        <v>6.41</v>
      </c>
      <c r="CE113" s="46">
        <v>6.53</v>
      </c>
      <c r="CF113" s="44">
        <v>1.89</v>
      </c>
      <c r="CG113" s="45">
        <v>1.39</v>
      </c>
      <c r="CH113" s="46">
        <v>1.64</v>
      </c>
      <c r="CI113" s="44">
        <v>0.44</v>
      </c>
      <c r="CJ113" s="45">
        <v>0.4</v>
      </c>
      <c r="CK113" s="46">
        <v>0.42000000000000004</v>
      </c>
      <c r="CL113" s="44">
        <v>39.200000000000003</v>
      </c>
      <c r="CM113">
        <v>36.800000000000004</v>
      </c>
      <c r="CN113">
        <v>38</v>
      </c>
      <c r="CO113">
        <v>7.26</v>
      </c>
      <c r="CP113">
        <v>2.2599999999999998</v>
      </c>
      <c r="CQ113">
        <v>4.76</v>
      </c>
    </row>
    <row r="114" spans="1:95">
      <c r="A114" s="223">
        <v>45401</v>
      </c>
      <c r="B114" s="90" t="s">
        <v>100</v>
      </c>
      <c r="C114" s="44">
        <v>155.76</v>
      </c>
      <c r="D114" s="45">
        <v>153.76</v>
      </c>
      <c r="E114" s="46">
        <v>154.76</v>
      </c>
      <c r="F114" s="44">
        <v>166.2</v>
      </c>
      <c r="G114" s="45">
        <v>163.19999999999999</v>
      </c>
      <c r="H114" s="46">
        <v>164.7</v>
      </c>
      <c r="I114" s="44">
        <v>113.92</v>
      </c>
      <c r="J114" s="45">
        <v>110.72</v>
      </c>
      <c r="K114" s="46">
        <v>112.32</v>
      </c>
      <c r="L114" s="45">
        <v>196.37</v>
      </c>
      <c r="M114" s="45">
        <v>188.37</v>
      </c>
      <c r="N114" s="45">
        <v>192.37</v>
      </c>
      <c r="O114" s="44">
        <v>170.5</v>
      </c>
      <c r="P114" s="45">
        <v>168.7</v>
      </c>
      <c r="Q114" s="46">
        <v>169.6</v>
      </c>
      <c r="R114" s="45">
        <v>22.37</v>
      </c>
      <c r="S114" s="45">
        <v>21.77</v>
      </c>
      <c r="T114" s="45">
        <v>22.07</v>
      </c>
      <c r="U114" s="44">
        <v>14.29</v>
      </c>
      <c r="V114" s="45">
        <v>13.69</v>
      </c>
      <c r="W114" s="46">
        <v>13.989999999999998</v>
      </c>
      <c r="X114" s="44">
        <v>14.49</v>
      </c>
      <c r="Y114" s="45">
        <v>13.69</v>
      </c>
      <c r="Z114" s="46">
        <v>14.09</v>
      </c>
      <c r="AA114" s="44">
        <v>101.2</v>
      </c>
      <c r="AB114" s="45">
        <v>97.2</v>
      </c>
      <c r="AC114" s="46">
        <v>99.2</v>
      </c>
      <c r="AD114" s="44">
        <v>93.29</v>
      </c>
      <c r="AE114" s="45">
        <v>89.29</v>
      </c>
      <c r="AF114" s="46">
        <v>91.29</v>
      </c>
      <c r="AG114" s="45">
        <v>20.190000000000001</v>
      </c>
      <c r="AH114" s="45">
        <v>19.330000000000002</v>
      </c>
      <c r="AI114" s="45">
        <v>19.760000000000002</v>
      </c>
      <c r="AJ114" s="47"/>
      <c r="AK114" s="48"/>
      <c r="AL114" s="49"/>
      <c r="AM114" s="45">
        <v>114.41</v>
      </c>
      <c r="AN114" s="45">
        <v>112.75</v>
      </c>
      <c r="AO114" s="45">
        <v>113.58</v>
      </c>
      <c r="AP114" s="44">
        <v>42.12</v>
      </c>
      <c r="AQ114" s="45">
        <v>40.519999999999996</v>
      </c>
      <c r="AR114" s="46">
        <v>41.319999999999993</v>
      </c>
      <c r="AS114" s="45">
        <v>42.89</v>
      </c>
      <c r="AT114" s="45">
        <v>41.53</v>
      </c>
      <c r="AU114" s="45">
        <v>42.21</v>
      </c>
      <c r="AV114" s="44">
        <v>21.64</v>
      </c>
      <c r="AW114" s="45">
        <v>21.04</v>
      </c>
      <c r="AX114" s="46">
        <v>21.34</v>
      </c>
      <c r="AY114" s="44">
        <v>4.29</v>
      </c>
      <c r="AZ114" s="45">
        <v>4.13</v>
      </c>
      <c r="BA114" s="46">
        <v>4.21</v>
      </c>
      <c r="BB114" s="44">
        <v>2.0099999999999998</v>
      </c>
      <c r="BC114" s="50">
        <v>1.7099999999999997</v>
      </c>
      <c r="BD114" s="51">
        <v>1.8599999999999999</v>
      </c>
      <c r="BE114" s="45">
        <v>0.71</v>
      </c>
      <c r="BF114" s="50">
        <v>0.41</v>
      </c>
      <c r="BG114" s="50">
        <v>0.55999999999999994</v>
      </c>
      <c r="BH114" s="44">
        <v>510.79</v>
      </c>
      <c r="BI114" s="45">
        <v>494.79</v>
      </c>
      <c r="BJ114" s="46">
        <v>502.79</v>
      </c>
      <c r="BK114" s="45">
        <v>43.2</v>
      </c>
      <c r="BL114" s="45">
        <v>41.84</v>
      </c>
      <c r="BM114" s="45">
        <v>42.52</v>
      </c>
      <c r="BN114" s="52">
        <v>1.08</v>
      </c>
      <c r="BO114" s="50">
        <v>0.84000000000000008</v>
      </c>
      <c r="BP114" s="51">
        <v>0.96000000000000008</v>
      </c>
      <c r="BQ114" s="45">
        <v>10.050000000000001</v>
      </c>
      <c r="BR114" s="45">
        <v>8.0500000000000007</v>
      </c>
      <c r="BS114" s="45">
        <v>9.0500000000000007</v>
      </c>
      <c r="BT114" s="44">
        <v>11.39</v>
      </c>
      <c r="BU114" s="45">
        <v>10.99</v>
      </c>
      <c r="BV114" s="46">
        <v>11.190000000000001</v>
      </c>
      <c r="BW114" s="44">
        <v>2.87</v>
      </c>
      <c r="BX114" s="50">
        <v>2.59</v>
      </c>
      <c r="BY114" s="51">
        <v>2.73</v>
      </c>
      <c r="BZ114" s="44">
        <v>9.56</v>
      </c>
      <c r="CA114" s="45">
        <v>6.5600000000000005</v>
      </c>
      <c r="CB114" s="46">
        <v>8.06</v>
      </c>
      <c r="CC114" s="44">
        <v>6.64</v>
      </c>
      <c r="CD114" s="45">
        <v>6.3999999999999995</v>
      </c>
      <c r="CE114" s="46">
        <v>6.52</v>
      </c>
      <c r="CF114" s="44">
        <v>1.89</v>
      </c>
      <c r="CG114" s="45">
        <v>1.39</v>
      </c>
      <c r="CH114" s="46">
        <v>1.64</v>
      </c>
      <c r="CI114" s="44">
        <v>0.44</v>
      </c>
      <c r="CJ114" s="45">
        <v>0.4</v>
      </c>
      <c r="CK114" s="46">
        <v>0.42000000000000004</v>
      </c>
      <c r="CL114" s="44">
        <v>39.17</v>
      </c>
      <c r="CM114">
        <v>36.770000000000003</v>
      </c>
      <c r="CN114">
        <v>37.97</v>
      </c>
      <c r="CO114">
        <v>7.27</v>
      </c>
      <c r="CP114">
        <v>2.2699999999999996</v>
      </c>
      <c r="CQ114">
        <v>4.7699999999999996</v>
      </c>
    </row>
    <row r="115" spans="1:95">
      <c r="A115" s="223">
        <v>45402</v>
      </c>
      <c r="B115" s="90" t="s">
        <v>307</v>
      </c>
      <c r="C115" s="44"/>
      <c r="D115" s="45"/>
      <c r="E115" s="46"/>
      <c r="F115" s="44"/>
      <c r="G115" s="45"/>
      <c r="H115" s="46"/>
      <c r="I115" s="44"/>
      <c r="J115" s="45"/>
      <c r="K115" s="46"/>
      <c r="L115" s="45"/>
      <c r="M115" s="45"/>
      <c r="N115" s="45"/>
      <c r="O115" s="44"/>
      <c r="P115" s="45"/>
      <c r="Q115" s="46"/>
      <c r="R115" s="45"/>
      <c r="S115" s="45"/>
      <c r="T115" s="45"/>
      <c r="U115" s="44"/>
      <c r="V115" s="45"/>
      <c r="W115" s="46"/>
      <c r="X115" s="44"/>
      <c r="Y115" s="45"/>
      <c r="Z115" s="46"/>
      <c r="AA115" s="44"/>
      <c r="AB115" s="45"/>
      <c r="AC115" s="46"/>
      <c r="AD115" s="44"/>
      <c r="AE115" s="45"/>
      <c r="AF115" s="46"/>
      <c r="AG115" s="45"/>
      <c r="AH115" s="45"/>
      <c r="AI115" s="45"/>
      <c r="AJ115" s="47"/>
      <c r="AK115" s="48"/>
      <c r="AL115" s="49"/>
      <c r="AM115" s="45"/>
      <c r="AN115" s="45"/>
      <c r="AO115" s="45"/>
      <c r="AP115" s="44"/>
      <c r="AQ115" s="45"/>
      <c r="AR115" s="46"/>
      <c r="AS115" s="45"/>
      <c r="AT115" s="45"/>
      <c r="AU115" s="45"/>
      <c r="AV115" s="44"/>
      <c r="AW115" s="45"/>
      <c r="AX115" s="46"/>
      <c r="AY115" s="44"/>
      <c r="AZ115" s="45"/>
      <c r="BA115" s="46"/>
      <c r="BB115" s="44"/>
      <c r="BC115" s="50"/>
      <c r="BD115" s="51"/>
      <c r="BE115" s="45"/>
      <c r="BF115" s="50"/>
      <c r="BG115" s="50"/>
      <c r="BH115" s="44"/>
      <c r="BI115" s="45"/>
      <c r="BJ115" s="46"/>
      <c r="BK115" s="45"/>
      <c r="BL115" s="45"/>
      <c r="BM115" s="45"/>
      <c r="BN115" s="52"/>
      <c r="BO115" s="50"/>
      <c r="BP115" s="51"/>
      <c r="BQ115" s="45"/>
      <c r="BR115" s="45"/>
      <c r="BS115" s="45"/>
      <c r="BT115" s="44"/>
      <c r="BU115" s="45"/>
      <c r="BV115" s="46"/>
      <c r="BW115" s="44"/>
      <c r="BX115" s="50"/>
      <c r="BY115" s="51"/>
      <c r="BZ115" s="44"/>
      <c r="CA115" s="45"/>
      <c r="CB115" s="46"/>
      <c r="CC115" s="44"/>
      <c r="CD115" s="45"/>
      <c r="CE115" s="46"/>
      <c r="CF115" s="44"/>
      <c r="CG115" s="45"/>
      <c r="CH115" s="46"/>
      <c r="CI115" s="44"/>
      <c r="CJ115" s="45"/>
      <c r="CK115" s="46"/>
      <c r="CL115" s="44"/>
    </row>
    <row r="116" spans="1:95">
      <c r="A116" s="223">
        <v>45403</v>
      </c>
      <c r="B116" s="90" t="s">
        <v>308</v>
      </c>
      <c r="C116" s="44"/>
      <c r="D116" s="45"/>
      <c r="E116" s="46"/>
      <c r="F116" s="44"/>
      <c r="G116" s="45"/>
      <c r="H116" s="46"/>
      <c r="I116" s="44"/>
      <c r="J116" s="45"/>
      <c r="K116" s="46"/>
      <c r="L116" s="45"/>
      <c r="M116" s="45"/>
      <c r="N116" s="45"/>
      <c r="O116" s="44"/>
      <c r="P116" s="45"/>
      <c r="Q116" s="46"/>
      <c r="R116" s="45"/>
      <c r="S116" s="45"/>
      <c r="T116" s="45"/>
      <c r="U116" s="44"/>
      <c r="V116" s="45"/>
      <c r="W116" s="46"/>
      <c r="X116" s="44"/>
      <c r="Y116" s="45"/>
      <c r="Z116" s="46"/>
      <c r="AA116" s="44"/>
      <c r="AB116" s="45"/>
      <c r="AC116" s="46"/>
      <c r="AD116" s="44"/>
      <c r="AE116" s="45"/>
      <c r="AF116" s="46"/>
      <c r="AG116" s="45"/>
      <c r="AH116" s="45"/>
      <c r="AI116" s="45"/>
      <c r="AJ116" s="47"/>
      <c r="AK116" s="48"/>
      <c r="AL116" s="49"/>
      <c r="AM116" s="45"/>
      <c r="AN116" s="45"/>
      <c r="AO116" s="45"/>
      <c r="AP116" s="44"/>
      <c r="AQ116" s="45"/>
      <c r="AR116" s="46"/>
      <c r="AS116" s="45"/>
      <c r="AT116" s="45"/>
      <c r="AU116" s="45"/>
      <c r="AV116" s="44"/>
      <c r="AW116" s="45"/>
      <c r="AX116" s="46"/>
      <c r="AY116" s="44"/>
      <c r="AZ116" s="45"/>
      <c r="BA116" s="46"/>
      <c r="BB116" s="44"/>
      <c r="BC116" s="50"/>
      <c r="BD116" s="51"/>
      <c r="BE116" s="45"/>
      <c r="BF116" s="50"/>
      <c r="BG116" s="50"/>
      <c r="BH116" s="44"/>
      <c r="BI116" s="45"/>
      <c r="BJ116" s="46"/>
      <c r="BK116" s="45"/>
      <c r="BL116" s="45"/>
      <c r="BM116" s="45"/>
      <c r="BN116" s="52"/>
      <c r="BO116" s="50"/>
      <c r="BP116" s="51"/>
      <c r="BQ116" s="45"/>
      <c r="BR116" s="45"/>
      <c r="BS116" s="45"/>
      <c r="BT116" s="44"/>
      <c r="BU116" s="45"/>
      <c r="BV116" s="46"/>
      <c r="BW116" s="44"/>
      <c r="BX116" s="50"/>
      <c r="BY116" s="51"/>
      <c r="BZ116" s="44"/>
      <c r="CA116" s="45"/>
      <c r="CB116" s="46"/>
      <c r="CC116" s="44"/>
      <c r="CD116" s="45"/>
      <c r="CE116" s="46"/>
      <c r="CF116" s="44"/>
      <c r="CG116" s="45"/>
      <c r="CH116" s="46"/>
      <c r="CI116" s="44"/>
      <c r="CJ116" s="45"/>
      <c r="CK116" s="46"/>
      <c r="CL116" s="44"/>
    </row>
    <row r="117" spans="1:95">
      <c r="A117" s="223">
        <v>45404</v>
      </c>
      <c r="B117" s="90" t="s">
        <v>96</v>
      </c>
      <c r="C117" s="44">
        <v>155.80000000000001</v>
      </c>
      <c r="D117" s="45">
        <v>153.80000000000001</v>
      </c>
      <c r="E117" s="46">
        <v>154.80000000000001</v>
      </c>
      <c r="F117" s="44">
        <v>166.49</v>
      </c>
      <c r="G117" s="45">
        <v>163.49</v>
      </c>
      <c r="H117" s="46">
        <v>164.99</v>
      </c>
      <c r="I117" s="44">
        <v>114.27</v>
      </c>
      <c r="J117" s="45">
        <v>111.07</v>
      </c>
      <c r="K117" s="46">
        <v>112.66999999999999</v>
      </c>
      <c r="L117" s="45">
        <v>195.55</v>
      </c>
      <c r="M117" s="45">
        <v>187.55</v>
      </c>
      <c r="N117" s="45">
        <v>191.55</v>
      </c>
      <c r="O117" s="44">
        <v>170.79</v>
      </c>
      <c r="P117" s="45">
        <v>168.98999999999998</v>
      </c>
      <c r="Q117" s="46">
        <v>169.89</v>
      </c>
      <c r="R117" s="45">
        <v>22.41</v>
      </c>
      <c r="S117" s="45">
        <v>21.81</v>
      </c>
      <c r="T117" s="45">
        <v>22.11</v>
      </c>
      <c r="U117" s="44">
        <v>14.37</v>
      </c>
      <c r="V117" s="45">
        <v>13.77</v>
      </c>
      <c r="W117" s="46">
        <v>14.07</v>
      </c>
      <c r="X117" s="44">
        <v>14.58</v>
      </c>
      <c r="Y117" s="45">
        <v>13.78</v>
      </c>
      <c r="Z117" s="46">
        <v>14.18</v>
      </c>
      <c r="AA117" s="44">
        <v>101.58</v>
      </c>
      <c r="AB117" s="45">
        <v>97.58</v>
      </c>
      <c r="AC117" s="46">
        <v>99.58</v>
      </c>
      <c r="AD117" s="44">
        <v>93.41</v>
      </c>
      <c r="AE117" s="45">
        <v>89.41</v>
      </c>
      <c r="AF117" s="46">
        <v>91.41</v>
      </c>
      <c r="AG117" s="45">
        <v>20.190000000000001</v>
      </c>
      <c r="AH117" s="45">
        <v>19.330000000000002</v>
      </c>
      <c r="AI117" s="45">
        <v>19.760000000000002</v>
      </c>
      <c r="AJ117" s="47"/>
      <c r="AK117" s="48"/>
      <c r="AL117" s="49"/>
      <c r="AM117" s="45">
        <v>114.39</v>
      </c>
      <c r="AN117" s="45">
        <v>112.73</v>
      </c>
      <c r="AO117" s="45">
        <v>113.56</v>
      </c>
      <c r="AP117" s="44">
        <v>42.14</v>
      </c>
      <c r="AQ117" s="45">
        <v>40.54</v>
      </c>
      <c r="AR117" s="46">
        <v>41.34</v>
      </c>
      <c r="AS117" s="45">
        <v>42.91</v>
      </c>
      <c r="AT117" s="45">
        <v>41.55</v>
      </c>
      <c r="AU117" s="45">
        <v>42.23</v>
      </c>
      <c r="AV117" s="44">
        <v>21.64</v>
      </c>
      <c r="AW117" s="45">
        <v>21.04</v>
      </c>
      <c r="AX117" s="46">
        <v>21.34</v>
      </c>
      <c r="AY117" s="44">
        <v>4.2699999999999996</v>
      </c>
      <c r="AZ117" s="45">
        <v>4.1099999999999994</v>
      </c>
      <c r="BA117" s="46">
        <v>4.1899999999999995</v>
      </c>
      <c r="BB117" s="44">
        <v>2.02</v>
      </c>
      <c r="BC117" s="50">
        <v>1.72</v>
      </c>
      <c r="BD117" s="51">
        <v>1.87</v>
      </c>
      <c r="BE117" s="45">
        <v>0.71</v>
      </c>
      <c r="BF117" s="50">
        <v>0.41</v>
      </c>
      <c r="BG117" s="50">
        <v>0.55999999999999994</v>
      </c>
      <c r="BH117" s="44">
        <v>510.92</v>
      </c>
      <c r="BI117" s="45">
        <v>494.92</v>
      </c>
      <c r="BJ117" s="46">
        <v>502.92</v>
      </c>
      <c r="BK117" s="45">
        <v>43.2</v>
      </c>
      <c r="BL117" s="45">
        <v>41.84</v>
      </c>
      <c r="BM117" s="45">
        <v>42.52</v>
      </c>
      <c r="BN117" s="52">
        <v>1.08</v>
      </c>
      <c r="BO117" s="50">
        <v>0.84000000000000008</v>
      </c>
      <c r="BP117" s="51">
        <v>0.96000000000000008</v>
      </c>
      <c r="BQ117" s="45">
        <v>10.06</v>
      </c>
      <c r="BR117" s="45">
        <v>8.06</v>
      </c>
      <c r="BS117" s="45">
        <v>9.06</v>
      </c>
      <c r="BT117" s="44">
        <v>11.41</v>
      </c>
      <c r="BU117" s="45">
        <v>11.01</v>
      </c>
      <c r="BV117" s="46">
        <v>11.21</v>
      </c>
      <c r="BW117" s="44">
        <v>2.84</v>
      </c>
      <c r="BX117" s="50">
        <v>2.5599999999999996</v>
      </c>
      <c r="BY117" s="51">
        <v>2.6999999999999997</v>
      </c>
      <c r="BZ117" s="44">
        <v>9.59</v>
      </c>
      <c r="CA117" s="45">
        <v>6.59</v>
      </c>
      <c r="CB117" s="46">
        <v>8.09</v>
      </c>
      <c r="CC117" s="44">
        <v>6.66</v>
      </c>
      <c r="CD117" s="45">
        <v>6.42</v>
      </c>
      <c r="CE117" s="46">
        <v>6.54</v>
      </c>
      <c r="CF117" s="44">
        <v>1.91</v>
      </c>
      <c r="CG117" s="45">
        <v>1.41</v>
      </c>
      <c r="CH117" s="46">
        <v>1.66</v>
      </c>
      <c r="CI117" s="44">
        <v>0.44</v>
      </c>
      <c r="CJ117" s="45">
        <v>0.4</v>
      </c>
      <c r="CK117" s="46">
        <v>0.42000000000000004</v>
      </c>
      <c r="CL117" s="44">
        <v>39.520000000000003</v>
      </c>
      <c r="CM117">
        <v>37.120000000000005</v>
      </c>
      <c r="CN117">
        <v>38.320000000000007</v>
      </c>
      <c r="CO117">
        <v>7.25</v>
      </c>
      <c r="CP117">
        <v>2.25</v>
      </c>
      <c r="CQ117">
        <v>4.75</v>
      </c>
    </row>
    <row r="118" spans="1:95">
      <c r="A118" s="223">
        <v>45405</v>
      </c>
      <c r="B118" s="90" t="s">
        <v>97</v>
      </c>
      <c r="C118" s="44">
        <v>155.85</v>
      </c>
      <c r="D118" s="45">
        <v>153.85</v>
      </c>
      <c r="E118" s="46">
        <v>154.85</v>
      </c>
      <c r="F118" s="44">
        <v>166.55</v>
      </c>
      <c r="G118" s="45">
        <v>163.55000000000001</v>
      </c>
      <c r="H118" s="46">
        <v>165.05</v>
      </c>
      <c r="I118" s="44">
        <v>114.67</v>
      </c>
      <c r="J118" s="45">
        <v>111.47</v>
      </c>
      <c r="K118" s="46">
        <v>113.07</v>
      </c>
      <c r="L118" s="45">
        <v>195.27</v>
      </c>
      <c r="M118" s="45">
        <v>187.27</v>
      </c>
      <c r="N118" s="45">
        <v>191.27</v>
      </c>
      <c r="O118" s="44">
        <v>170.73</v>
      </c>
      <c r="P118" s="45">
        <v>168.92999999999998</v>
      </c>
      <c r="Q118" s="46">
        <v>169.82999999999998</v>
      </c>
      <c r="R118" s="45">
        <v>22.42</v>
      </c>
      <c r="S118" s="45">
        <v>21.82</v>
      </c>
      <c r="T118" s="45">
        <v>22.12</v>
      </c>
      <c r="U118" s="44">
        <v>14.41</v>
      </c>
      <c r="V118" s="45">
        <v>13.81</v>
      </c>
      <c r="W118" s="46">
        <v>14.11</v>
      </c>
      <c r="X118" s="44">
        <v>14.65</v>
      </c>
      <c r="Y118" s="45">
        <v>13.85</v>
      </c>
      <c r="Z118" s="46">
        <v>14.25</v>
      </c>
      <c r="AA118" s="44">
        <v>101.99</v>
      </c>
      <c r="AB118" s="45">
        <v>97.99</v>
      </c>
      <c r="AC118" s="46">
        <v>99.99</v>
      </c>
      <c r="AD118" s="44">
        <v>93.72</v>
      </c>
      <c r="AE118" s="45">
        <v>89.72</v>
      </c>
      <c r="AF118" s="46">
        <v>91.72</v>
      </c>
      <c r="AG118" s="45">
        <v>20.190000000000001</v>
      </c>
      <c r="AH118" s="45">
        <v>19.330000000000002</v>
      </c>
      <c r="AI118" s="45">
        <v>19.760000000000002</v>
      </c>
      <c r="AJ118" s="47"/>
      <c r="AK118" s="48"/>
      <c r="AL118" s="49"/>
      <c r="AM118" s="45">
        <v>114.57</v>
      </c>
      <c r="AN118" s="45">
        <v>112.91</v>
      </c>
      <c r="AO118" s="45">
        <v>113.74</v>
      </c>
      <c r="AP118" s="44">
        <v>42.15</v>
      </c>
      <c r="AQ118" s="45">
        <v>40.549999999999997</v>
      </c>
      <c r="AR118" s="46">
        <v>41.349999999999994</v>
      </c>
      <c r="AS118" s="45">
        <v>42.8</v>
      </c>
      <c r="AT118" s="45">
        <v>41.44</v>
      </c>
      <c r="AU118" s="45">
        <v>42.12</v>
      </c>
      <c r="AV118" s="44">
        <v>21.65</v>
      </c>
      <c r="AW118" s="45">
        <v>21.049999999999997</v>
      </c>
      <c r="AX118" s="46">
        <v>21.349999999999998</v>
      </c>
      <c r="AY118" s="44">
        <v>4.26</v>
      </c>
      <c r="AZ118" s="45">
        <v>4.0999999999999996</v>
      </c>
      <c r="BA118" s="46">
        <v>4.18</v>
      </c>
      <c r="BB118" s="44">
        <v>2.02</v>
      </c>
      <c r="BC118" s="50">
        <v>1.72</v>
      </c>
      <c r="BD118" s="51">
        <v>1.87</v>
      </c>
      <c r="BE118" s="45">
        <v>0.71</v>
      </c>
      <c r="BF118" s="50">
        <v>0.41</v>
      </c>
      <c r="BG118" s="50">
        <v>0.55999999999999994</v>
      </c>
      <c r="BH118" s="44">
        <v>511.41</v>
      </c>
      <c r="BI118" s="45">
        <v>495.41</v>
      </c>
      <c r="BJ118" s="46">
        <v>503.41</v>
      </c>
      <c r="BK118" s="45">
        <v>43.09</v>
      </c>
      <c r="BL118" s="45">
        <v>41.730000000000004</v>
      </c>
      <c r="BM118" s="45">
        <v>42.410000000000004</v>
      </c>
      <c r="BN118" s="52">
        <v>1.08</v>
      </c>
      <c r="BO118" s="50">
        <v>0.84000000000000008</v>
      </c>
      <c r="BP118" s="51">
        <v>0.96000000000000008</v>
      </c>
      <c r="BQ118" s="45">
        <v>10.050000000000001</v>
      </c>
      <c r="BR118" s="45">
        <v>8.0500000000000007</v>
      </c>
      <c r="BS118" s="45">
        <v>9.0500000000000007</v>
      </c>
      <c r="BT118" s="44">
        <v>11.44</v>
      </c>
      <c r="BU118" s="45">
        <v>11.04</v>
      </c>
      <c r="BV118" s="46">
        <v>11.239999999999998</v>
      </c>
      <c r="BW118" s="44">
        <v>2.85</v>
      </c>
      <c r="BX118" s="50">
        <v>2.5700000000000003</v>
      </c>
      <c r="BY118" s="51">
        <v>2.71</v>
      </c>
      <c r="BZ118" s="44">
        <v>9.57</v>
      </c>
      <c r="CA118" s="45">
        <v>6.57</v>
      </c>
      <c r="CB118" s="46">
        <v>8.07</v>
      </c>
      <c r="CC118" s="44">
        <v>6.66</v>
      </c>
      <c r="CD118" s="45">
        <v>6.42</v>
      </c>
      <c r="CE118" s="46">
        <v>6.54</v>
      </c>
      <c r="CF118" s="44">
        <v>1.9</v>
      </c>
      <c r="CG118" s="45">
        <v>1.4</v>
      </c>
      <c r="CH118" s="46">
        <v>1.65</v>
      </c>
      <c r="CI118" s="44">
        <v>0.44</v>
      </c>
      <c r="CJ118" s="45">
        <v>0.4</v>
      </c>
      <c r="CK118" s="46">
        <v>0.42000000000000004</v>
      </c>
      <c r="CL118" s="44">
        <v>39.47</v>
      </c>
      <c r="CM118">
        <v>37.07</v>
      </c>
      <c r="CN118">
        <v>38.269999999999996</v>
      </c>
      <c r="CO118">
        <v>7.26</v>
      </c>
      <c r="CP118">
        <v>2.2599999999999998</v>
      </c>
      <c r="CQ118">
        <v>4.76</v>
      </c>
    </row>
    <row r="119" spans="1:95">
      <c r="A119" s="223">
        <v>45406</v>
      </c>
      <c r="B119" s="90" t="s">
        <v>98</v>
      </c>
      <c r="C119" s="44">
        <v>155.86000000000001</v>
      </c>
      <c r="D119" s="45">
        <v>153.86000000000001</v>
      </c>
      <c r="E119" s="46">
        <v>154.86000000000001</v>
      </c>
      <c r="F119" s="44">
        <v>167.31</v>
      </c>
      <c r="G119" s="45">
        <v>164.31</v>
      </c>
      <c r="H119" s="46">
        <v>165.81</v>
      </c>
      <c r="I119" s="44">
        <v>114.98</v>
      </c>
      <c r="J119" s="45">
        <v>111.78</v>
      </c>
      <c r="K119" s="46">
        <v>113.38</v>
      </c>
      <c r="L119" s="45">
        <v>196.96</v>
      </c>
      <c r="M119" s="45">
        <v>188.96</v>
      </c>
      <c r="N119" s="45">
        <v>192.96</v>
      </c>
      <c r="O119" s="44">
        <v>170.76</v>
      </c>
      <c r="P119" s="45">
        <v>168.95999999999998</v>
      </c>
      <c r="Q119" s="46">
        <v>169.85999999999999</v>
      </c>
      <c r="R119" s="45">
        <v>22.53</v>
      </c>
      <c r="S119" s="45">
        <v>21.93</v>
      </c>
      <c r="T119" s="45">
        <v>22.23</v>
      </c>
      <c r="U119" s="44">
        <v>14.52</v>
      </c>
      <c r="V119" s="45">
        <v>13.92</v>
      </c>
      <c r="W119" s="46">
        <v>14.219999999999999</v>
      </c>
      <c r="X119" s="44">
        <v>14.75</v>
      </c>
      <c r="Y119" s="45">
        <v>13.95</v>
      </c>
      <c r="Z119" s="46">
        <v>14.35</v>
      </c>
      <c r="AA119" s="44">
        <v>102.6</v>
      </c>
      <c r="AB119" s="45">
        <v>98.6</v>
      </c>
      <c r="AC119" s="46">
        <v>100.6</v>
      </c>
      <c r="AD119" s="44">
        <v>94.06</v>
      </c>
      <c r="AE119" s="45">
        <v>90.06</v>
      </c>
      <c r="AF119" s="46">
        <v>92.06</v>
      </c>
      <c r="AG119" s="45">
        <v>20.190000000000001</v>
      </c>
      <c r="AH119" s="45">
        <v>19.330000000000002</v>
      </c>
      <c r="AI119" s="45">
        <v>19.760000000000002</v>
      </c>
      <c r="AJ119" s="47"/>
      <c r="AK119" s="48"/>
      <c r="AL119" s="49"/>
      <c r="AM119" s="45">
        <v>114.66</v>
      </c>
      <c r="AN119" s="45">
        <v>113</v>
      </c>
      <c r="AO119" s="45">
        <v>113.83</v>
      </c>
      <c r="AP119" s="44">
        <v>42.15</v>
      </c>
      <c r="AQ119" s="45">
        <v>40.549999999999997</v>
      </c>
      <c r="AR119" s="46">
        <v>41.349999999999994</v>
      </c>
      <c r="AS119" s="45">
        <v>42.91</v>
      </c>
      <c r="AT119" s="45">
        <v>41.55</v>
      </c>
      <c r="AU119" s="45">
        <v>42.23</v>
      </c>
      <c r="AV119" s="44">
        <v>21.63</v>
      </c>
      <c r="AW119" s="45">
        <v>21.029999999999998</v>
      </c>
      <c r="AX119" s="46">
        <v>21.33</v>
      </c>
      <c r="AY119" s="44">
        <v>4.28</v>
      </c>
      <c r="AZ119" s="45">
        <v>4.12</v>
      </c>
      <c r="BA119" s="46">
        <v>4.2</v>
      </c>
      <c r="BB119" s="44">
        <v>2.02</v>
      </c>
      <c r="BC119" s="50">
        <v>1.72</v>
      </c>
      <c r="BD119" s="51">
        <v>1.87</v>
      </c>
      <c r="BE119" s="45">
        <v>0.71</v>
      </c>
      <c r="BF119" s="50">
        <v>0.41</v>
      </c>
      <c r="BG119" s="50">
        <v>0.55999999999999994</v>
      </c>
      <c r="BH119" s="44">
        <v>511.77</v>
      </c>
      <c r="BI119" s="45">
        <v>495.77</v>
      </c>
      <c r="BJ119" s="46">
        <v>503.77</v>
      </c>
      <c r="BK119" s="45">
        <v>43.24</v>
      </c>
      <c r="BL119" s="45">
        <v>41.88</v>
      </c>
      <c r="BM119" s="45">
        <v>42.56</v>
      </c>
      <c r="BN119" s="52">
        <v>1.08</v>
      </c>
      <c r="BO119" s="50">
        <v>0.84000000000000008</v>
      </c>
      <c r="BP119" s="51">
        <v>0.96000000000000008</v>
      </c>
      <c r="BQ119" s="45">
        <v>10.14</v>
      </c>
      <c r="BR119" s="45">
        <v>8.14</v>
      </c>
      <c r="BS119" s="45">
        <v>9.14</v>
      </c>
      <c r="BT119" s="44">
        <v>11.52</v>
      </c>
      <c r="BU119" s="45">
        <v>11.12</v>
      </c>
      <c r="BV119" s="46">
        <v>11.32</v>
      </c>
      <c r="BW119" s="44">
        <v>2.85</v>
      </c>
      <c r="BX119" s="50">
        <v>2.5700000000000003</v>
      </c>
      <c r="BY119" s="51">
        <v>2.71</v>
      </c>
      <c r="BZ119" s="44">
        <v>9.6</v>
      </c>
      <c r="CA119" s="45">
        <v>6.6</v>
      </c>
      <c r="CB119" s="46">
        <v>8.1</v>
      </c>
      <c r="CC119" s="44">
        <v>6.7</v>
      </c>
      <c r="CD119" s="45">
        <v>6.46</v>
      </c>
      <c r="CE119" s="46">
        <v>6.58</v>
      </c>
      <c r="CF119" s="44">
        <v>1.91</v>
      </c>
      <c r="CG119" s="45">
        <v>1.41</v>
      </c>
      <c r="CH119" s="46">
        <v>1.66</v>
      </c>
      <c r="CI119" s="44">
        <v>0.44</v>
      </c>
      <c r="CJ119" s="45">
        <v>0.4</v>
      </c>
      <c r="CK119" s="46">
        <v>0.42000000000000004</v>
      </c>
      <c r="CL119" s="44">
        <v>39.69</v>
      </c>
      <c r="CM119">
        <v>37.29</v>
      </c>
      <c r="CN119">
        <v>38.489999999999995</v>
      </c>
      <c r="CO119">
        <v>7.27</v>
      </c>
      <c r="CP119">
        <v>2.2699999999999996</v>
      </c>
      <c r="CQ119">
        <v>4.7699999999999996</v>
      </c>
    </row>
    <row r="120" spans="1:95">
      <c r="A120" s="223">
        <v>45407</v>
      </c>
      <c r="B120" s="90" t="s">
        <v>99</v>
      </c>
      <c r="C120" s="44">
        <v>156.53</v>
      </c>
      <c r="D120" s="45">
        <v>154.53</v>
      </c>
      <c r="E120" s="46">
        <v>155.53</v>
      </c>
      <c r="F120" s="44">
        <v>167.99</v>
      </c>
      <c r="G120" s="45">
        <v>164.99</v>
      </c>
      <c r="H120" s="46">
        <v>166.49</v>
      </c>
      <c r="I120" s="44">
        <v>115.16</v>
      </c>
      <c r="J120" s="45">
        <v>111.96</v>
      </c>
      <c r="K120" s="46">
        <v>113.56</v>
      </c>
      <c r="L120" s="45">
        <v>197.87</v>
      </c>
      <c r="M120" s="45">
        <v>189.87</v>
      </c>
      <c r="N120" s="45">
        <v>193.87</v>
      </c>
      <c r="O120" s="44">
        <v>170.92</v>
      </c>
      <c r="P120" s="45">
        <v>169.11999999999998</v>
      </c>
      <c r="Q120" s="46">
        <v>170.01999999999998</v>
      </c>
      <c r="R120" s="45">
        <v>22.62</v>
      </c>
      <c r="S120" s="45">
        <v>22.02</v>
      </c>
      <c r="T120" s="45">
        <v>22.32</v>
      </c>
      <c r="U120" s="44">
        <v>14.46</v>
      </c>
      <c r="V120" s="45">
        <v>13.860000000000001</v>
      </c>
      <c r="W120" s="46">
        <v>14.16</v>
      </c>
      <c r="X120" s="44">
        <v>14.7</v>
      </c>
      <c r="Y120" s="45">
        <v>13.899999999999999</v>
      </c>
      <c r="Z120" s="46">
        <v>14.299999999999999</v>
      </c>
      <c r="AA120" s="44">
        <v>103.11</v>
      </c>
      <c r="AB120" s="45">
        <v>99.11</v>
      </c>
      <c r="AC120" s="46">
        <v>101.11</v>
      </c>
      <c r="AD120" s="44">
        <v>94.37</v>
      </c>
      <c r="AE120" s="45">
        <v>90.37</v>
      </c>
      <c r="AF120" s="46">
        <v>92.37</v>
      </c>
      <c r="AG120" s="45">
        <v>20.29</v>
      </c>
      <c r="AH120" s="45">
        <v>19.43</v>
      </c>
      <c r="AI120" s="45">
        <v>19.86</v>
      </c>
      <c r="AJ120" s="47"/>
      <c r="AK120" s="48"/>
      <c r="AL120" s="49"/>
      <c r="AM120" s="45">
        <v>115.06</v>
      </c>
      <c r="AN120" s="45">
        <v>113.4</v>
      </c>
      <c r="AO120" s="45">
        <v>114.23</v>
      </c>
      <c r="AP120" s="44">
        <v>42.34</v>
      </c>
      <c r="AQ120" s="45">
        <v>40.74</v>
      </c>
      <c r="AR120" s="46">
        <v>41.540000000000006</v>
      </c>
      <c r="AS120" s="45">
        <v>43.1</v>
      </c>
      <c r="AT120" s="45">
        <v>41.74</v>
      </c>
      <c r="AU120" s="45">
        <v>42.42</v>
      </c>
      <c r="AV120" s="44">
        <v>21.68</v>
      </c>
      <c r="AW120" s="45">
        <v>21.08</v>
      </c>
      <c r="AX120" s="46">
        <v>21.38</v>
      </c>
      <c r="AY120" s="44">
        <v>4.28</v>
      </c>
      <c r="AZ120" s="45">
        <v>4.12</v>
      </c>
      <c r="BA120" s="46">
        <v>4.2</v>
      </c>
      <c r="BB120" s="44">
        <v>2.0299999999999998</v>
      </c>
      <c r="BC120" s="50">
        <v>1.7299999999999998</v>
      </c>
      <c r="BD120" s="51">
        <v>1.88</v>
      </c>
      <c r="BE120" s="45">
        <v>0.71</v>
      </c>
      <c r="BF120" s="50">
        <v>0.41</v>
      </c>
      <c r="BG120" s="50">
        <v>0.55999999999999994</v>
      </c>
      <c r="BH120" s="44">
        <v>513.95000000000005</v>
      </c>
      <c r="BI120" s="45">
        <v>497.95000000000005</v>
      </c>
      <c r="BJ120" s="46">
        <v>505.95000000000005</v>
      </c>
      <c r="BK120" s="45">
        <v>43.41</v>
      </c>
      <c r="BL120" s="45">
        <v>42.05</v>
      </c>
      <c r="BM120" s="45">
        <v>42.73</v>
      </c>
      <c r="BN120" s="52">
        <v>1.0900000000000001</v>
      </c>
      <c r="BO120" s="50">
        <v>0.85000000000000009</v>
      </c>
      <c r="BP120" s="51">
        <v>0.97000000000000008</v>
      </c>
      <c r="BQ120" s="45">
        <v>10.11</v>
      </c>
      <c r="BR120" s="45">
        <v>8.11</v>
      </c>
      <c r="BS120" s="45">
        <v>9.11</v>
      </c>
      <c r="BT120" s="44">
        <v>11.51</v>
      </c>
      <c r="BU120" s="45">
        <v>11.11</v>
      </c>
      <c r="BV120" s="46">
        <v>11.309999999999999</v>
      </c>
      <c r="BW120" s="44">
        <v>2.86</v>
      </c>
      <c r="BX120" s="50">
        <v>2.58</v>
      </c>
      <c r="BY120" s="51">
        <v>2.7199999999999998</v>
      </c>
      <c r="BZ120" s="44">
        <v>9.59</v>
      </c>
      <c r="CA120" s="45">
        <v>6.59</v>
      </c>
      <c r="CB120" s="46">
        <v>8.09</v>
      </c>
      <c r="CC120" s="44">
        <v>6.72</v>
      </c>
      <c r="CD120" s="45">
        <v>6.4799999999999995</v>
      </c>
      <c r="CE120" s="46">
        <v>6.6</v>
      </c>
      <c r="CF120" s="44">
        <v>1.94</v>
      </c>
      <c r="CG120" s="45">
        <v>1.44</v>
      </c>
      <c r="CH120" s="46">
        <v>1.69</v>
      </c>
      <c r="CI120" s="44">
        <v>0.44</v>
      </c>
      <c r="CJ120" s="45">
        <v>0.4</v>
      </c>
      <c r="CK120" s="46">
        <v>0.42000000000000004</v>
      </c>
      <c r="CL120" s="44">
        <v>39.630000000000003</v>
      </c>
      <c r="CM120">
        <v>37.230000000000004</v>
      </c>
      <c r="CN120">
        <v>38.430000000000007</v>
      </c>
      <c r="CO120">
        <v>7.29</v>
      </c>
      <c r="CP120">
        <v>2.29</v>
      </c>
      <c r="CQ120">
        <v>4.79</v>
      </c>
    </row>
    <row r="121" spans="1:95">
      <c r="A121" s="223">
        <v>45408</v>
      </c>
      <c r="B121" s="90" t="s">
        <v>100</v>
      </c>
      <c r="C121" s="44">
        <v>156.76</v>
      </c>
      <c r="D121" s="45">
        <v>154.76</v>
      </c>
      <c r="E121" s="46">
        <v>155.76</v>
      </c>
      <c r="F121" s="44">
        <v>168.55</v>
      </c>
      <c r="G121" s="45">
        <v>165.55</v>
      </c>
      <c r="H121" s="46">
        <v>167.05</v>
      </c>
      <c r="I121" s="44">
        <v>115.65</v>
      </c>
      <c r="J121" s="45">
        <v>112.45</v>
      </c>
      <c r="K121" s="46">
        <v>114.05000000000001</v>
      </c>
      <c r="L121" s="45">
        <v>198.76</v>
      </c>
      <c r="M121" s="45">
        <v>190.76</v>
      </c>
      <c r="N121" s="45">
        <v>194.76</v>
      </c>
      <c r="O121" s="44">
        <v>171.48</v>
      </c>
      <c r="P121" s="45">
        <v>169.67999999999998</v>
      </c>
      <c r="Q121" s="46">
        <v>170.57999999999998</v>
      </c>
      <c r="R121" s="45">
        <v>22.7</v>
      </c>
      <c r="S121" s="45">
        <v>22.099999999999998</v>
      </c>
      <c r="T121" s="45">
        <v>22.4</v>
      </c>
      <c r="U121" s="44">
        <v>14.51</v>
      </c>
      <c r="V121" s="45">
        <v>13.91</v>
      </c>
      <c r="W121" s="46">
        <v>14.21</v>
      </c>
      <c r="X121" s="44">
        <v>14.7</v>
      </c>
      <c r="Y121" s="45">
        <v>13.899999999999999</v>
      </c>
      <c r="Z121" s="46">
        <v>14.299999999999999</v>
      </c>
      <c r="AA121" s="44">
        <v>103.65</v>
      </c>
      <c r="AB121" s="45">
        <v>99.65</v>
      </c>
      <c r="AC121" s="46">
        <v>101.65</v>
      </c>
      <c r="AD121" s="44">
        <v>94.9</v>
      </c>
      <c r="AE121" s="45">
        <v>90.9</v>
      </c>
      <c r="AF121" s="46">
        <v>92.9</v>
      </c>
      <c r="AG121" s="45">
        <v>20.329999999999998</v>
      </c>
      <c r="AH121" s="45">
        <v>19.47</v>
      </c>
      <c r="AI121" s="45">
        <v>19.899999999999999</v>
      </c>
      <c r="AJ121" s="47"/>
      <c r="AK121" s="48"/>
      <c r="AL121" s="49"/>
      <c r="AM121" s="45">
        <v>115.42</v>
      </c>
      <c r="AN121" s="45">
        <v>113.76</v>
      </c>
      <c r="AO121" s="45">
        <v>114.59</v>
      </c>
      <c r="AP121" s="44">
        <v>42.4</v>
      </c>
      <c r="AQ121" s="45">
        <v>40.799999999999997</v>
      </c>
      <c r="AR121" s="46">
        <v>41.599999999999994</v>
      </c>
      <c r="AS121" s="45">
        <v>43.16</v>
      </c>
      <c r="AT121" s="45">
        <v>41.8</v>
      </c>
      <c r="AU121" s="45">
        <v>42.48</v>
      </c>
      <c r="AV121" s="44">
        <v>21.76</v>
      </c>
      <c r="AW121" s="45">
        <v>21.16</v>
      </c>
      <c r="AX121" s="46">
        <v>21.46</v>
      </c>
      <c r="AY121" s="44">
        <v>4.29</v>
      </c>
      <c r="AZ121" s="45">
        <v>4.13</v>
      </c>
      <c r="BA121" s="46">
        <v>4.21</v>
      </c>
      <c r="BB121" s="44">
        <v>2.0299999999999998</v>
      </c>
      <c r="BC121" s="50">
        <v>1.7299999999999998</v>
      </c>
      <c r="BD121" s="51">
        <v>1.88</v>
      </c>
      <c r="BE121" s="45">
        <v>0.71</v>
      </c>
      <c r="BF121" s="50">
        <v>0.41</v>
      </c>
      <c r="BG121" s="50">
        <v>0.55999999999999994</v>
      </c>
      <c r="BH121" s="44">
        <v>513.05999999999995</v>
      </c>
      <c r="BI121" s="45">
        <v>497.05999999999995</v>
      </c>
      <c r="BJ121" s="46">
        <v>505.05999999999995</v>
      </c>
      <c r="BK121" s="45">
        <v>43.47</v>
      </c>
      <c r="BL121" s="45">
        <v>42.11</v>
      </c>
      <c r="BM121" s="45">
        <v>42.79</v>
      </c>
      <c r="BN121" s="52">
        <v>1.0900000000000001</v>
      </c>
      <c r="BO121" s="50">
        <v>0.85000000000000009</v>
      </c>
      <c r="BP121" s="51">
        <v>0.97000000000000008</v>
      </c>
      <c r="BQ121" s="45">
        <v>10.06</v>
      </c>
      <c r="BR121" s="45">
        <v>8.06</v>
      </c>
      <c r="BS121" s="45">
        <v>9.06</v>
      </c>
      <c r="BT121" s="44">
        <v>11.55</v>
      </c>
      <c r="BU121" s="45">
        <v>11.15</v>
      </c>
      <c r="BV121" s="46">
        <v>11.350000000000001</v>
      </c>
      <c r="BW121" s="44">
        <v>2.86</v>
      </c>
      <c r="BX121" s="50">
        <v>2.58</v>
      </c>
      <c r="BY121" s="51">
        <v>2.7199999999999998</v>
      </c>
      <c r="BZ121" s="44">
        <v>9.69</v>
      </c>
      <c r="CA121" s="45">
        <v>6.6899999999999995</v>
      </c>
      <c r="CB121" s="46">
        <v>8.19</v>
      </c>
      <c r="CC121" s="44">
        <v>6.77</v>
      </c>
      <c r="CD121" s="45">
        <v>6.5299999999999994</v>
      </c>
      <c r="CE121" s="46">
        <v>6.6499999999999995</v>
      </c>
      <c r="CF121" s="44">
        <v>1.94</v>
      </c>
      <c r="CG121" s="45">
        <v>1.44</v>
      </c>
      <c r="CH121" s="46">
        <v>1.69</v>
      </c>
      <c r="CI121" s="44">
        <v>0.45</v>
      </c>
      <c r="CJ121" s="45">
        <v>0.41000000000000003</v>
      </c>
      <c r="CK121" s="46">
        <v>0.43000000000000005</v>
      </c>
      <c r="CL121" s="44">
        <v>39.950000000000003</v>
      </c>
      <c r="CM121">
        <v>37.550000000000004</v>
      </c>
      <c r="CN121">
        <v>38.75</v>
      </c>
      <c r="CO121">
        <v>7.31</v>
      </c>
      <c r="CP121">
        <v>2.3099999999999996</v>
      </c>
      <c r="CQ121">
        <v>4.8099999999999996</v>
      </c>
    </row>
    <row r="122" spans="1:95">
      <c r="A122" s="223">
        <v>45409</v>
      </c>
      <c r="B122" s="90" t="s">
        <v>307</v>
      </c>
      <c r="C122" s="44"/>
      <c r="D122" s="45"/>
      <c r="E122" s="46"/>
      <c r="F122" s="44"/>
      <c r="G122" s="45"/>
      <c r="H122" s="46"/>
      <c r="I122" s="44"/>
      <c r="J122" s="45"/>
      <c r="K122" s="46"/>
      <c r="L122" s="45"/>
      <c r="M122" s="45"/>
      <c r="N122" s="45"/>
      <c r="O122" s="44"/>
      <c r="P122" s="45"/>
      <c r="Q122" s="46"/>
      <c r="R122" s="45"/>
      <c r="S122" s="45"/>
      <c r="T122" s="45"/>
      <c r="U122" s="44"/>
      <c r="V122" s="45"/>
      <c r="W122" s="46"/>
      <c r="X122" s="44"/>
      <c r="Y122" s="45"/>
      <c r="Z122" s="46"/>
      <c r="AA122" s="44"/>
      <c r="AB122" s="45"/>
      <c r="AC122" s="46"/>
      <c r="AD122" s="44"/>
      <c r="AE122" s="45"/>
      <c r="AF122" s="46"/>
      <c r="AG122" s="45"/>
      <c r="AH122" s="45"/>
      <c r="AI122" s="45"/>
      <c r="AJ122" s="47"/>
      <c r="AK122" s="48"/>
      <c r="AL122" s="49"/>
      <c r="AM122" s="45"/>
      <c r="AN122" s="45"/>
      <c r="AO122" s="45"/>
      <c r="AP122" s="44"/>
      <c r="AQ122" s="45"/>
      <c r="AR122" s="46"/>
      <c r="AS122" s="45"/>
      <c r="AT122" s="45"/>
      <c r="AU122" s="45"/>
      <c r="AV122" s="44"/>
      <c r="AW122" s="45"/>
      <c r="AX122" s="46"/>
      <c r="AY122" s="44"/>
      <c r="AZ122" s="45"/>
      <c r="BA122" s="46"/>
      <c r="BB122" s="44"/>
      <c r="BC122" s="50"/>
      <c r="BD122" s="51"/>
      <c r="BE122" s="45"/>
      <c r="BF122" s="50"/>
      <c r="BG122" s="50"/>
      <c r="BH122" s="44"/>
      <c r="BI122" s="45"/>
      <c r="BJ122" s="46"/>
      <c r="BK122" s="45"/>
      <c r="BL122" s="45"/>
      <c r="BM122" s="45"/>
      <c r="BN122" s="52"/>
      <c r="BO122" s="50"/>
      <c r="BP122" s="51"/>
      <c r="BQ122" s="45"/>
      <c r="BR122" s="45"/>
      <c r="BS122" s="45"/>
      <c r="BT122" s="44"/>
      <c r="BU122" s="45"/>
      <c r="BV122" s="46"/>
      <c r="BW122" s="44"/>
      <c r="BX122" s="50"/>
      <c r="BY122" s="51"/>
      <c r="BZ122" s="44"/>
      <c r="CA122" s="45"/>
      <c r="CB122" s="46"/>
      <c r="CC122" s="44"/>
      <c r="CD122" s="45"/>
      <c r="CE122" s="46"/>
      <c r="CF122" s="44"/>
      <c r="CG122" s="45"/>
      <c r="CH122" s="46"/>
      <c r="CI122" s="44"/>
      <c r="CJ122" s="45"/>
      <c r="CK122" s="46"/>
      <c r="CL122" s="44"/>
    </row>
    <row r="123" spans="1:95">
      <c r="A123" s="223">
        <v>45410</v>
      </c>
      <c r="B123" s="90" t="s">
        <v>308</v>
      </c>
      <c r="C123" s="44"/>
      <c r="D123" s="45"/>
      <c r="E123" s="46"/>
      <c r="F123" s="44"/>
      <c r="G123" s="45"/>
      <c r="H123" s="46"/>
      <c r="I123" s="44"/>
      <c r="J123" s="45"/>
      <c r="K123" s="46"/>
      <c r="L123" s="45"/>
      <c r="M123" s="45"/>
      <c r="N123" s="45"/>
      <c r="O123" s="44"/>
      <c r="P123" s="45"/>
      <c r="Q123" s="46"/>
      <c r="R123" s="45"/>
      <c r="S123" s="45"/>
      <c r="T123" s="45"/>
      <c r="U123" s="44"/>
      <c r="V123" s="45"/>
      <c r="W123" s="46"/>
      <c r="X123" s="44"/>
      <c r="Y123" s="45"/>
      <c r="Z123" s="46"/>
      <c r="AA123" s="44"/>
      <c r="AB123" s="45"/>
      <c r="AC123" s="46"/>
      <c r="AD123" s="44"/>
      <c r="AE123" s="45"/>
      <c r="AF123" s="46"/>
      <c r="AG123" s="45"/>
      <c r="AH123" s="45"/>
      <c r="AI123" s="45"/>
      <c r="AJ123" s="47"/>
      <c r="AK123" s="48"/>
      <c r="AL123" s="49"/>
      <c r="AM123" s="45"/>
      <c r="AN123" s="45"/>
      <c r="AO123" s="45"/>
      <c r="AP123" s="44"/>
      <c r="AQ123" s="45"/>
      <c r="AR123" s="46"/>
      <c r="AS123" s="45"/>
      <c r="AT123" s="45"/>
      <c r="AU123" s="45"/>
      <c r="AV123" s="44"/>
      <c r="AW123" s="45"/>
      <c r="AX123" s="46"/>
      <c r="AY123" s="44"/>
      <c r="AZ123" s="45"/>
      <c r="BA123" s="46"/>
      <c r="BB123" s="44"/>
      <c r="BC123" s="50"/>
      <c r="BD123" s="51"/>
      <c r="BE123" s="45"/>
      <c r="BF123" s="50"/>
      <c r="BG123" s="50"/>
      <c r="BH123" s="44"/>
      <c r="BI123" s="45"/>
      <c r="BJ123" s="46"/>
      <c r="BK123" s="45"/>
      <c r="BL123" s="45"/>
      <c r="BM123" s="45"/>
      <c r="BN123" s="52"/>
      <c r="BO123" s="50"/>
      <c r="BP123" s="51"/>
      <c r="BQ123" s="45"/>
      <c r="BR123" s="45"/>
      <c r="BS123" s="45"/>
      <c r="BT123" s="44"/>
      <c r="BU123" s="45"/>
      <c r="BV123" s="46"/>
      <c r="BW123" s="44"/>
      <c r="BX123" s="50"/>
      <c r="BY123" s="51"/>
      <c r="BZ123" s="44"/>
      <c r="CA123" s="45"/>
      <c r="CB123" s="46"/>
      <c r="CC123" s="44"/>
      <c r="CD123" s="45"/>
      <c r="CE123" s="46"/>
      <c r="CF123" s="44"/>
      <c r="CG123" s="45"/>
      <c r="CH123" s="46"/>
      <c r="CI123" s="44"/>
      <c r="CJ123" s="45"/>
      <c r="CK123" s="46"/>
      <c r="CL123" s="44"/>
    </row>
    <row r="124" spans="1:95">
      <c r="A124" s="223">
        <v>45411</v>
      </c>
      <c r="B124" s="90" t="s">
        <v>96</v>
      </c>
      <c r="C124" s="44"/>
      <c r="D124" s="45"/>
      <c r="E124" s="46"/>
      <c r="F124" s="44"/>
      <c r="G124" s="45"/>
      <c r="H124" s="46"/>
      <c r="I124" s="44"/>
      <c r="J124" s="45"/>
      <c r="K124" s="46"/>
      <c r="L124" s="45"/>
      <c r="M124" s="45"/>
      <c r="N124" s="45"/>
      <c r="O124" s="44"/>
      <c r="P124" s="45"/>
      <c r="Q124" s="46"/>
      <c r="R124" s="45"/>
      <c r="S124" s="45"/>
      <c r="T124" s="45"/>
      <c r="U124" s="44"/>
      <c r="V124" s="45"/>
      <c r="W124" s="46"/>
      <c r="X124" s="44"/>
      <c r="Y124" s="45"/>
      <c r="Z124" s="46"/>
      <c r="AA124" s="44"/>
      <c r="AB124" s="45"/>
      <c r="AC124" s="46"/>
      <c r="AD124" s="44"/>
      <c r="AE124" s="45"/>
      <c r="AF124" s="46"/>
      <c r="AG124" s="45"/>
      <c r="AH124" s="45"/>
      <c r="AI124" s="45"/>
      <c r="AJ124" s="47"/>
      <c r="AK124" s="48"/>
      <c r="AL124" s="49"/>
      <c r="AM124" s="45"/>
      <c r="AN124" s="45"/>
      <c r="AO124" s="45"/>
      <c r="AP124" s="44"/>
      <c r="AQ124" s="45"/>
      <c r="AR124" s="46"/>
      <c r="AS124" s="45"/>
      <c r="AT124" s="45"/>
      <c r="AU124" s="45"/>
      <c r="AV124" s="44"/>
      <c r="AW124" s="45"/>
      <c r="AX124" s="46"/>
      <c r="AY124" s="44"/>
      <c r="AZ124" s="45"/>
      <c r="BA124" s="46"/>
      <c r="BB124" s="44"/>
      <c r="BC124" s="50"/>
      <c r="BD124" s="51"/>
      <c r="BE124" s="45"/>
      <c r="BF124" s="50"/>
      <c r="BG124" s="50"/>
      <c r="BH124" s="44"/>
      <c r="BI124" s="45"/>
      <c r="BJ124" s="46"/>
      <c r="BK124" s="45"/>
      <c r="BL124" s="45"/>
      <c r="BM124" s="45"/>
      <c r="BN124" s="52"/>
      <c r="BO124" s="50"/>
      <c r="BP124" s="51"/>
      <c r="BQ124" s="45"/>
      <c r="BR124" s="45"/>
      <c r="BS124" s="45"/>
      <c r="BT124" s="44"/>
      <c r="BU124" s="45"/>
      <c r="BV124" s="46"/>
      <c r="BW124" s="44"/>
      <c r="BX124" s="50"/>
      <c r="BY124" s="51"/>
      <c r="BZ124" s="44"/>
      <c r="CA124" s="45"/>
      <c r="CB124" s="46"/>
      <c r="CC124" s="44"/>
      <c r="CD124" s="45"/>
      <c r="CE124" s="46"/>
      <c r="CF124" s="44"/>
      <c r="CG124" s="45"/>
      <c r="CH124" s="46"/>
      <c r="CI124" s="44"/>
      <c r="CJ124" s="45"/>
      <c r="CK124" s="46"/>
      <c r="CL124" s="44"/>
    </row>
    <row r="125" spans="1:95">
      <c r="A125" s="223">
        <v>45412</v>
      </c>
      <c r="B125" s="90" t="s">
        <v>97</v>
      </c>
      <c r="C125" s="44">
        <v>157.9</v>
      </c>
      <c r="D125" s="45">
        <v>155.9</v>
      </c>
      <c r="E125" s="46">
        <v>156.9</v>
      </c>
      <c r="F125" s="44">
        <v>169.62</v>
      </c>
      <c r="G125" s="45">
        <v>166.62</v>
      </c>
      <c r="H125" s="46">
        <v>168.12</v>
      </c>
      <c r="I125" s="44">
        <v>116.37</v>
      </c>
      <c r="J125" s="45">
        <v>113.17</v>
      </c>
      <c r="K125" s="46">
        <v>114.77000000000001</v>
      </c>
      <c r="L125" s="45">
        <v>201.02</v>
      </c>
      <c r="M125" s="45">
        <v>193.02</v>
      </c>
      <c r="N125" s="45">
        <v>197.02</v>
      </c>
      <c r="O125" s="44">
        <v>173.07</v>
      </c>
      <c r="P125" s="45">
        <v>171.26999999999998</v>
      </c>
      <c r="Q125" s="46">
        <v>172.17</v>
      </c>
      <c r="R125" s="45">
        <v>22.85</v>
      </c>
      <c r="S125" s="45">
        <v>22.25</v>
      </c>
      <c r="T125" s="45">
        <v>22.55</v>
      </c>
      <c r="U125" s="44">
        <v>14.56</v>
      </c>
      <c r="V125" s="45">
        <v>13.96</v>
      </c>
      <c r="W125" s="46">
        <v>14.260000000000002</v>
      </c>
      <c r="X125" s="44">
        <v>14.74</v>
      </c>
      <c r="Y125" s="45">
        <v>13.94</v>
      </c>
      <c r="Z125" s="46">
        <v>14.34</v>
      </c>
      <c r="AA125" s="44">
        <v>104.96</v>
      </c>
      <c r="AB125" s="45">
        <v>100.96</v>
      </c>
      <c r="AC125" s="46">
        <v>102.96</v>
      </c>
      <c r="AD125" s="44">
        <v>95.61</v>
      </c>
      <c r="AE125" s="45">
        <v>91.61</v>
      </c>
      <c r="AF125" s="46">
        <v>93.61</v>
      </c>
      <c r="AG125" s="45">
        <v>20.48</v>
      </c>
      <c r="AH125" s="45">
        <v>19.62</v>
      </c>
      <c r="AI125" s="45">
        <v>20.05</v>
      </c>
      <c r="AJ125" s="47"/>
      <c r="AK125" s="48"/>
      <c r="AL125" s="49"/>
      <c r="AM125" s="45">
        <v>116.16</v>
      </c>
      <c r="AN125" s="45">
        <v>114.5</v>
      </c>
      <c r="AO125" s="45">
        <v>115.33</v>
      </c>
      <c r="AP125" s="44">
        <v>42.7</v>
      </c>
      <c r="AQ125" s="45">
        <v>41.1</v>
      </c>
      <c r="AR125" s="46">
        <v>41.900000000000006</v>
      </c>
      <c r="AS125" s="45">
        <v>43.47</v>
      </c>
      <c r="AT125" s="45">
        <v>42.11</v>
      </c>
      <c r="AU125" s="45">
        <v>42.79</v>
      </c>
      <c r="AV125" s="44">
        <v>21.93</v>
      </c>
      <c r="AW125" s="45">
        <v>21.33</v>
      </c>
      <c r="AX125" s="46">
        <v>21.63</v>
      </c>
      <c r="AY125" s="44">
        <v>4.32</v>
      </c>
      <c r="AZ125" s="45">
        <v>4.16</v>
      </c>
      <c r="BA125" s="46">
        <v>4.24</v>
      </c>
      <c r="BB125" s="44">
        <v>2.04</v>
      </c>
      <c r="BC125" s="50">
        <v>1.74</v>
      </c>
      <c r="BD125" s="51">
        <v>1.8900000000000001</v>
      </c>
      <c r="BE125" s="45">
        <v>0.72</v>
      </c>
      <c r="BF125" s="50">
        <v>0.42</v>
      </c>
      <c r="BG125" s="50">
        <v>0.56999999999999995</v>
      </c>
      <c r="BH125" s="44">
        <v>518.58000000000004</v>
      </c>
      <c r="BI125" s="45">
        <v>502.58000000000004</v>
      </c>
      <c r="BJ125" s="46">
        <v>510.58000000000004</v>
      </c>
      <c r="BK125" s="45">
        <v>43.78</v>
      </c>
      <c r="BL125" s="45">
        <v>42.42</v>
      </c>
      <c r="BM125" s="45">
        <v>43.1</v>
      </c>
      <c r="BN125" s="52">
        <v>1.0900000000000001</v>
      </c>
      <c r="BO125" s="50">
        <v>0.85000000000000009</v>
      </c>
      <c r="BP125" s="51">
        <v>0.97000000000000008</v>
      </c>
      <c r="BQ125" s="45">
        <v>10.220000000000001</v>
      </c>
      <c r="BR125" s="45">
        <v>8.2200000000000006</v>
      </c>
      <c r="BS125" s="45">
        <v>9.2200000000000006</v>
      </c>
      <c r="BT125" s="44">
        <v>11.61</v>
      </c>
      <c r="BU125" s="45">
        <v>11.209999999999999</v>
      </c>
      <c r="BV125" s="46">
        <v>11.41</v>
      </c>
      <c r="BW125" s="44">
        <v>2.88</v>
      </c>
      <c r="BX125" s="50">
        <v>2.5999999999999996</v>
      </c>
      <c r="BY125" s="51">
        <v>2.7399999999999998</v>
      </c>
      <c r="BZ125" s="44">
        <v>9.91</v>
      </c>
      <c r="CA125" s="45">
        <v>6.91</v>
      </c>
      <c r="CB125" s="46">
        <v>8.41</v>
      </c>
      <c r="CC125" s="44">
        <v>6.81</v>
      </c>
      <c r="CD125" s="45">
        <v>6.5699999999999994</v>
      </c>
      <c r="CE125" s="46">
        <v>6.6899999999999995</v>
      </c>
      <c r="CF125" s="44">
        <v>1.94</v>
      </c>
      <c r="CG125" s="45">
        <v>1.44</v>
      </c>
      <c r="CH125" s="46">
        <v>1.69</v>
      </c>
      <c r="CI125" s="44">
        <v>0.45</v>
      </c>
      <c r="CJ125" s="45">
        <v>0.41000000000000003</v>
      </c>
      <c r="CK125" s="46">
        <v>0.43000000000000005</v>
      </c>
      <c r="CL125" s="44">
        <v>40.19</v>
      </c>
      <c r="CM125">
        <v>37.79</v>
      </c>
      <c r="CN125">
        <v>38.989999999999995</v>
      </c>
      <c r="CO125">
        <v>7.34</v>
      </c>
      <c r="CP125">
        <v>2.34</v>
      </c>
      <c r="CQ125">
        <v>4.84</v>
      </c>
    </row>
    <row r="126" spans="1:95">
      <c r="A126" s="223">
        <v>45413</v>
      </c>
      <c r="B126" s="90" t="s">
        <v>98</v>
      </c>
      <c r="C126" s="44">
        <v>158.97</v>
      </c>
      <c r="D126" s="45">
        <v>156.97</v>
      </c>
      <c r="E126" s="46">
        <v>157.97</v>
      </c>
      <c r="F126" s="44">
        <v>169.86</v>
      </c>
      <c r="G126" s="45">
        <v>166.86</v>
      </c>
      <c r="H126" s="46">
        <v>168.36</v>
      </c>
      <c r="I126" s="44">
        <v>116.24</v>
      </c>
      <c r="J126" s="45">
        <v>113.03999999999999</v>
      </c>
      <c r="K126" s="46">
        <v>114.63999999999999</v>
      </c>
      <c r="L126" s="45">
        <v>201.26</v>
      </c>
      <c r="M126" s="45">
        <v>193.26</v>
      </c>
      <c r="N126" s="45">
        <v>197.26</v>
      </c>
      <c r="O126" s="44">
        <v>172.63</v>
      </c>
      <c r="P126" s="45">
        <v>170.82999999999998</v>
      </c>
      <c r="Q126" s="46">
        <v>171.73</v>
      </c>
      <c r="R126" s="45">
        <v>22.87</v>
      </c>
      <c r="S126" s="45">
        <v>22.27</v>
      </c>
      <c r="T126" s="45">
        <v>22.57</v>
      </c>
      <c r="U126" s="44">
        <v>14.5</v>
      </c>
      <c r="V126" s="45">
        <v>13.9</v>
      </c>
      <c r="W126" s="46">
        <v>14.2</v>
      </c>
      <c r="X126" s="44">
        <v>14.73</v>
      </c>
      <c r="Y126" s="45">
        <v>13.93</v>
      </c>
      <c r="Z126" s="46">
        <v>14.33</v>
      </c>
      <c r="AA126" s="44">
        <v>104.14</v>
      </c>
      <c r="AB126" s="45">
        <v>100.14</v>
      </c>
      <c r="AC126" s="46">
        <v>102.14</v>
      </c>
      <c r="AD126" s="44">
        <v>94.9</v>
      </c>
      <c r="AE126" s="45">
        <v>90.9</v>
      </c>
      <c r="AF126" s="46">
        <v>92.9</v>
      </c>
      <c r="AG126" s="45">
        <v>20.62</v>
      </c>
      <c r="AH126" s="45">
        <v>19.760000000000002</v>
      </c>
      <c r="AI126" s="45">
        <v>20.190000000000001</v>
      </c>
      <c r="AJ126" s="47"/>
      <c r="AK126" s="48"/>
      <c r="AL126" s="49"/>
      <c r="AM126" s="45">
        <v>116.53</v>
      </c>
      <c r="AN126" s="45">
        <v>114.87</v>
      </c>
      <c r="AO126" s="45">
        <v>115.7</v>
      </c>
      <c r="AP126" s="44">
        <v>42.99</v>
      </c>
      <c r="AQ126" s="45">
        <v>41.39</v>
      </c>
      <c r="AR126" s="46">
        <v>42.19</v>
      </c>
      <c r="AS126" s="45">
        <v>43.76</v>
      </c>
      <c r="AT126" s="45">
        <v>42.4</v>
      </c>
      <c r="AU126" s="45">
        <v>43.08</v>
      </c>
      <c r="AV126" s="44">
        <v>22.06</v>
      </c>
      <c r="AW126" s="45">
        <v>21.459999999999997</v>
      </c>
      <c r="AX126" s="46">
        <v>21.759999999999998</v>
      </c>
      <c r="AY126" s="44">
        <v>4.32</v>
      </c>
      <c r="AZ126" s="45">
        <v>4.16</v>
      </c>
      <c r="BA126" s="46">
        <v>4.24</v>
      </c>
      <c r="BB126" s="44">
        <v>2.0499999999999998</v>
      </c>
      <c r="BC126" s="50">
        <v>1.7499999999999998</v>
      </c>
      <c r="BD126" s="51">
        <v>1.9</v>
      </c>
      <c r="BE126" s="45">
        <v>0.72</v>
      </c>
      <c r="BF126" s="50">
        <v>0.42</v>
      </c>
      <c r="BG126" s="50">
        <v>0.56999999999999995</v>
      </c>
      <c r="BH126" s="44">
        <v>521.55999999999995</v>
      </c>
      <c r="BI126" s="45">
        <v>505.55999999999995</v>
      </c>
      <c r="BJ126" s="46">
        <v>513.55999999999995</v>
      </c>
      <c r="BK126" s="45">
        <v>44.08</v>
      </c>
      <c r="BL126" s="45">
        <v>42.72</v>
      </c>
      <c r="BM126" s="45">
        <v>43.4</v>
      </c>
      <c r="BN126" s="52">
        <v>1.0900000000000001</v>
      </c>
      <c r="BO126" s="50">
        <v>0.85000000000000009</v>
      </c>
      <c r="BP126" s="51">
        <v>0.97000000000000008</v>
      </c>
      <c r="BQ126" s="45">
        <v>10.220000000000001</v>
      </c>
      <c r="BR126" s="45">
        <v>8.2200000000000006</v>
      </c>
      <c r="BS126" s="45">
        <v>9.2200000000000006</v>
      </c>
      <c r="BT126" s="44">
        <v>11.61</v>
      </c>
      <c r="BU126" s="45">
        <v>11.209999999999999</v>
      </c>
      <c r="BV126" s="46">
        <v>11.41</v>
      </c>
      <c r="BW126" s="44">
        <v>2.89</v>
      </c>
      <c r="BX126" s="50">
        <v>2.6100000000000003</v>
      </c>
      <c r="BY126" s="51">
        <v>2.75</v>
      </c>
      <c r="BZ126" s="44">
        <v>9.91</v>
      </c>
      <c r="CA126" s="45">
        <v>6.91</v>
      </c>
      <c r="CB126" s="46">
        <v>8.41</v>
      </c>
      <c r="CC126" s="44">
        <v>6.82</v>
      </c>
      <c r="CD126" s="45">
        <v>6.58</v>
      </c>
      <c r="CE126" s="46">
        <v>6.7</v>
      </c>
      <c r="CF126" s="44">
        <v>1.94</v>
      </c>
      <c r="CG126" s="45">
        <v>1.44</v>
      </c>
      <c r="CH126" s="46">
        <v>1.69</v>
      </c>
      <c r="CI126" s="44">
        <v>0.45</v>
      </c>
      <c r="CJ126" s="45">
        <v>0.41000000000000003</v>
      </c>
      <c r="CK126" s="46">
        <v>0.43000000000000005</v>
      </c>
      <c r="CL126" s="44">
        <v>40.06</v>
      </c>
      <c r="CM126">
        <v>37.660000000000004</v>
      </c>
      <c r="CN126">
        <v>38.86</v>
      </c>
      <c r="CO126">
        <v>7.38</v>
      </c>
      <c r="CP126">
        <v>2.38</v>
      </c>
      <c r="CQ126">
        <v>4.88</v>
      </c>
    </row>
    <row r="127" spans="1:95">
      <c r="A127" s="223">
        <v>45414</v>
      </c>
      <c r="B127" s="90" t="s">
        <v>99</v>
      </c>
      <c r="C127" s="44">
        <v>157.13999999999999</v>
      </c>
      <c r="D127" s="45">
        <v>155.13999999999999</v>
      </c>
      <c r="E127" s="46">
        <v>156.13999999999999</v>
      </c>
      <c r="F127" s="44">
        <v>168.76</v>
      </c>
      <c r="G127" s="45">
        <v>165.76</v>
      </c>
      <c r="H127" s="46">
        <v>167.26</v>
      </c>
      <c r="I127" s="44">
        <v>115.31</v>
      </c>
      <c r="J127" s="45">
        <v>112.11</v>
      </c>
      <c r="K127" s="46">
        <v>113.71000000000001</v>
      </c>
      <c r="L127" s="45">
        <v>199.66</v>
      </c>
      <c r="M127" s="45">
        <v>191.66</v>
      </c>
      <c r="N127" s="45">
        <v>195.66</v>
      </c>
      <c r="O127" s="44">
        <v>171.21</v>
      </c>
      <c r="P127" s="45">
        <v>169.41</v>
      </c>
      <c r="Q127" s="46">
        <v>170.31</v>
      </c>
      <c r="R127" s="45">
        <v>22.72</v>
      </c>
      <c r="S127" s="45">
        <v>22.119999999999997</v>
      </c>
      <c r="T127" s="45">
        <v>22.419999999999998</v>
      </c>
      <c r="U127" s="44">
        <v>14.45</v>
      </c>
      <c r="V127" s="45">
        <v>13.85</v>
      </c>
      <c r="W127" s="46">
        <v>14.149999999999999</v>
      </c>
      <c r="X127" s="44">
        <v>14.7</v>
      </c>
      <c r="Y127" s="45">
        <v>13.899999999999999</v>
      </c>
      <c r="Z127" s="46">
        <v>14.299999999999999</v>
      </c>
      <c r="AA127" s="44">
        <v>103.87</v>
      </c>
      <c r="AB127" s="45">
        <v>99.87</v>
      </c>
      <c r="AC127" s="46">
        <v>101.87</v>
      </c>
      <c r="AD127" s="44">
        <v>94.51</v>
      </c>
      <c r="AE127" s="45">
        <v>90.51</v>
      </c>
      <c r="AF127" s="46">
        <v>92.51</v>
      </c>
      <c r="AG127" s="45">
        <v>20.39</v>
      </c>
      <c r="AH127" s="45">
        <v>19.53</v>
      </c>
      <c r="AI127" s="45">
        <v>19.96</v>
      </c>
      <c r="AJ127" s="47"/>
      <c r="AK127" s="48"/>
      <c r="AL127" s="49"/>
      <c r="AM127" s="45">
        <v>115.55</v>
      </c>
      <c r="AN127" s="45">
        <v>113.89</v>
      </c>
      <c r="AO127" s="45">
        <v>114.72</v>
      </c>
      <c r="AP127" s="44">
        <v>42.5</v>
      </c>
      <c r="AQ127" s="45">
        <v>40.9</v>
      </c>
      <c r="AR127" s="46">
        <v>41.7</v>
      </c>
      <c r="AS127" s="45">
        <v>43.26</v>
      </c>
      <c r="AT127" s="45">
        <v>41.9</v>
      </c>
      <c r="AU127" s="45">
        <v>42.58</v>
      </c>
      <c r="AV127" s="44">
        <v>21.86</v>
      </c>
      <c r="AW127" s="45">
        <v>21.259999999999998</v>
      </c>
      <c r="AX127" s="46">
        <v>21.56</v>
      </c>
      <c r="AY127" s="44">
        <v>4.3</v>
      </c>
      <c r="AZ127" s="45">
        <v>4.1399999999999997</v>
      </c>
      <c r="BA127" s="46">
        <v>4.22</v>
      </c>
      <c r="BB127" s="44">
        <v>2.0299999999999998</v>
      </c>
      <c r="BC127" s="50">
        <v>1.7299999999999998</v>
      </c>
      <c r="BD127" s="51">
        <v>1.88</v>
      </c>
      <c r="BE127" s="45">
        <v>0.71</v>
      </c>
      <c r="BF127" s="50">
        <v>0.41</v>
      </c>
      <c r="BG127" s="50">
        <v>0.55999999999999994</v>
      </c>
      <c r="BH127" s="44">
        <v>515.94000000000005</v>
      </c>
      <c r="BI127" s="45">
        <v>499.94000000000005</v>
      </c>
      <c r="BJ127" s="46">
        <v>507.94000000000005</v>
      </c>
      <c r="BK127" s="45">
        <v>43.58</v>
      </c>
      <c r="BL127" s="45">
        <v>42.22</v>
      </c>
      <c r="BM127" s="45">
        <v>42.9</v>
      </c>
      <c r="BN127" s="52">
        <v>1.08</v>
      </c>
      <c r="BO127" s="50">
        <v>0.84000000000000008</v>
      </c>
      <c r="BP127" s="51">
        <v>0.96000000000000008</v>
      </c>
      <c r="BQ127" s="45">
        <v>10.220000000000001</v>
      </c>
      <c r="BR127" s="45">
        <v>8.2200000000000006</v>
      </c>
      <c r="BS127" s="45">
        <v>9.2200000000000006</v>
      </c>
      <c r="BT127" s="44">
        <v>11.52</v>
      </c>
      <c r="BU127" s="45">
        <v>11.12</v>
      </c>
      <c r="BV127" s="46">
        <v>11.32</v>
      </c>
      <c r="BW127" s="44">
        <v>2.86</v>
      </c>
      <c r="BX127" s="50">
        <v>2.58</v>
      </c>
      <c r="BY127" s="51">
        <v>2.7199999999999998</v>
      </c>
      <c r="BZ127" s="44">
        <v>9.9</v>
      </c>
      <c r="CA127" s="45">
        <v>6.9</v>
      </c>
      <c r="CB127" s="46">
        <v>8.4</v>
      </c>
      <c r="CC127" s="44">
        <v>6.8</v>
      </c>
      <c r="CD127" s="45">
        <v>6.56</v>
      </c>
      <c r="CE127" s="46">
        <v>6.68</v>
      </c>
      <c r="CF127" s="44">
        <v>1.91</v>
      </c>
      <c r="CG127" s="45">
        <v>1.41</v>
      </c>
      <c r="CH127" s="46">
        <v>1.66</v>
      </c>
      <c r="CI127" s="44">
        <v>0.45</v>
      </c>
      <c r="CJ127" s="45">
        <v>0.41000000000000003</v>
      </c>
      <c r="CK127" s="46">
        <v>0.43000000000000005</v>
      </c>
      <c r="CL127" s="44">
        <v>39.909999999999997</v>
      </c>
      <c r="CM127">
        <v>37.51</v>
      </c>
      <c r="CN127">
        <v>38.709999999999994</v>
      </c>
      <c r="CO127">
        <v>7.35</v>
      </c>
      <c r="CP127">
        <v>2.3499999999999996</v>
      </c>
      <c r="CQ127">
        <v>4.8499999999999996</v>
      </c>
    </row>
    <row r="128" spans="1:95">
      <c r="A128" s="223">
        <v>45415</v>
      </c>
      <c r="B128" s="90" t="s">
        <v>100</v>
      </c>
      <c r="C128" s="44"/>
      <c r="D128" s="45"/>
      <c r="E128" s="46"/>
      <c r="F128" s="44"/>
      <c r="G128" s="45"/>
      <c r="H128" s="46"/>
      <c r="I128" s="44"/>
      <c r="J128" s="45"/>
      <c r="K128" s="46"/>
      <c r="L128" s="45"/>
      <c r="M128" s="45"/>
      <c r="N128" s="45"/>
      <c r="O128" s="44"/>
      <c r="P128" s="45"/>
      <c r="Q128" s="46"/>
      <c r="R128" s="45"/>
      <c r="S128" s="45"/>
      <c r="T128" s="45"/>
      <c r="U128" s="44"/>
      <c r="V128" s="45"/>
      <c r="W128" s="46"/>
      <c r="X128" s="44"/>
      <c r="Y128" s="45"/>
      <c r="Z128" s="46"/>
      <c r="AA128" s="44"/>
      <c r="AB128" s="45"/>
      <c r="AC128" s="46"/>
      <c r="AD128" s="44"/>
      <c r="AE128" s="45"/>
      <c r="AF128" s="46"/>
      <c r="AG128" s="45"/>
      <c r="AH128" s="45"/>
      <c r="AI128" s="45"/>
      <c r="AJ128" s="47"/>
      <c r="AK128" s="48"/>
      <c r="AL128" s="49"/>
      <c r="AM128" s="45"/>
      <c r="AN128" s="45"/>
      <c r="AO128" s="45"/>
      <c r="AP128" s="44"/>
      <c r="AQ128" s="45"/>
      <c r="AR128" s="46"/>
      <c r="AS128" s="45"/>
      <c r="AT128" s="45"/>
      <c r="AU128" s="45"/>
      <c r="AV128" s="44"/>
      <c r="AW128" s="45"/>
      <c r="AX128" s="46"/>
      <c r="AY128" s="44"/>
      <c r="AZ128" s="45"/>
      <c r="BA128" s="46"/>
      <c r="BB128" s="44"/>
      <c r="BC128" s="50"/>
      <c r="BD128" s="51"/>
      <c r="BE128" s="45"/>
      <c r="BF128" s="50"/>
      <c r="BG128" s="50"/>
      <c r="BH128" s="44"/>
      <c r="BI128" s="45"/>
      <c r="BJ128" s="46"/>
      <c r="BK128" s="45"/>
      <c r="BL128" s="45"/>
      <c r="BM128" s="45"/>
      <c r="BN128" s="52"/>
      <c r="BO128" s="50"/>
      <c r="BP128" s="51"/>
      <c r="BQ128" s="45"/>
      <c r="BR128" s="45"/>
      <c r="BS128" s="45"/>
      <c r="BT128" s="44"/>
      <c r="BU128" s="45"/>
      <c r="BV128" s="46"/>
      <c r="BW128" s="44"/>
      <c r="BX128" s="50"/>
      <c r="BY128" s="51"/>
      <c r="BZ128" s="44"/>
      <c r="CA128" s="45"/>
      <c r="CB128" s="46"/>
      <c r="CC128" s="44"/>
      <c r="CD128" s="45"/>
      <c r="CE128" s="46"/>
      <c r="CF128" s="44"/>
      <c r="CG128" s="45"/>
      <c r="CH128" s="46"/>
      <c r="CI128" s="44"/>
      <c r="CJ128" s="45"/>
      <c r="CK128" s="46"/>
      <c r="CL128" s="44"/>
    </row>
    <row r="129" spans="1:95">
      <c r="A129" s="223">
        <v>45416</v>
      </c>
      <c r="B129" s="90" t="s">
        <v>307</v>
      </c>
      <c r="C129" s="44"/>
      <c r="D129" s="45"/>
      <c r="E129" s="46"/>
      <c r="F129" s="44"/>
      <c r="G129" s="45"/>
      <c r="H129" s="46"/>
      <c r="I129" s="44"/>
      <c r="J129" s="45"/>
      <c r="K129" s="46"/>
      <c r="L129" s="45"/>
      <c r="M129" s="45"/>
      <c r="N129" s="45"/>
      <c r="O129" s="44"/>
      <c r="P129" s="45"/>
      <c r="Q129" s="46"/>
      <c r="R129" s="45"/>
      <c r="S129" s="45"/>
      <c r="T129" s="45"/>
      <c r="U129" s="44"/>
      <c r="V129" s="45"/>
      <c r="W129" s="46"/>
      <c r="X129" s="44"/>
      <c r="Y129" s="45"/>
      <c r="Z129" s="46"/>
      <c r="AA129" s="44"/>
      <c r="AB129" s="45"/>
      <c r="AC129" s="46"/>
      <c r="AD129" s="44"/>
      <c r="AE129" s="45"/>
      <c r="AF129" s="46"/>
      <c r="AG129" s="45"/>
      <c r="AH129" s="45"/>
      <c r="AI129" s="45"/>
      <c r="AJ129" s="47"/>
      <c r="AK129" s="48"/>
      <c r="AL129" s="49"/>
      <c r="AM129" s="45"/>
      <c r="AN129" s="45"/>
      <c r="AO129" s="45"/>
      <c r="AP129" s="44"/>
      <c r="AQ129" s="45"/>
      <c r="AR129" s="46"/>
      <c r="AS129" s="45"/>
      <c r="AT129" s="45"/>
      <c r="AU129" s="45"/>
      <c r="AV129" s="44"/>
      <c r="AW129" s="45"/>
      <c r="AX129" s="46"/>
      <c r="AY129" s="44"/>
      <c r="AZ129" s="45"/>
      <c r="BA129" s="46"/>
      <c r="BB129" s="44"/>
      <c r="BC129" s="50"/>
      <c r="BD129" s="51"/>
      <c r="BE129" s="45"/>
      <c r="BF129" s="50"/>
      <c r="BG129" s="50"/>
      <c r="BH129" s="44"/>
      <c r="BI129" s="45"/>
      <c r="BJ129" s="46"/>
      <c r="BK129" s="45"/>
      <c r="BL129" s="45"/>
      <c r="BM129" s="45"/>
      <c r="BN129" s="52"/>
      <c r="BO129" s="50"/>
      <c r="BP129" s="51"/>
      <c r="BQ129" s="45"/>
      <c r="BR129" s="45"/>
      <c r="BS129" s="45"/>
      <c r="BT129" s="44"/>
      <c r="BU129" s="45"/>
      <c r="BV129" s="46"/>
      <c r="BW129" s="44"/>
      <c r="BX129" s="50"/>
      <c r="BY129" s="51"/>
      <c r="BZ129" s="44"/>
      <c r="CA129" s="45"/>
      <c r="CB129" s="46"/>
      <c r="CC129" s="44"/>
      <c r="CD129" s="45"/>
      <c r="CE129" s="46"/>
      <c r="CF129" s="44"/>
      <c r="CG129" s="45"/>
      <c r="CH129" s="46"/>
      <c r="CI129" s="44"/>
      <c r="CJ129" s="45"/>
      <c r="CK129" s="46"/>
      <c r="CL129" s="44"/>
    </row>
    <row r="130" spans="1:95">
      <c r="A130" s="223">
        <v>45417</v>
      </c>
      <c r="B130" s="90" t="s">
        <v>308</v>
      </c>
      <c r="C130" s="44"/>
      <c r="D130" s="45"/>
      <c r="E130" s="46"/>
      <c r="F130" s="44"/>
      <c r="G130" s="45"/>
      <c r="H130" s="46"/>
      <c r="I130" s="44"/>
      <c r="J130" s="45"/>
      <c r="K130" s="46"/>
      <c r="L130" s="45"/>
      <c r="M130" s="45"/>
      <c r="N130" s="45"/>
      <c r="O130" s="44"/>
      <c r="P130" s="45"/>
      <c r="Q130" s="46"/>
      <c r="R130" s="45"/>
      <c r="S130" s="45"/>
      <c r="T130" s="45"/>
      <c r="U130" s="44"/>
      <c r="V130" s="45"/>
      <c r="W130" s="46"/>
      <c r="X130" s="44"/>
      <c r="Y130" s="45"/>
      <c r="Z130" s="46"/>
      <c r="AA130" s="44"/>
      <c r="AB130" s="45"/>
      <c r="AC130" s="46"/>
      <c r="AD130" s="44"/>
      <c r="AE130" s="45"/>
      <c r="AF130" s="46"/>
      <c r="AG130" s="45"/>
      <c r="AH130" s="45"/>
      <c r="AI130" s="45"/>
      <c r="AJ130" s="47"/>
      <c r="AK130" s="48"/>
      <c r="AL130" s="49"/>
      <c r="AM130" s="45"/>
      <c r="AN130" s="45"/>
      <c r="AO130" s="45"/>
      <c r="AP130" s="44"/>
      <c r="AQ130" s="45"/>
      <c r="AR130" s="46"/>
      <c r="AS130" s="45"/>
      <c r="AT130" s="45"/>
      <c r="AU130" s="45"/>
      <c r="AV130" s="44"/>
      <c r="AW130" s="45"/>
      <c r="AX130" s="46"/>
      <c r="AY130" s="44"/>
      <c r="AZ130" s="45"/>
      <c r="BA130" s="46"/>
      <c r="BB130" s="44"/>
      <c r="BC130" s="50"/>
      <c r="BD130" s="51"/>
      <c r="BE130" s="45"/>
      <c r="BF130" s="50"/>
      <c r="BG130" s="50"/>
      <c r="BH130" s="44"/>
      <c r="BI130" s="45"/>
      <c r="BJ130" s="46"/>
      <c r="BK130" s="45"/>
      <c r="BL130" s="45"/>
      <c r="BM130" s="45"/>
      <c r="BN130" s="52"/>
      <c r="BO130" s="50"/>
      <c r="BP130" s="51"/>
      <c r="BQ130" s="45"/>
      <c r="BR130" s="45"/>
      <c r="BS130" s="45"/>
      <c r="BT130" s="44"/>
      <c r="BU130" s="45"/>
      <c r="BV130" s="46"/>
      <c r="BW130" s="44"/>
      <c r="BX130" s="50"/>
      <c r="BY130" s="51"/>
      <c r="BZ130" s="44"/>
      <c r="CA130" s="45"/>
      <c r="CB130" s="46"/>
      <c r="CC130" s="44"/>
      <c r="CD130" s="45"/>
      <c r="CE130" s="46"/>
      <c r="CF130" s="44"/>
      <c r="CG130" s="45"/>
      <c r="CH130" s="46"/>
      <c r="CI130" s="44"/>
      <c r="CJ130" s="45"/>
      <c r="CK130" s="46"/>
      <c r="CL130" s="44"/>
    </row>
    <row r="131" spans="1:95">
      <c r="A131" s="223">
        <v>45418</v>
      </c>
      <c r="B131" s="90" t="s">
        <v>96</v>
      </c>
      <c r="C131" s="44"/>
      <c r="D131" s="45"/>
      <c r="E131" s="46"/>
      <c r="F131" s="44"/>
      <c r="G131" s="45"/>
      <c r="H131" s="46"/>
      <c r="I131" s="44"/>
      <c r="J131" s="45"/>
      <c r="K131" s="46"/>
      <c r="L131" s="45"/>
      <c r="M131" s="45"/>
      <c r="N131" s="45"/>
      <c r="O131" s="44"/>
      <c r="P131" s="45"/>
      <c r="Q131" s="46"/>
      <c r="R131" s="45"/>
      <c r="S131" s="45"/>
      <c r="T131" s="45"/>
      <c r="U131" s="44"/>
      <c r="V131" s="45"/>
      <c r="W131" s="46"/>
      <c r="X131" s="44"/>
      <c r="Y131" s="45"/>
      <c r="Z131" s="46"/>
      <c r="AA131" s="44"/>
      <c r="AB131" s="45"/>
      <c r="AC131" s="46"/>
      <c r="AD131" s="44"/>
      <c r="AE131" s="45"/>
      <c r="AF131" s="46"/>
      <c r="AG131" s="45"/>
      <c r="AH131" s="45"/>
      <c r="AI131" s="45"/>
      <c r="AJ131" s="47"/>
      <c r="AK131" s="48"/>
      <c r="AL131" s="49"/>
      <c r="AM131" s="45"/>
      <c r="AN131" s="45"/>
      <c r="AO131" s="45"/>
      <c r="AP131" s="44"/>
      <c r="AQ131" s="45"/>
      <c r="AR131" s="46"/>
      <c r="AS131" s="45"/>
      <c r="AT131" s="45"/>
      <c r="AU131" s="45"/>
      <c r="AV131" s="44"/>
      <c r="AW131" s="45"/>
      <c r="AX131" s="46"/>
      <c r="AY131" s="44"/>
      <c r="AZ131" s="45"/>
      <c r="BA131" s="46"/>
      <c r="BB131" s="44"/>
      <c r="BC131" s="50"/>
      <c r="BD131" s="51"/>
      <c r="BE131" s="45"/>
      <c r="BF131" s="50"/>
      <c r="BG131" s="50"/>
      <c r="BH131" s="44"/>
      <c r="BI131" s="45"/>
      <c r="BJ131" s="46"/>
      <c r="BK131" s="45"/>
      <c r="BL131" s="45"/>
      <c r="BM131" s="45"/>
      <c r="BN131" s="52"/>
      <c r="BO131" s="50"/>
      <c r="BP131" s="51"/>
      <c r="BQ131" s="45"/>
      <c r="BR131" s="45"/>
      <c r="BS131" s="45"/>
      <c r="BT131" s="44"/>
      <c r="BU131" s="45"/>
      <c r="BV131" s="46"/>
      <c r="BW131" s="44"/>
      <c r="BX131" s="50"/>
      <c r="BY131" s="51"/>
      <c r="BZ131" s="44"/>
      <c r="CA131" s="45"/>
      <c r="CB131" s="46"/>
      <c r="CC131" s="44"/>
      <c r="CD131" s="45"/>
      <c r="CE131" s="46"/>
      <c r="CF131" s="44"/>
      <c r="CG131" s="45"/>
      <c r="CH131" s="46"/>
      <c r="CI131" s="44"/>
      <c r="CJ131" s="45"/>
      <c r="CK131" s="46"/>
      <c r="CL131" s="44"/>
    </row>
    <row r="132" spans="1:95">
      <c r="A132" s="223">
        <v>45419</v>
      </c>
      <c r="B132" s="90" t="s">
        <v>97</v>
      </c>
      <c r="C132" s="44">
        <v>155.11000000000001</v>
      </c>
      <c r="D132" s="45">
        <v>153.11000000000001</v>
      </c>
      <c r="E132" s="46">
        <v>154.11000000000001</v>
      </c>
      <c r="F132" s="44">
        <v>167.54</v>
      </c>
      <c r="G132" s="45">
        <v>164.54</v>
      </c>
      <c r="H132" s="46">
        <v>166.04</v>
      </c>
      <c r="I132" s="44">
        <v>114.37</v>
      </c>
      <c r="J132" s="45">
        <v>111.17</v>
      </c>
      <c r="K132" s="46">
        <v>112.77000000000001</v>
      </c>
      <c r="L132" s="45">
        <v>197.69</v>
      </c>
      <c r="M132" s="45">
        <v>189.69</v>
      </c>
      <c r="N132" s="45">
        <v>193.69</v>
      </c>
      <c r="O132" s="44">
        <v>170.89</v>
      </c>
      <c r="P132" s="45">
        <v>169.08999999999997</v>
      </c>
      <c r="Q132" s="46">
        <v>169.98999999999998</v>
      </c>
      <c r="R132" s="45">
        <v>22.55</v>
      </c>
      <c r="S132" s="45">
        <v>21.95</v>
      </c>
      <c r="T132" s="45">
        <v>22.25</v>
      </c>
      <c r="U132" s="44">
        <v>14.55</v>
      </c>
      <c r="V132" s="45">
        <v>13.950000000000001</v>
      </c>
      <c r="W132" s="46">
        <v>14.25</v>
      </c>
      <c r="X132" s="44">
        <v>14.67</v>
      </c>
      <c r="Y132" s="45">
        <v>13.87</v>
      </c>
      <c r="Z132" s="46">
        <v>14.27</v>
      </c>
      <c r="AA132" s="44">
        <v>104.3</v>
      </c>
      <c r="AB132" s="45">
        <v>100.3</v>
      </c>
      <c r="AC132" s="46">
        <v>102.3</v>
      </c>
      <c r="AD132" s="44">
        <v>94.79</v>
      </c>
      <c r="AE132" s="45">
        <v>90.79</v>
      </c>
      <c r="AF132" s="46">
        <v>92.79</v>
      </c>
      <c r="AG132" s="45">
        <v>20.14</v>
      </c>
      <c r="AH132" s="45">
        <v>19.28</v>
      </c>
      <c r="AI132" s="45">
        <v>19.71</v>
      </c>
      <c r="AJ132" s="47"/>
      <c r="AK132" s="48"/>
      <c r="AL132" s="49"/>
      <c r="AM132" s="45">
        <v>114.93</v>
      </c>
      <c r="AN132" s="45">
        <v>113.27000000000001</v>
      </c>
      <c r="AO132" s="45">
        <v>114.10000000000001</v>
      </c>
      <c r="AP132" s="44">
        <v>41.83</v>
      </c>
      <c r="AQ132" s="45">
        <v>40.229999999999997</v>
      </c>
      <c r="AR132" s="46">
        <v>41.03</v>
      </c>
      <c r="AS132" s="45">
        <v>42.71</v>
      </c>
      <c r="AT132" s="45">
        <v>41.35</v>
      </c>
      <c r="AU132" s="45">
        <v>42.03</v>
      </c>
      <c r="AV132" s="44">
        <v>21.66</v>
      </c>
      <c r="AW132" s="45">
        <v>21.06</v>
      </c>
      <c r="AX132" s="46">
        <v>21.36</v>
      </c>
      <c r="AY132" s="44">
        <v>4.2699999999999996</v>
      </c>
      <c r="AZ132" s="45">
        <v>4.1099999999999994</v>
      </c>
      <c r="BA132" s="46">
        <v>4.1899999999999995</v>
      </c>
      <c r="BB132" s="44">
        <v>2.0099999999999998</v>
      </c>
      <c r="BC132" s="50">
        <v>1.7099999999999997</v>
      </c>
      <c r="BD132" s="51">
        <v>1.8599999999999999</v>
      </c>
      <c r="BE132" s="45">
        <v>0.71</v>
      </c>
      <c r="BF132" s="50">
        <v>0.41</v>
      </c>
      <c r="BG132" s="50">
        <v>0.55999999999999994</v>
      </c>
      <c r="BH132" s="44">
        <v>508.36</v>
      </c>
      <c r="BI132" s="45">
        <v>492.36</v>
      </c>
      <c r="BJ132" s="46">
        <v>500.36</v>
      </c>
      <c r="BK132" s="45">
        <v>43.02</v>
      </c>
      <c r="BL132" s="45">
        <v>41.660000000000004</v>
      </c>
      <c r="BM132" s="45">
        <v>42.34</v>
      </c>
      <c r="BN132" s="52">
        <v>1.0900000000000001</v>
      </c>
      <c r="BO132" s="50">
        <v>0.85000000000000009</v>
      </c>
      <c r="BP132" s="51">
        <v>0.97000000000000008</v>
      </c>
      <c r="BQ132" s="45">
        <v>10.14</v>
      </c>
      <c r="BR132" s="45">
        <v>8.14</v>
      </c>
      <c r="BS132" s="45">
        <v>9.14</v>
      </c>
      <c r="BT132" s="44">
        <v>11.57</v>
      </c>
      <c r="BU132" s="45">
        <v>11.17</v>
      </c>
      <c r="BV132" s="46">
        <v>11.370000000000001</v>
      </c>
      <c r="BW132" s="44">
        <v>2.85</v>
      </c>
      <c r="BX132" s="50">
        <v>2.5700000000000003</v>
      </c>
      <c r="BY132" s="51">
        <v>2.71</v>
      </c>
      <c r="BZ132" s="44">
        <v>9.83</v>
      </c>
      <c r="CA132" s="45">
        <v>6.83</v>
      </c>
      <c r="CB132" s="46">
        <v>8.33</v>
      </c>
      <c r="CC132" s="44">
        <v>6.76</v>
      </c>
      <c r="CD132" s="45">
        <v>6.52</v>
      </c>
      <c r="CE132" s="46">
        <v>6.64</v>
      </c>
      <c r="CF132" s="44">
        <v>1.94</v>
      </c>
      <c r="CG132" s="45">
        <v>1.44</v>
      </c>
      <c r="CH132" s="46">
        <v>1.69</v>
      </c>
      <c r="CI132" s="44">
        <v>0.45</v>
      </c>
      <c r="CJ132" s="45">
        <v>0.41000000000000003</v>
      </c>
      <c r="CK132" s="46">
        <v>0.43000000000000005</v>
      </c>
      <c r="CL132" s="44">
        <v>39.770000000000003</v>
      </c>
      <c r="CM132">
        <v>37.370000000000005</v>
      </c>
      <c r="CN132">
        <v>38.570000000000007</v>
      </c>
      <c r="CO132">
        <v>7.27</v>
      </c>
      <c r="CP132">
        <v>2.2699999999999996</v>
      </c>
      <c r="CQ132">
        <v>4.7699999999999996</v>
      </c>
    </row>
    <row r="133" spans="1:95">
      <c r="A133" s="223">
        <v>45420</v>
      </c>
      <c r="B133" s="90" t="s">
        <v>98</v>
      </c>
      <c r="C133" s="44">
        <v>155.94999999999999</v>
      </c>
      <c r="D133" s="45">
        <v>153.94999999999999</v>
      </c>
      <c r="E133" s="46">
        <v>154.94999999999999</v>
      </c>
      <c r="F133" s="44">
        <v>168.06</v>
      </c>
      <c r="G133" s="45">
        <v>165.06</v>
      </c>
      <c r="H133" s="46">
        <v>166.56</v>
      </c>
      <c r="I133" s="44">
        <v>114.41</v>
      </c>
      <c r="J133" s="45">
        <v>111.21</v>
      </c>
      <c r="K133" s="46">
        <v>112.81</v>
      </c>
      <c r="L133" s="45">
        <v>197.66</v>
      </c>
      <c r="M133" s="45">
        <v>189.66</v>
      </c>
      <c r="N133" s="45">
        <v>193.66</v>
      </c>
      <c r="O133" s="44">
        <v>171.36</v>
      </c>
      <c r="P133" s="45">
        <v>169.56</v>
      </c>
      <c r="Q133" s="46">
        <v>170.46</v>
      </c>
      <c r="R133" s="45">
        <v>22.62</v>
      </c>
      <c r="S133" s="45">
        <v>22.02</v>
      </c>
      <c r="T133" s="45">
        <v>22.32</v>
      </c>
      <c r="U133" s="44">
        <v>14.47</v>
      </c>
      <c r="V133" s="45">
        <v>13.870000000000001</v>
      </c>
      <c r="W133" s="46">
        <v>14.170000000000002</v>
      </c>
      <c r="X133" s="44">
        <v>14.64</v>
      </c>
      <c r="Y133" s="45">
        <v>13.84</v>
      </c>
      <c r="Z133" s="46">
        <v>14.24</v>
      </c>
      <c r="AA133" s="44">
        <v>104.03</v>
      </c>
      <c r="AB133" s="45">
        <v>100.03</v>
      </c>
      <c r="AC133" s="46">
        <v>102.03</v>
      </c>
      <c r="AD133" s="44">
        <v>94.86</v>
      </c>
      <c r="AE133" s="45">
        <v>90.86</v>
      </c>
      <c r="AF133" s="46">
        <v>92.86</v>
      </c>
      <c r="AG133" s="45">
        <v>20.239999999999998</v>
      </c>
      <c r="AH133" s="45">
        <v>19.38</v>
      </c>
      <c r="AI133" s="45">
        <v>19.809999999999999</v>
      </c>
      <c r="AJ133" s="47"/>
      <c r="AK133" s="48"/>
      <c r="AL133" s="49"/>
      <c r="AM133" s="45">
        <v>115.18</v>
      </c>
      <c r="AN133" s="45">
        <v>113.52000000000001</v>
      </c>
      <c r="AO133" s="45">
        <v>114.35000000000001</v>
      </c>
      <c r="AP133" s="44">
        <v>42.19</v>
      </c>
      <c r="AQ133" s="45">
        <v>40.589999999999996</v>
      </c>
      <c r="AR133" s="46">
        <v>41.39</v>
      </c>
      <c r="AS133" s="45">
        <v>42.94</v>
      </c>
      <c r="AT133" s="45">
        <v>41.58</v>
      </c>
      <c r="AU133" s="45">
        <v>42.26</v>
      </c>
      <c r="AV133" s="44">
        <v>21.74</v>
      </c>
      <c r="AW133" s="45">
        <v>21.139999999999997</v>
      </c>
      <c r="AX133" s="46">
        <v>21.439999999999998</v>
      </c>
      <c r="AY133" s="44">
        <v>4.28</v>
      </c>
      <c r="AZ133" s="45">
        <v>4.12</v>
      </c>
      <c r="BA133" s="46">
        <v>4.2</v>
      </c>
      <c r="BB133" s="44">
        <v>2.0099999999999998</v>
      </c>
      <c r="BC133" s="50">
        <v>1.7099999999999997</v>
      </c>
      <c r="BD133" s="51">
        <v>1.8599999999999999</v>
      </c>
      <c r="BE133" s="45">
        <v>0.71</v>
      </c>
      <c r="BF133" s="50">
        <v>0.41</v>
      </c>
      <c r="BG133" s="50">
        <v>0.55999999999999994</v>
      </c>
      <c r="BH133" s="44">
        <v>511.57</v>
      </c>
      <c r="BI133" s="45">
        <v>495.57</v>
      </c>
      <c r="BJ133" s="46">
        <v>503.57</v>
      </c>
      <c r="BK133" s="45">
        <v>43.26</v>
      </c>
      <c r="BL133" s="45">
        <v>41.9</v>
      </c>
      <c r="BM133" s="45">
        <v>42.58</v>
      </c>
      <c r="BN133" s="52">
        <v>1.08</v>
      </c>
      <c r="BO133" s="50">
        <v>0.84000000000000008</v>
      </c>
      <c r="BP133" s="51">
        <v>0.96000000000000008</v>
      </c>
      <c r="BQ133" s="45">
        <v>10.16</v>
      </c>
      <c r="BR133" s="45">
        <v>8.16</v>
      </c>
      <c r="BS133" s="45">
        <v>9.16</v>
      </c>
      <c r="BT133" s="44">
        <v>11.57</v>
      </c>
      <c r="BU133" s="45">
        <v>11.17</v>
      </c>
      <c r="BV133" s="46">
        <v>11.370000000000001</v>
      </c>
      <c r="BW133" s="44">
        <v>2.87</v>
      </c>
      <c r="BX133" s="50">
        <v>2.59</v>
      </c>
      <c r="BY133" s="51">
        <v>2.73</v>
      </c>
      <c r="BZ133" s="44">
        <v>9.8699999999999992</v>
      </c>
      <c r="CA133" s="45">
        <v>6.8699999999999992</v>
      </c>
      <c r="CB133" s="46">
        <v>8.3699999999999992</v>
      </c>
      <c r="CC133" s="44">
        <v>6.78</v>
      </c>
      <c r="CD133" s="45">
        <v>6.54</v>
      </c>
      <c r="CE133" s="46">
        <v>6.66</v>
      </c>
      <c r="CF133" s="44">
        <v>1.95</v>
      </c>
      <c r="CG133" s="45">
        <v>1.45</v>
      </c>
      <c r="CH133" s="46">
        <v>1.7</v>
      </c>
      <c r="CI133" s="44">
        <v>0.45</v>
      </c>
      <c r="CJ133" s="45">
        <v>0.41000000000000003</v>
      </c>
      <c r="CK133" s="46">
        <v>0.43000000000000005</v>
      </c>
      <c r="CL133" s="44">
        <v>39.840000000000003</v>
      </c>
      <c r="CM133">
        <v>37.440000000000005</v>
      </c>
      <c r="CN133">
        <v>38.64</v>
      </c>
      <c r="CO133">
        <v>7.31</v>
      </c>
      <c r="CP133">
        <v>2.3099999999999996</v>
      </c>
      <c r="CQ133">
        <v>4.8099999999999996</v>
      </c>
    </row>
    <row r="134" spans="1:95">
      <c r="A134" s="223">
        <v>45421</v>
      </c>
      <c r="B134" s="90" t="s">
        <v>99</v>
      </c>
      <c r="C134" s="44">
        <v>156.65</v>
      </c>
      <c r="D134" s="45">
        <v>154.65</v>
      </c>
      <c r="E134" s="46">
        <v>155.65</v>
      </c>
      <c r="F134" s="44">
        <v>168.75</v>
      </c>
      <c r="G134" s="45">
        <v>165.75</v>
      </c>
      <c r="H134" s="46">
        <v>167.25</v>
      </c>
      <c r="I134" s="44">
        <v>114.98</v>
      </c>
      <c r="J134" s="45">
        <v>111.78</v>
      </c>
      <c r="K134" s="46">
        <v>113.38</v>
      </c>
      <c r="L134" s="45">
        <v>198.47</v>
      </c>
      <c r="M134" s="45">
        <v>190.47</v>
      </c>
      <c r="N134" s="45">
        <v>194.47</v>
      </c>
      <c r="O134" s="44">
        <v>172.23</v>
      </c>
      <c r="P134" s="45">
        <v>170.42999999999998</v>
      </c>
      <c r="Q134" s="46">
        <v>171.32999999999998</v>
      </c>
      <c r="R134" s="45">
        <v>22.72</v>
      </c>
      <c r="S134" s="45">
        <v>22.119999999999997</v>
      </c>
      <c r="T134" s="45">
        <v>22.419999999999998</v>
      </c>
      <c r="U134" s="44">
        <v>14.57</v>
      </c>
      <c r="V134" s="45">
        <v>13.97</v>
      </c>
      <c r="W134" s="46">
        <v>14.27</v>
      </c>
      <c r="X134" s="44">
        <v>14.67</v>
      </c>
      <c r="Y134" s="45">
        <v>13.87</v>
      </c>
      <c r="Z134" s="46">
        <v>14.27</v>
      </c>
      <c r="AA134" s="44">
        <v>104.32</v>
      </c>
      <c r="AB134" s="45">
        <v>100.32</v>
      </c>
      <c r="AC134" s="46">
        <v>102.32</v>
      </c>
      <c r="AD134" s="44">
        <v>95.31</v>
      </c>
      <c r="AE134" s="45">
        <v>91.31</v>
      </c>
      <c r="AF134" s="46">
        <v>93.31</v>
      </c>
      <c r="AG134" s="45">
        <v>20.34</v>
      </c>
      <c r="AH134" s="45">
        <v>19.48</v>
      </c>
      <c r="AI134" s="45">
        <v>19.91</v>
      </c>
      <c r="AJ134" s="47"/>
      <c r="AK134" s="48"/>
      <c r="AL134" s="49"/>
      <c r="AM134" s="45">
        <v>115.62</v>
      </c>
      <c r="AN134" s="45">
        <v>113.96000000000001</v>
      </c>
      <c r="AO134" s="45">
        <v>114.79</v>
      </c>
      <c r="AP134" s="44">
        <v>42.37</v>
      </c>
      <c r="AQ134" s="45">
        <v>40.769999999999996</v>
      </c>
      <c r="AR134" s="46">
        <v>41.569999999999993</v>
      </c>
      <c r="AS134" s="45">
        <v>43.13</v>
      </c>
      <c r="AT134" s="45">
        <v>41.77</v>
      </c>
      <c r="AU134" s="45">
        <v>42.45</v>
      </c>
      <c r="AV134" s="44">
        <v>21.83</v>
      </c>
      <c r="AW134" s="45">
        <v>21.229999999999997</v>
      </c>
      <c r="AX134" s="46">
        <v>21.529999999999998</v>
      </c>
      <c r="AY134" s="44">
        <v>4.3</v>
      </c>
      <c r="AZ134" s="45">
        <v>4.1399999999999997</v>
      </c>
      <c r="BA134" s="46">
        <v>4.22</v>
      </c>
      <c r="BB134" s="44">
        <v>2.0299999999999998</v>
      </c>
      <c r="BC134" s="50">
        <v>1.7299999999999998</v>
      </c>
      <c r="BD134" s="51">
        <v>1.88</v>
      </c>
      <c r="BE134" s="45">
        <v>0.71</v>
      </c>
      <c r="BF134" s="50">
        <v>0.41</v>
      </c>
      <c r="BG134" s="50">
        <v>0.55999999999999994</v>
      </c>
      <c r="BH134" s="44">
        <v>515</v>
      </c>
      <c r="BI134" s="45">
        <v>499</v>
      </c>
      <c r="BJ134" s="46">
        <v>507</v>
      </c>
      <c r="BK134" s="45">
        <v>43.45</v>
      </c>
      <c r="BL134" s="45">
        <v>42.09</v>
      </c>
      <c r="BM134" s="45">
        <v>42.77</v>
      </c>
      <c r="BN134" s="52">
        <v>1.0900000000000001</v>
      </c>
      <c r="BO134" s="50">
        <v>0.85000000000000009</v>
      </c>
      <c r="BP134" s="51">
        <v>0.97000000000000008</v>
      </c>
      <c r="BQ134" s="45">
        <v>10.199999999999999</v>
      </c>
      <c r="BR134" s="45">
        <v>8.1999999999999993</v>
      </c>
      <c r="BS134" s="45">
        <v>9.1999999999999993</v>
      </c>
      <c r="BT134" s="44">
        <v>11.6</v>
      </c>
      <c r="BU134" s="45">
        <v>11.2</v>
      </c>
      <c r="BV134" s="46">
        <v>11.399999999999999</v>
      </c>
      <c r="BW134" s="44">
        <v>2.87</v>
      </c>
      <c r="BX134" s="50">
        <v>2.59</v>
      </c>
      <c r="BY134" s="51">
        <v>2.73</v>
      </c>
      <c r="BZ134" s="44">
        <v>9.8800000000000008</v>
      </c>
      <c r="CA134" s="45">
        <v>6.8800000000000008</v>
      </c>
      <c r="CB134" s="46">
        <v>8.3800000000000008</v>
      </c>
      <c r="CC134" s="44">
        <v>6.81</v>
      </c>
      <c r="CD134" s="45">
        <v>6.5699999999999994</v>
      </c>
      <c r="CE134" s="46">
        <v>6.6899999999999995</v>
      </c>
      <c r="CF134" s="44">
        <v>1.95</v>
      </c>
      <c r="CG134" s="45">
        <v>1.45</v>
      </c>
      <c r="CH134" s="46">
        <v>1.7</v>
      </c>
      <c r="CI134" s="44">
        <v>0.45</v>
      </c>
      <c r="CJ134" s="45">
        <v>0.41000000000000003</v>
      </c>
      <c r="CK134" s="46">
        <v>0.43000000000000005</v>
      </c>
      <c r="CL134" s="44">
        <v>40.08</v>
      </c>
      <c r="CM134">
        <v>37.68</v>
      </c>
      <c r="CN134">
        <v>38.879999999999995</v>
      </c>
      <c r="CO134">
        <v>7.33</v>
      </c>
      <c r="CP134">
        <v>2.33</v>
      </c>
      <c r="CQ134">
        <v>4.83</v>
      </c>
    </row>
    <row r="135" spans="1:95">
      <c r="A135" s="223">
        <v>45422</v>
      </c>
      <c r="B135" s="90" t="s">
        <v>100</v>
      </c>
      <c r="C135" s="44">
        <v>156.69999999999999</v>
      </c>
      <c r="D135" s="45">
        <v>154.69999999999999</v>
      </c>
      <c r="E135" s="46">
        <v>155.69999999999999</v>
      </c>
      <c r="F135" s="44">
        <v>169.33</v>
      </c>
      <c r="G135" s="45">
        <v>166.33</v>
      </c>
      <c r="H135" s="46">
        <v>167.83</v>
      </c>
      <c r="I135" s="44">
        <v>115.41</v>
      </c>
      <c r="J135" s="45">
        <v>112.21</v>
      </c>
      <c r="K135" s="46">
        <v>113.81</v>
      </c>
      <c r="L135" s="45">
        <v>198.95</v>
      </c>
      <c r="M135" s="45">
        <v>190.95</v>
      </c>
      <c r="N135" s="45">
        <v>194.95</v>
      </c>
      <c r="O135" s="44">
        <v>172.62</v>
      </c>
      <c r="P135" s="45">
        <v>170.82</v>
      </c>
      <c r="Q135" s="46">
        <v>171.72</v>
      </c>
      <c r="R135" s="45">
        <v>22.79</v>
      </c>
      <c r="S135" s="45">
        <v>22.189999999999998</v>
      </c>
      <c r="T135" s="45">
        <v>22.49</v>
      </c>
      <c r="U135" s="44">
        <v>14.65</v>
      </c>
      <c r="V135" s="45">
        <v>14.05</v>
      </c>
      <c r="W135" s="46">
        <v>14.350000000000001</v>
      </c>
      <c r="X135" s="44">
        <v>14.74</v>
      </c>
      <c r="Y135" s="45">
        <v>13.94</v>
      </c>
      <c r="Z135" s="46">
        <v>14.34</v>
      </c>
      <c r="AA135" s="44">
        <v>104.95</v>
      </c>
      <c r="AB135" s="45">
        <v>100.95</v>
      </c>
      <c r="AC135" s="46">
        <v>102.95</v>
      </c>
      <c r="AD135" s="44">
        <v>95.87</v>
      </c>
      <c r="AE135" s="45">
        <v>91.87</v>
      </c>
      <c r="AF135" s="46">
        <v>93.87</v>
      </c>
      <c r="AG135" s="45">
        <v>20.350000000000001</v>
      </c>
      <c r="AH135" s="45">
        <v>19.490000000000002</v>
      </c>
      <c r="AI135" s="45">
        <v>19.920000000000002</v>
      </c>
      <c r="AJ135" s="47"/>
      <c r="AK135" s="48"/>
      <c r="AL135" s="49"/>
      <c r="AM135" s="45">
        <v>115.89</v>
      </c>
      <c r="AN135" s="45">
        <v>114.23</v>
      </c>
      <c r="AO135" s="45">
        <v>115.06</v>
      </c>
      <c r="AP135" s="44">
        <v>42.39</v>
      </c>
      <c r="AQ135" s="45">
        <v>40.79</v>
      </c>
      <c r="AR135" s="46">
        <v>41.59</v>
      </c>
      <c r="AS135" s="45">
        <v>43.14</v>
      </c>
      <c r="AT135" s="45">
        <v>41.78</v>
      </c>
      <c r="AU135" s="45">
        <v>42.46</v>
      </c>
      <c r="AV135" s="44">
        <v>21.83</v>
      </c>
      <c r="AW135" s="45">
        <v>21.229999999999997</v>
      </c>
      <c r="AX135" s="46">
        <v>21.529999999999998</v>
      </c>
      <c r="AY135" s="44">
        <v>4.32</v>
      </c>
      <c r="AZ135" s="45">
        <v>4.16</v>
      </c>
      <c r="BA135" s="46">
        <v>4.24</v>
      </c>
      <c r="BB135" s="44">
        <v>2.0299999999999998</v>
      </c>
      <c r="BC135" s="50">
        <v>1.7299999999999998</v>
      </c>
      <c r="BD135" s="51">
        <v>1.88</v>
      </c>
      <c r="BE135" s="45">
        <v>0.71</v>
      </c>
      <c r="BF135" s="50">
        <v>0.41</v>
      </c>
      <c r="BG135" s="50">
        <v>0.55999999999999994</v>
      </c>
      <c r="BH135" s="44">
        <v>515.33000000000004</v>
      </c>
      <c r="BI135" s="45">
        <v>499.33000000000004</v>
      </c>
      <c r="BJ135" s="46">
        <v>507.33000000000004</v>
      </c>
      <c r="BK135" s="45">
        <v>43.47</v>
      </c>
      <c r="BL135" s="45">
        <v>42.11</v>
      </c>
      <c r="BM135" s="45">
        <v>42.79</v>
      </c>
      <c r="BN135" s="52">
        <v>1.0900000000000001</v>
      </c>
      <c r="BO135" s="50">
        <v>0.85000000000000009</v>
      </c>
      <c r="BP135" s="51">
        <v>0.97000000000000008</v>
      </c>
      <c r="BQ135" s="45">
        <v>10.28</v>
      </c>
      <c r="BR135" s="45">
        <v>8.2799999999999994</v>
      </c>
      <c r="BS135" s="45">
        <v>9.2799999999999994</v>
      </c>
      <c r="BT135" s="44">
        <v>11.6</v>
      </c>
      <c r="BU135" s="45">
        <v>11.2</v>
      </c>
      <c r="BV135" s="46">
        <v>11.399999999999999</v>
      </c>
      <c r="BW135" s="44">
        <v>2.87</v>
      </c>
      <c r="BX135" s="50">
        <v>2.59</v>
      </c>
      <c r="BY135" s="51">
        <v>2.73</v>
      </c>
      <c r="BZ135" s="44">
        <v>9.93</v>
      </c>
      <c r="CA135" s="45">
        <v>6.93</v>
      </c>
      <c r="CB135" s="46">
        <v>8.43</v>
      </c>
      <c r="CC135" s="44">
        <v>6.86</v>
      </c>
      <c r="CD135" s="45">
        <v>6.62</v>
      </c>
      <c r="CE135" s="46">
        <v>6.74</v>
      </c>
      <c r="CF135" s="44">
        <v>1.93</v>
      </c>
      <c r="CG135" s="45">
        <v>1.43</v>
      </c>
      <c r="CH135" s="46">
        <v>1.68</v>
      </c>
      <c r="CI135" s="44">
        <v>0.45</v>
      </c>
      <c r="CJ135" s="45">
        <v>0.41000000000000003</v>
      </c>
      <c r="CK135" s="46">
        <v>0.43000000000000005</v>
      </c>
      <c r="CL135" s="44">
        <v>40.380000000000003</v>
      </c>
      <c r="CM135">
        <v>37.980000000000004</v>
      </c>
      <c r="CN135">
        <v>39.180000000000007</v>
      </c>
      <c r="CO135">
        <v>7.34</v>
      </c>
      <c r="CP135">
        <v>2.34</v>
      </c>
      <c r="CQ135">
        <v>4.84</v>
      </c>
    </row>
    <row r="136" spans="1:95">
      <c r="A136" s="223">
        <v>45423</v>
      </c>
      <c r="B136" s="90" t="s">
        <v>307</v>
      </c>
      <c r="C136" s="44"/>
      <c r="D136" s="45"/>
      <c r="E136" s="46"/>
      <c r="F136" s="44"/>
      <c r="G136" s="45"/>
      <c r="H136" s="46"/>
      <c r="I136" s="44"/>
      <c r="J136" s="45"/>
      <c r="K136" s="46"/>
      <c r="L136" s="45"/>
      <c r="M136" s="45"/>
      <c r="N136" s="45"/>
      <c r="O136" s="44"/>
      <c r="P136" s="45"/>
      <c r="Q136" s="46"/>
      <c r="R136" s="45"/>
      <c r="S136" s="45"/>
      <c r="T136" s="45"/>
      <c r="U136" s="44"/>
      <c r="V136" s="45"/>
      <c r="W136" s="46"/>
      <c r="X136" s="44"/>
      <c r="Y136" s="45"/>
      <c r="Z136" s="46"/>
      <c r="AA136" s="44"/>
      <c r="AB136" s="45"/>
      <c r="AC136" s="46"/>
      <c r="AD136" s="44"/>
      <c r="AE136" s="45"/>
      <c r="AF136" s="46"/>
      <c r="AG136" s="45"/>
      <c r="AH136" s="45"/>
      <c r="AI136" s="45"/>
      <c r="AJ136" s="47"/>
      <c r="AK136" s="48"/>
      <c r="AL136" s="49"/>
      <c r="AM136" s="45"/>
      <c r="AN136" s="45"/>
      <c r="AO136" s="45"/>
      <c r="AP136" s="44"/>
      <c r="AQ136" s="45"/>
      <c r="AR136" s="46"/>
      <c r="AS136" s="45"/>
      <c r="AT136" s="45"/>
      <c r="AU136" s="45"/>
      <c r="AV136" s="44"/>
      <c r="AW136" s="45"/>
      <c r="AX136" s="46"/>
      <c r="AY136" s="44"/>
      <c r="AZ136" s="45"/>
      <c r="BA136" s="46"/>
      <c r="BB136" s="44"/>
      <c r="BC136" s="50"/>
      <c r="BD136" s="51"/>
      <c r="BE136" s="45"/>
      <c r="BF136" s="50"/>
      <c r="BG136" s="50"/>
      <c r="BH136" s="44"/>
      <c r="BI136" s="45"/>
      <c r="BJ136" s="46"/>
      <c r="BK136" s="45"/>
      <c r="BL136" s="45"/>
      <c r="BM136" s="45"/>
      <c r="BN136" s="52"/>
      <c r="BO136" s="50"/>
      <c r="BP136" s="51"/>
      <c r="BQ136" s="45"/>
      <c r="BR136" s="45"/>
      <c r="BS136" s="45"/>
      <c r="BT136" s="44"/>
      <c r="BU136" s="45"/>
      <c r="BV136" s="46"/>
      <c r="BW136" s="44"/>
      <c r="BX136" s="50"/>
      <c r="BY136" s="51"/>
      <c r="BZ136" s="44"/>
      <c r="CA136" s="45"/>
      <c r="CB136" s="46"/>
      <c r="CC136" s="44"/>
      <c r="CD136" s="45"/>
      <c r="CE136" s="46"/>
      <c r="CF136" s="44"/>
      <c r="CG136" s="45"/>
      <c r="CH136" s="46"/>
      <c r="CI136" s="44"/>
      <c r="CJ136" s="45"/>
      <c r="CK136" s="46"/>
      <c r="CL136" s="44"/>
    </row>
    <row r="137" spans="1:95">
      <c r="A137" s="223">
        <v>45424</v>
      </c>
      <c r="B137" s="90" t="s">
        <v>308</v>
      </c>
      <c r="C137" s="44"/>
      <c r="D137" s="45"/>
      <c r="E137" s="46"/>
      <c r="F137" s="44"/>
      <c r="G137" s="45"/>
      <c r="H137" s="46"/>
      <c r="I137" s="44"/>
      <c r="J137" s="45"/>
      <c r="K137" s="46"/>
      <c r="L137" s="45"/>
      <c r="M137" s="45"/>
      <c r="N137" s="45"/>
      <c r="O137" s="44"/>
      <c r="P137" s="45"/>
      <c r="Q137" s="46"/>
      <c r="R137" s="45"/>
      <c r="S137" s="45"/>
      <c r="T137" s="45"/>
      <c r="U137" s="44"/>
      <c r="V137" s="45"/>
      <c r="W137" s="46"/>
      <c r="X137" s="44"/>
      <c r="Y137" s="45"/>
      <c r="Z137" s="46"/>
      <c r="AA137" s="44"/>
      <c r="AB137" s="45"/>
      <c r="AC137" s="46"/>
      <c r="AD137" s="44"/>
      <c r="AE137" s="45"/>
      <c r="AF137" s="46"/>
      <c r="AG137" s="45"/>
      <c r="AH137" s="45"/>
      <c r="AI137" s="45"/>
      <c r="AJ137" s="47"/>
      <c r="AK137" s="48"/>
      <c r="AL137" s="49"/>
      <c r="AM137" s="45"/>
      <c r="AN137" s="45"/>
      <c r="AO137" s="45"/>
      <c r="AP137" s="44"/>
      <c r="AQ137" s="45"/>
      <c r="AR137" s="46"/>
      <c r="AS137" s="45"/>
      <c r="AT137" s="45"/>
      <c r="AU137" s="45"/>
      <c r="AV137" s="44"/>
      <c r="AW137" s="45"/>
      <c r="AX137" s="46"/>
      <c r="AY137" s="44"/>
      <c r="AZ137" s="45"/>
      <c r="BA137" s="46"/>
      <c r="BB137" s="44"/>
      <c r="BC137" s="50"/>
      <c r="BD137" s="51"/>
      <c r="BE137" s="45"/>
      <c r="BF137" s="50"/>
      <c r="BG137" s="50"/>
      <c r="BH137" s="44"/>
      <c r="BI137" s="45"/>
      <c r="BJ137" s="46"/>
      <c r="BK137" s="45"/>
      <c r="BL137" s="45"/>
      <c r="BM137" s="45"/>
      <c r="BN137" s="52"/>
      <c r="BO137" s="50"/>
      <c r="BP137" s="51"/>
      <c r="BQ137" s="45"/>
      <c r="BR137" s="45"/>
      <c r="BS137" s="45"/>
      <c r="BT137" s="44"/>
      <c r="BU137" s="45"/>
      <c r="BV137" s="46"/>
      <c r="BW137" s="44"/>
      <c r="BX137" s="50"/>
      <c r="BY137" s="51"/>
      <c r="BZ137" s="44"/>
      <c r="CA137" s="45"/>
      <c r="CB137" s="46"/>
      <c r="CC137" s="44"/>
      <c r="CD137" s="45"/>
      <c r="CE137" s="46"/>
      <c r="CF137" s="44"/>
      <c r="CG137" s="45"/>
      <c r="CH137" s="46"/>
      <c r="CI137" s="44"/>
      <c r="CJ137" s="45"/>
      <c r="CK137" s="46"/>
      <c r="CL137" s="44"/>
    </row>
    <row r="138" spans="1:95">
      <c r="A138" s="223">
        <v>45425</v>
      </c>
      <c r="B138" s="90" t="s">
        <v>96</v>
      </c>
      <c r="C138" s="44">
        <v>156.97999999999999</v>
      </c>
      <c r="D138" s="45">
        <v>154.97999999999999</v>
      </c>
      <c r="E138" s="46">
        <v>155.97999999999999</v>
      </c>
      <c r="F138" s="44">
        <v>169.46</v>
      </c>
      <c r="G138" s="45">
        <v>166.46</v>
      </c>
      <c r="H138" s="46">
        <v>167.96</v>
      </c>
      <c r="I138" s="44">
        <v>115.62</v>
      </c>
      <c r="J138" s="45">
        <v>112.42</v>
      </c>
      <c r="K138" s="46">
        <v>114.02000000000001</v>
      </c>
      <c r="L138" s="45">
        <v>199.24</v>
      </c>
      <c r="M138" s="45">
        <v>191.24</v>
      </c>
      <c r="N138" s="45">
        <v>195.24</v>
      </c>
      <c r="O138" s="44">
        <v>172.93</v>
      </c>
      <c r="P138" s="45">
        <v>171.13</v>
      </c>
      <c r="Q138" s="46">
        <v>172.03</v>
      </c>
      <c r="R138" s="45">
        <v>22.82</v>
      </c>
      <c r="S138" s="45">
        <v>22.22</v>
      </c>
      <c r="T138" s="45">
        <v>22.52</v>
      </c>
      <c r="U138" s="44">
        <v>14.66</v>
      </c>
      <c r="V138" s="45">
        <v>14.06</v>
      </c>
      <c r="W138" s="46">
        <v>14.36</v>
      </c>
      <c r="X138" s="44">
        <v>14.78</v>
      </c>
      <c r="Y138" s="45">
        <v>13.979999999999999</v>
      </c>
      <c r="Z138" s="46">
        <v>14.379999999999999</v>
      </c>
      <c r="AA138" s="44">
        <v>104.88</v>
      </c>
      <c r="AB138" s="45">
        <v>100.88</v>
      </c>
      <c r="AC138" s="46">
        <v>102.88</v>
      </c>
      <c r="AD138" s="44">
        <v>95.81</v>
      </c>
      <c r="AE138" s="45">
        <v>91.81</v>
      </c>
      <c r="AF138" s="46">
        <v>93.81</v>
      </c>
      <c r="AG138" s="45">
        <v>20.39</v>
      </c>
      <c r="AH138" s="45">
        <v>19.53</v>
      </c>
      <c r="AI138" s="45">
        <v>19.96</v>
      </c>
      <c r="AJ138" s="47"/>
      <c r="AK138" s="48"/>
      <c r="AL138" s="49"/>
      <c r="AM138" s="45">
        <v>115.96</v>
      </c>
      <c r="AN138" s="45">
        <v>114.3</v>
      </c>
      <c r="AO138" s="45">
        <v>115.13</v>
      </c>
      <c r="AP138" s="44">
        <v>42.45</v>
      </c>
      <c r="AQ138" s="45">
        <v>40.85</v>
      </c>
      <c r="AR138" s="46">
        <v>41.650000000000006</v>
      </c>
      <c r="AS138" s="45">
        <v>43.22</v>
      </c>
      <c r="AT138" s="45">
        <v>41.86</v>
      </c>
      <c r="AU138" s="45">
        <v>42.54</v>
      </c>
      <c r="AV138" s="44">
        <v>21.85</v>
      </c>
      <c r="AW138" s="45">
        <v>21.25</v>
      </c>
      <c r="AX138" s="46">
        <v>21.55</v>
      </c>
      <c r="AY138" s="44">
        <v>4.32</v>
      </c>
      <c r="AZ138" s="45">
        <v>4.16</v>
      </c>
      <c r="BA138" s="46">
        <v>4.24</v>
      </c>
      <c r="BB138" s="44">
        <v>2.0299999999999998</v>
      </c>
      <c r="BC138" s="50">
        <v>1.7299999999999998</v>
      </c>
      <c r="BD138" s="51">
        <v>1.88</v>
      </c>
      <c r="BE138" s="45">
        <v>0.71</v>
      </c>
      <c r="BF138" s="50">
        <v>0.41</v>
      </c>
      <c r="BG138" s="50">
        <v>0.55999999999999994</v>
      </c>
      <c r="BH138" s="44">
        <v>516.24</v>
      </c>
      <c r="BI138" s="45">
        <v>500.24</v>
      </c>
      <c r="BJ138" s="46">
        <v>508.24</v>
      </c>
      <c r="BK138" s="45">
        <v>43.53</v>
      </c>
      <c r="BL138" s="45">
        <v>42.17</v>
      </c>
      <c r="BM138" s="45">
        <v>42.85</v>
      </c>
      <c r="BN138" s="52">
        <v>1.1000000000000001</v>
      </c>
      <c r="BO138" s="50">
        <v>0.8600000000000001</v>
      </c>
      <c r="BP138" s="51">
        <v>0.98000000000000009</v>
      </c>
      <c r="BQ138" s="45">
        <v>10.3</v>
      </c>
      <c r="BR138" s="45">
        <v>8.3000000000000007</v>
      </c>
      <c r="BS138" s="45">
        <v>9.3000000000000007</v>
      </c>
      <c r="BT138" s="44">
        <v>11.58</v>
      </c>
      <c r="BU138" s="45">
        <v>11.18</v>
      </c>
      <c r="BV138" s="46">
        <v>11.379999999999999</v>
      </c>
      <c r="BW138" s="44">
        <v>2.88</v>
      </c>
      <c r="BX138" s="50">
        <v>2.5999999999999996</v>
      </c>
      <c r="BY138" s="51">
        <v>2.7399999999999998</v>
      </c>
      <c r="BZ138" s="44">
        <v>9.9499999999999993</v>
      </c>
      <c r="CA138" s="45">
        <v>6.9499999999999993</v>
      </c>
      <c r="CB138" s="46">
        <v>8.4499999999999993</v>
      </c>
      <c r="CC138" s="44">
        <v>6.86</v>
      </c>
      <c r="CD138" s="45">
        <v>6.62</v>
      </c>
      <c r="CE138" s="46">
        <v>6.74</v>
      </c>
      <c r="CF138" s="44">
        <v>1.93</v>
      </c>
      <c r="CG138" s="45">
        <v>1.43</v>
      </c>
      <c r="CH138" s="46">
        <v>1.68</v>
      </c>
      <c r="CI138" s="44">
        <v>0.45</v>
      </c>
      <c r="CJ138" s="45">
        <v>0.41000000000000003</v>
      </c>
      <c r="CK138" s="46">
        <v>0.43000000000000005</v>
      </c>
      <c r="CL138" s="44">
        <v>40.26</v>
      </c>
      <c r="CM138">
        <v>37.86</v>
      </c>
      <c r="CN138">
        <v>39.06</v>
      </c>
      <c r="CO138">
        <v>7.35</v>
      </c>
      <c r="CP138">
        <v>2.3499999999999996</v>
      </c>
      <c r="CQ138">
        <v>4.8499999999999996</v>
      </c>
    </row>
    <row r="139" spans="1:95">
      <c r="A139" s="223">
        <v>45426</v>
      </c>
      <c r="B139" s="90" t="s">
        <v>97</v>
      </c>
      <c r="C139" s="44">
        <v>157.36000000000001</v>
      </c>
      <c r="D139" s="45">
        <v>155.36000000000001</v>
      </c>
      <c r="E139" s="46">
        <v>156.36000000000001</v>
      </c>
      <c r="F139" s="44">
        <v>170.17</v>
      </c>
      <c r="G139" s="45">
        <v>167.17</v>
      </c>
      <c r="H139" s="46">
        <v>168.67</v>
      </c>
      <c r="I139" s="44">
        <v>115.97</v>
      </c>
      <c r="J139" s="45">
        <v>112.77</v>
      </c>
      <c r="K139" s="46">
        <v>114.37</v>
      </c>
      <c r="L139" s="45">
        <v>200.34</v>
      </c>
      <c r="M139" s="45">
        <v>192.34</v>
      </c>
      <c r="N139" s="45">
        <v>196.34</v>
      </c>
      <c r="O139" s="44">
        <v>173.03</v>
      </c>
      <c r="P139" s="45">
        <v>171.23</v>
      </c>
      <c r="Q139" s="46">
        <v>172.13</v>
      </c>
      <c r="R139" s="45">
        <v>22.91</v>
      </c>
      <c r="S139" s="45">
        <v>22.31</v>
      </c>
      <c r="T139" s="45">
        <v>22.61</v>
      </c>
      <c r="U139" s="44">
        <v>14.77</v>
      </c>
      <c r="V139" s="45">
        <v>14.17</v>
      </c>
      <c r="W139" s="46">
        <v>14.469999999999999</v>
      </c>
      <c r="X139" s="44">
        <v>14.82</v>
      </c>
      <c r="Y139" s="45">
        <v>14.02</v>
      </c>
      <c r="Z139" s="46">
        <v>14.42</v>
      </c>
      <c r="AA139" s="44">
        <v>105.26</v>
      </c>
      <c r="AB139" s="45">
        <v>101.26</v>
      </c>
      <c r="AC139" s="46">
        <v>103.26</v>
      </c>
      <c r="AD139" s="44">
        <v>96.05</v>
      </c>
      <c r="AE139" s="45">
        <v>92.05</v>
      </c>
      <c r="AF139" s="46">
        <v>94.05</v>
      </c>
      <c r="AG139" s="45">
        <v>20.440000000000001</v>
      </c>
      <c r="AH139" s="45">
        <v>19.580000000000002</v>
      </c>
      <c r="AI139" s="45">
        <v>20.010000000000002</v>
      </c>
      <c r="AJ139" s="47"/>
      <c r="AK139" s="48"/>
      <c r="AL139" s="49"/>
      <c r="AM139" s="45">
        <v>116.35</v>
      </c>
      <c r="AN139" s="45">
        <v>114.69</v>
      </c>
      <c r="AO139" s="45">
        <v>115.52</v>
      </c>
      <c r="AP139" s="44">
        <v>42.55</v>
      </c>
      <c r="AQ139" s="45">
        <v>40.949999999999996</v>
      </c>
      <c r="AR139" s="46">
        <v>41.75</v>
      </c>
      <c r="AS139" s="45">
        <v>43.32</v>
      </c>
      <c r="AT139" s="45">
        <v>41.96</v>
      </c>
      <c r="AU139" s="45">
        <v>42.64</v>
      </c>
      <c r="AV139" s="44">
        <v>21.89</v>
      </c>
      <c r="AW139" s="45">
        <v>21.29</v>
      </c>
      <c r="AX139" s="46">
        <v>21.59</v>
      </c>
      <c r="AY139" s="44">
        <v>4.33</v>
      </c>
      <c r="AZ139" s="45">
        <v>4.17</v>
      </c>
      <c r="BA139" s="46">
        <v>4.25</v>
      </c>
      <c r="BB139" s="44">
        <v>2.0299999999999998</v>
      </c>
      <c r="BC139" s="50">
        <v>1.7299999999999998</v>
      </c>
      <c r="BD139" s="51">
        <v>1.88</v>
      </c>
      <c r="BE139" s="45">
        <v>0.71</v>
      </c>
      <c r="BF139" s="50">
        <v>0.41</v>
      </c>
      <c r="BG139" s="50">
        <v>0.55999999999999994</v>
      </c>
      <c r="BH139" s="44">
        <v>517.32000000000005</v>
      </c>
      <c r="BI139" s="45">
        <v>501.32000000000005</v>
      </c>
      <c r="BJ139" s="46">
        <v>509.32000000000005</v>
      </c>
      <c r="BK139" s="45">
        <v>43.64</v>
      </c>
      <c r="BL139" s="45">
        <v>42.28</v>
      </c>
      <c r="BM139" s="45">
        <v>42.96</v>
      </c>
      <c r="BN139" s="52">
        <v>1.1000000000000001</v>
      </c>
      <c r="BO139" s="50">
        <v>0.8600000000000001</v>
      </c>
      <c r="BP139" s="51">
        <v>0.98000000000000009</v>
      </c>
      <c r="BQ139" s="45">
        <v>10.31</v>
      </c>
      <c r="BR139" s="45">
        <v>8.31</v>
      </c>
      <c r="BS139" s="45">
        <v>9.31</v>
      </c>
      <c r="BT139" s="44">
        <v>11.63</v>
      </c>
      <c r="BU139" s="45">
        <v>11.23</v>
      </c>
      <c r="BV139" s="46">
        <v>11.43</v>
      </c>
      <c r="BW139" s="44">
        <v>2.86</v>
      </c>
      <c r="BX139" s="50">
        <v>2.58</v>
      </c>
      <c r="BY139" s="51">
        <v>2.7199999999999998</v>
      </c>
      <c r="BZ139" s="44">
        <v>10.02</v>
      </c>
      <c r="CA139" s="45">
        <v>7.02</v>
      </c>
      <c r="CB139" s="46">
        <v>8.52</v>
      </c>
      <c r="CC139" s="44">
        <v>6.93</v>
      </c>
      <c r="CD139" s="45">
        <v>6.6899999999999995</v>
      </c>
      <c r="CE139" s="46">
        <v>6.81</v>
      </c>
      <c r="CF139" s="44">
        <v>1.96</v>
      </c>
      <c r="CG139" s="45">
        <v>1.46</v>
      </c>
      <c r="CH139" s="46">
        <v>1.71</v>
      </c>
      <c r="CI139" s="44">
        <v>0.46</v>
      </c>
      <c r="CJ139" s="45">
        <v>0.42000000000000004</v>
      </c>
      <c r="CK139" s="46">
        <v>0.44000000000000006</v>
      </c>
      <c r="CL139" s="44">
        <v>40.58</v>
      </c>
      <c r="CM139">
        <v>38.18</v>
      </c>
      <c r="CN139">
        <v>39.379999999999995</v>
      </c>
      <c r="CO139">
        <v>7.36</v>
      </c>
      <c r="CP139">
        <v>2.3600000000000003</v>
      </c>
      <c r="CQ139">
        <v>4.8600000000000003</v>
      </c>
    </row>
    <row r="140" spans="1:95">
      <c r="A140" s="223">
        <v>45427</v>
      </c>
      <c r="B140" s="90" t="s">
        <v>98</v>
      </c>
      <c r="C140" s="44">
        <v>157.53</v>
      </c>
      <c r="D140" s="45">
        <v>155.53</v>
      </c>
      <c r="E140" s="46">
        <v>156.53</v>
      </c>
      <c r="F140" s="44">
        <v>170.83</v>
      </c>
      <c r="G140" s="45">
        <v>167.83</v>
      </c>
      <c r="H140" s="46">
        <v>169.33</v>
      </c>
      <c r="I140" s="44">
        <v>116.26</v>
      </c>
      <c r="J140" s="45">
        <v>113.06</v>
      </c>
      <c r="K140" s="46">
        <v>114.66</v>
      </c>
      <c r="L140" s="45">
        <v>201.04</v>
      </c>
      <c r="M140" s="45">
        <v>193.04</v>
      </c>
      <c r="N140" s="45">
        <v>197.04</v>
      </c>
      <c r="O140" s="44">
        <v>173.59</v>
      </c>
      <c r="P140" s="45">
        <v>171.79</v>
      </c>
      <c r="Q140" s="46">
        <v>172.69</v>
      </c>
      <c r="R140" s="45">
        <v>23</v>
      </c>
      <c r="S140" s="45">
        <v>22.4</v>
      </c>
      <c r="T140" s="45">
        <v>22.7</v>
      </c>
      <c r="U140" s="44">
        <v>14.79</v>
      </c>
      <c r="V140" s="45">
        <v>14.19</v>
      </c>
      <c r="W140" s="46">
        <v>14.489999999999998</v>
      </c>
      <c r="X140" s="44">
        <v>14.87</v>
      </c>
      <c r="Y140" s="45">
        <v>14.069999999999999</v>
      </c>
      <c r="Z140" s="46">
        <v>14.469999999999999</v>
      </c>
      <c r="AA140" s="44">
        <v>105.73</v>
      </c>
      <c r="AB140" s="45">
        <v>101.73</v>
      </c>
      <c r="AC140" s="46">
        <v>103.73</v>
      </c>
      <c r="AD140" s="44">
        <v>96.62</v>
      </c>
      <c r="AE140" s="45">
        <v>92.62</v>
      </c>
      <c r="AF140" s="46">
        <v>94.62</v>
      </c>
      <c r="AG140" s="45">
        <v>20.47</v>
      </c>
      <c r="AH140" s="45">
        <v>19.61</v>
      </c>
      <c r="AI140" s="45">
        <v>20.04</v>
      </c>
      <c r="AJ140" s="47"/>
      <c r="AK140" s="48"/>
      <c r="AL140" s="49"/>
      <c r="AM140" s="45">
        <v>116.58</v>
      </c>
      <c r="AN140" s="45">
        <v>114.92</v>
      </c>
      <c r="AO140" s="45">
        <v>115.75</v>
      </c>
      <c r="AP140" s="44">
        <v>42.61</v>
      </c>
      <c r="AQ140" s="45">
        <v>41.01</v>
      </c>
      <c r="AR140" s="46">
        <v>41.81</v>
      </c>
      <c r="AS140" s="45">
        <v>43.37</v>
      </c>
      <c r="AT140" s="45">
        <v>42.01</v>
      </c>
      <c r="AU140" s="45">
        <v>42.69</v>
      </c>
      <c r="AV140" s="44">
        <v>21.92</v>
      </c>
      <c r="AW140" s="45">
        <v>21.32</v>
      </c>
      <c r="AX140" s="46">
        <v>21.62</v>
      </c>
      <c r="AY140" s="44">
        <v>4.37</v>
      </c>
      <c r="AZ140" s="45">
        <v>4.21</v>
      </c>
      <c r="BA140" s="46">
        <v>4.29</v>
      </c>
      <c r="BB140" s="44">
        <v>2.0299999999999998</v>
      </c>
      <c r="BC140" s="50">
        <v>1.7299999999999998</v>
      </c>
      <c r="BD140" s="51">
        <v>1.88</v>
      </c>
      <c r="BE140" s="45">
        <v>0.72</v>
      </c>
      <c r="BF140" s="50">
        <v>0.42</v>
      </c>
      <c r="BG140" s="50">
        <v>0.56999999999999995</v>
      </c>
      <c r="BH140" s="44">
        <v>518.04</v>
      </c>
      <c r="BI140" s="45">
        <v>502.03999999999996</v>
      </c>
      <c r="BJ140" s="46">
        <v>510.03999999999996</v>
      </c>
      <c r="BK140" s="45">
        <v>43.69</v>
      </c>
      <c r="BL140" s="45">
        <v>42.33</v>
      </c>
      <c r="BM140" s="45">
        <v>43.01</v>
      </c>
      <c r="BN140" s="52">
        <v>1.1000000000000001</v>
      </c>
      <c r="BO140" s="50">
        <v>0.8600000000000001</v>
      </c>
      <c r="BP140" s="51">
        <v>0.98000000000000009</v>
      </c>
      <c r="BQ140" s="45">
        <v>10.29</v>
      </c>
      <c r="BR140" s="45">
        <v>8.2899999999999991</v>
      </c>
      <c r="BS140" s="45">
        <v>9.2899999999999991</v>
      </c>
      <c r="BT140" s="44">
        <v>11.68</v>
      </c>
      <c r="BU140" s="45">
        <v>11.28</v>
      </c>
      <c r="BV140" s="46">
        <v>11.48</v>
      </c>
      <c r="BW140" s="44">
        <v>2.87</v>
      </c>
      <c r="BX140" s="50">
        <v>2.59</v>
      </c>
      <c r="BY140" s="51">
        <v>2.73</v>
      </c>
      <c r="BZ140" s="44">
        <v>10.01</v>
      </c>
      <c r="CA140" s="45">
        <v>7.01</v>
      </c>
      <c r="CB140" s="46">
        <v>8.51</v>
      </c>
      <c r="CC140" s="44">
        <v>6.95</v>
      </c>
      <c r="CD140" s="45">
        <v>6.71</v>
      </c>
      <c r="CE140" s="46">
        <v>6.83</v>
      </c>
      <c r="CF140" s="44">
        <v>1.96</v>
      </c>
      <c r="CG140" s="45">
        <v>1.46</v>
      </c>
      <c r="CH140" s="46">
        <v>1.71</v>
      </c>
      <c r="CI140" s="44">
        <v>0.46</v>
      </c>
      <c r="CJ140" s="45">
        <v>0.42000000000000004</v>
      </c>
      <c r="CK140" s="46">
        <v>0.44000000000000006</v>
      </c>
      <c r="CL140" s="44">
        <v>40.869999999999997</v>
      </c>
      <c r="CM140">
        <v>38.47</v>
      </c>
      <c r="CN140">
        <v>39.67</v>
      </c>
      <c r="CO140">
        <v>7.36</v>
      </c>
      <c r="CP140">
        <v>2.3600000000000003</v>
      </c>
      <c r="CQ140">
        <v>4.8600000000000003</v>
      </c>
    </row>
    <row r="141" spans="1:95">
      <c r="A141" s="223">
        <v>45428</v>
      </c>
      <c r="B141" s="90" t="s">
        <v>99</v>
      </c>
      <c r="C141" s="44">
        <v>154.94</v>
      </c>
      <c r="D141" s="45">
        <v>152.94</v>
      </c>
      <c r="E141" s="46">
        <v>153.94</v>
      </c>
      <c r="F141" s="44">
        <v>169.17</v>
      </c>
      <c r="G141" s="45">
        <v>166.17</v>
      </c>
      <c r="H141" s="46">
        <v>167.67</v>
      </c>
      <c r="I141" s="44">
        <v>114.87</v>
      </c>
      <c r="J141" s="45">
        <v>111.67</v>
      </c>
      <c r="K141" s="46">
        <v>113.27000000000001</v>
      </c>
      <c r="L141" s="45">
        <v>199.43</v>
      </c>
      <c r="M141" s="45">
        <v>191.43</v>
      </c>
      <c r="N141" s="45">
        <v>195.43</v>
      </c>
      <c r="O141" s="44">
        <v>172</v>
      </c>
      <c r="P141" s="45">
        <v>170.2</v>
      </c>
      <c r="Q141" s="46">
        <v>171.1</v>
      </c>
      <c r="R141" s="45">
        <v>22.77</v>
      </c>
      <c r="S141" s="45">
        <v>22.169999999999998</v>
      </c>
      <c r="T141" s="45">
        <v>22.47</v>
      </c>
      <c r="U141" s="44">
        <v>14.75</v>
      </c>
      <c r="V141" s="45">
        <v>14.15</v>
      </c>
      <c r="W141" s="46">
        <v>14.45</v>
      </c>
      <c r="X141" s="44">
        <v>14.86</v>
      </c>
      <c r="Y141" s="45">
        <v>14.059999999999999</v>
      </c>
      <c r="Z141" s="46">
        <v>14.459999999999999</v>
      </c>
      <c r="AA141" s="44">
        <v>105.32</v>
      </c>
      <c r="AB141" s="45">
        <v>101.32</v>
      </c>
      <c r="AC141" s="46">
        <v>103.32</v>
      </c>
      <c r="AD141" s="44">
        <v>96.53</v>
      </c>
      <c r="AE141" s="45">
        <v>92.53</v>
      </c>
      <c r="AF141" s="46">
        <v>94.53</v>
      </c>
      <c r="AG141" s="45">
        <v>20.149999999999999</v>
      </c>
      <c r="AH141" s="45">
        <v>19.29</v>
      </c>
      <c r="AI141" s="45">
        <v>19.72</v>
      </c>
      <c r="AJ141" s="47"/>
      <c r="AK141" s="48"/>
      <c r="AL141" s="49"/>
      <c r="AM141" s="45">
        <v>115.51</v>
      </c>
      <c r="AN141" s="45">
        <v>113.85000000000001</v>
      </c>
      <c r="AO141" s="45">
        <v>114.68</v>
      </c>
      <c r="AP141" s="44">
        <v>41.92</v>
      </c>
      <c r="AQ141" s="45">
        <v>40.32</v>
      </c>
      <c r="AR141" s="46">
        <v>41.120000000000005</v>
      </c>
      <c r="AS141" s="45">
        <v>42.66</v>
      </c>
      <c r="AT141" s="45">
        <v>41.3</v>
      </c>
      <c r="AU141" s="45">
        <v>41.98</v>
      </c>
      <c r="AV141" s="44">
        <v>21.66</v>
      </c>
      <c r="AW141" s="45">
        <v>21.06</v>
      </c>
      <c r="AX141" s="46">
        <v>21.36</v>
      </c>
      <c r="AY141" s="44">
        <v>4.33</v>
      </c>
      <c r="AZ141" s="45">
        <v>4.17</v>
      </c>
      <c r="BA141" s="46">
        <v>4.25</v>
      </c>
      <c r="BB141" s="44">
        <v>2.0099999999999998</v>
      </c>
      <c r="BC141" s="50">
        <v>1.7099999999999997</v>
      </c>
      <c r="BD141" s="51">
        <v>1.8599999999999999</v>
      </c>
      <c r="BE141" s="45">
        <v>0.71</v>
      </c>
      <c r="BF141" s="50">
        <v>0.41</v>
      </c>
      <c r="BG141" s="50">
        <v>0.55999999999999994</v>
      </c>
      <c r="BH141" s="44">
        <v>508.46</v>
      </c>
      <c r="BI141" s="45">
        <v>492.46</v>
      </c>
      <c r="BJ141" s="46">
        <v>500.46</v>
      </c>
      <c r="BK141" s="45">
        <v>42.98</v>
      </c>
      <c r="BL141" s="45">
        <v>41.62</v>
      </c>
      <c r="BM141" s="45">
        <v>42.3</v>
      </c>
      <c r="BN141" s="52">
        <v>1.08</v>
      </c>
      <c r="BO141" s="50">
        <v>0.84000000000000008</v>
      </c>
      <c r="BP141" s="51">
        <v>0.96000000000000008</v>
      </c>
      <c r="BQ141" s="45">
        <v>10.23</v>
      </c>
      <c r="BR141" s="45">
        <v>8.23</v>
      </c>
      <c r="BS141" s="45">
        <v>9.23</v>
      </c>
      <c r="BT141" s="44">
        <v>11.62</v>
      </c>
      <c r="BU141" s="45">
        <v>11.219999999999999</v>
      </c>
      <c r="BV141" s="46">
        <v>11.419999999999998</v>
      </c>
      <c r="BW141" s="44">
        <v>2.84</v>
      </c>
      <c r="BX141" s="50">
        <v>2.5599999999999996</v>
      </c>
      <c r="BY141" s="51">
        <v>2.6999999999999997</v>
      </c>
      <c r="BZ141" s="44">
        <v>9.94</v>
      </c>
      <c r="CA141" s="45">
        <v>6.9399999999999995</v>
      </c>
      <c r="CB141" s="46">
        <v>8.44</v>
      </c>
      <c r="CC141" s="44">
        <v>6.9</v>
      </c>
      <c r="CD141" s="45">
        <v>6.66</v>
      </c>
      <c r="CE141" s="46">
        <v>6.78</v>
      </c>
      <c r="CF141" s="44">
        <v>1.94</v>
      </c>
      <c r="CG141" s="45">
        <v>1.44</v>
      </c>
      <c r="CH141" s="46">
        <v>1.69</v>
      </c>
      <c r="CI141" s="44">
        <v>0.46</v>
      </c>
      <c r="CJ141" s="45">
        <v>0.42000000000000004</v>
      </c>
      <c r="CK141" s="46">
        <v>0.44000000000000006</v>
      </c>
      <c r="CL141" s="44">
        <v>40.56</v>
      </c>
      <c r="CM141">
        <v>38.160000000000004</v>
      </c>
      <c r="CN141">
        <v>39.36</v>
      </c>
      <c r="CO141">
        <v>7.31</v>
      </c>
      <c r="CP141">
        <v>2.3099999999999996</v>
      </c>
      <c r="CQ141">
        <v>4.8099999999999996</v>
      </c>
    </row>
    <row r="142" spans="1:95">
      <c r="A142" s="223">
        <v>45429</v>
      </c>
      <c r="B142" s="90" t="s">
        <v>100</v>
      </c>
      <c r="C142" s="44">
        <v>156.58000000000001</v>
      </c>
      <c r="D142" s="45">
        <v>154.58000000000001</v>
      </c>
      <c r="E142" s="46">
        <v>155.58000000000001</v>
      </c>
      <c r="F142" s="44">
        <v>170.49</v>
      </c>
      <c r="G142" s="45">
        <v>167.49</v>
      </c>
      <c r="H142" s="46">
        <v>168.99</v>
      </c>
      <c r="I142" s="44">
        <v>115.82</v>
      </c>
      <c r="J142" s="45">
        <v>112.61999999999999</v>
      </c>
      <c r="K142" s="46">
        <v>114.22</v>
      </c>
      <c r="L142" s="45">
        <v>201.04</v>
      </c>
      <c r="M142" s="45">
        <v>193.04</v>
      </c>
      <c r="N142" s="45">
        <v>197.04</v>
      </c>
      <c r="O142" s="44">
        <v>172.38</v>
      </c>
      <c r="P142" s="45">
        <v>170.57999999999998</v>
      </c>
      <c r="Q142" s="46">
        <v>171.48</v>
      </c>
      <c r="R142" s="45">
        <v>22.95</v>
      </c>
      <c r="S142" s="45">
        <v>22.349999999999998</v>
      </c>
      <c r="T142" s="45">
        <v>22.65</v>
      </c>
      <c r="U142" s="44">
        <v>14.82</v>
      </c>
      <c r="V142" s="45">
        <v>14.22</v>
      </c>
      <c r="W142" s="46">
        <v>14.52</v>
      </c>
      <c r="X142" s="44">
        <v>14.9</v>
      </c>
      <c r="Y142" s="45">
        <v>14.1</v>
      </c>
      <c r="Z142" s="46">
        <v>14.5</v>
      </c>
      <c r="AA142" s="44">
        <v>105.85</v>
      </c>
      <c r="AB142" s="45">
        <v>101.85</v>
      </c>
      <c r="AC142" s="46">
        <v>103.85</v>
      </c>
      <c r="AD142" s="44">
        <v>97.18</v>
      </c>
      <c r="AE142" s="45">
        <v>93.18</v>
      </c>
      <c r="AF142" s="46">
        <v>95.18</v>
      </c>
      <c r="AG142" s="45">
        <v>20.37</v>
      </c>
      <c r="AH142" s="45">
        <v>19.510000000000002</v>
      </c>
      <c r="AI142" s="45">
        <v>19.940000000000001</v>
      </c>
      <c r="AJ142" s="47"/>
      <c r="AK142" s="48"/>
      <c r="AL142" s="49"/>
      <c r="AM142" s="45">
        <v>116.36</v>
      </c>
      <c r="AN142" s="45">
        <v>114.7</v>
      </c>
      <c r="AO142" s="45">
        <v>115.53</v>
      </c>
      <c r="AP142" s="44">
        <v>42.35</v>
      </c>
      <c r="AQ142" s="45">
        <v>40.75</v>
      </c>
      <c r="AR142" s="46">
        <v>41.55</v>
      </c>
      <c r="AS142" s="45">
        <v>43.11</v>
      </c>
      <c r="AT142" s="45">
        <v>41.75</v>
      </c>
      <c r="AU142" s="45">
        <v>42.43</v>
      </c>
      <c r="AV142" s="44">
        <v>21.83</v>
      </c>
      <c r="AW142" s="45">
        <v>21.229999999999997</v>
      </c>
      <c r="AX142" s="46">
        <v>21.529999999999998</v>
      </c>
      <c r="AY142" s="44">
        <v>4.37</v>
      </c>
      <c r="AZ142" s="45">
        <v>4.21</v>
      </c>
      <c r="BA142" s="46">
        <v>4.29</v>
      </c>
      <c r="BB142" s="44">
        <v>2.02</v>
      </c>
      <c r="BC142" s="50">
        <v>1.72</v>
      </c>
      <c r="BD142" s="51">
        <v>1.87</v>
      </c>
      <c r="BE142" s="45">
        <v>0.71</v>
      </c>
      <c r="BF142" s="50">
        <v>0.41</v>
      </c>
      <c r="BG142" s="50">
        <v>0.55999999999999994</v>
      </c>
      <c r="BH142" s="44">
        <v>515.44000000000005</v>
      </c>
      <c r="BI142" s="45">
        <v>499.44000000000005</v>
      </c>
      <c r="BJ142" s="46">
        <v>507.44000000000005</v>
      </c>
      <c r="BK142" s="45">
        <v>43.43</v>
      </c>
      <c r="BL142" s="45">
        <v>42.07</v>
      </c>
      <c r="BM142" s="45">
        <v>42.75</v>
      </c>
      <c r="BN142" s="52">
        <v>1.1000000000000001</v>
      </c>
      <c r="BO142" s="50">
        <v>0.8600000000000001</v>
      </c>
      <c r="BP142" s="51">
        <v>0.98000000000000009</v>
      </c>
      <c r="BQ142" s="45">
        <v>10.33</v>
      </c>
      <c r="BR142" s="45">
        <v>8.33</v>
      </c>
      <c r="BS142" s="45">
        <v>9.33</v>
      </c>
      <c r="BT142" s="44">
        <v>11.72</v>
      </c>
      <c r="BU142" s="45">
        <v>11.32</v>
      </c>
      <c r="BV142" s="46">
        <v>11.52</v>
      </c>
      <c r="BW142" s="44">
        <v>2.87</v>
      </c>
      <c r="BX142" s="50">
        <v>2.59</v>
      </c>
      <c r="BY142" s="51">
        <v>2.73</v>
      </c>
      <c r="BZ142" s="44">
        <v>10.050000000000001</v>
      </c>
      <c r="CA142" s="45">
        <v>7.0500000000000007</v>
      </c>
      <c r="CB142" s="46">
        <v>8.5500000000000007</v>
      </c>
      <c r="CC142" s="44">
        <v>6.97</v>
      </c>
      <c r="CD142" s="45">
        <v>6.7299999999999995</v>
      </c>
      <c r="CE142" s="46">
        <v>6.85</v>
      </c>
      <c r="CF142" s="44">
        <v>1.96</v>
      </c>
      <c r="CG142" s="45">
        <v>1.46</v>
      </c>
      <c r="CH142" s="46">
        <v>1.71</v>
      </c>
      <c r="CI142" s="44">
        <v>0.46</v>
      </c>
      <c r="CJ142" s="45">
        <v>0.42000000000000004</v>
      </c>
      <c r="CK142" s="46">
        <v>0.44000000000000006</v>
      </c>
      <c r="CL142" s="44">
        <v>40.81</v>
      </c>
      <c r="CM142">
        <v>38.410000000000004</v>
      </c>
      <c r="CN142">
        <v>39.61</v>
      </c>
      <c r="CO142">
        <v>7.34</v>
      </c>
      <c r="CP142">
        <v>2.34</v>
      </c>
      <c r="CQ142">
        <v>4.84</v>
      </c>
    </row>
    <row r="143" spans="1:95">
      <c r="A143" s="223">
        <v>45430</v>
      </c>
      <c r="B143" s="90" t="s">
        <v>307</v>
      </c>
      <c r="C143" s="44"/>
      <c r="D143" s="45"/>
      <c r="E143" s="46"/>
      <c r="F143" s="44"/>
      <c r="G143" s="45"/>
      <c r="H143" s="46"/>
      <c r="I143" s="44"/>
      <c r="J143" s="45"/>
      <c r="K143" s="46"/>
      <c r="L143" s="45"/>
      <c r="M143" s="45"/>
      <c r="N143" s="45"/>
      <c r="O143" s="44"/>
      <c r="P143" s="45"/>
      <c r="Q143" s="46"/>
      <c r="R143" s="45"/>
      <c r="S143" s="45"/>
      <c r="T143" s="45"/>
      <c r="U143" s="44"/>
      <c r="V143" s="45"/>
      <c r="W143" s="46"/>
      <c r="X143" s="44"/>
      <c r="Y143" s="45"/>
      <c r="Z143" s="46"/>
      <c r="AA143" s="44"/>
      <c r="AB143" s="45"/>
      <c r="AC143" s="46"/>
      <c r="AD143" s="44"/>
      <c r="AE143" s="45"/>
      <c r="AF143" s="46"/>
      <c r="AG143" s="45"/>
      <c r="AH143" s="45"/>
      <c r="AI143" s="45"/>
      <c r="AJ143" s="47"/>
      <c r="AK143" s="48"/>
      <c r="AL143" s="49"/>
      <c r="AM143" s="45"/>
      <c r="AN143" s="45"/>
      <c r="AO143" s="45"/>
      <c r="AP143" s="44"/>
      <c r="AQ143" s="45"/>
      <c r="AR143" s="46"/>
      <c r="AS143" s="45"/>
      <c r="AT143" s="45"/>
      <c r="AU143" s="45"/>
      <c r="AV143" s="44"/>
      <c r="AW143" s="45"/>
      <c r="AX143" s="46"/>
      <c r="AY143" s="44"/>
      <c r="AZ143" s="45"/>
      <c r="BA143" s="46"/>
      <c r="BB143" s="44"/>
      <c r="BC143" s="50"/>
      <c r="BD143" s="51"/>
      <c r="BE143" s="45"/>
      <c r="BF143" s="50"/>
      <c r="BG143" s="50"/>
      <c r="BH143" s="44"/>
      <c r="BI143" s="45"/>
      <c r="BJ143" s="46"/>
      <c r="BK143" s="45"/>
      <c r="BL143" s="45"/>
      <c r="BM143" s="45"/>
      <c r="BN143" s="52"/>
      <c r="BO143" s="50"/>
      <c r="BP143" s="51"/>
      <c r="BQ143" s="45"/>
      <c r="BR143" s="45"/>
      <c r="BS143" s="45"/>
      <c r="BT143" s="44"/>
      <c r="BU143" s="45"/>
      <c r="BV143" s="46"/>
      <c r="BW143" s="44"/>
      <c r="BX143" s="50"/>
      <c r="BY143" s="51"/>
      <c r="BZ143" s="44"/>
      <c r="CA143" s="45"/>
      <c r="CB143" s="46"/>
      <c r="CC143" s="44"/>
      <c r="CD143" s="45"/>
      <c r="CE143" s="46"/>
      <c r="CF143" s="44"/>
      <c r="CG143" s="45"/>
      <c r="CH143" s="46"/>
      <c r="CI143" s="44"/>
      <c r="CJ143" s="45"/>
      <c r="CK143" s="46"/>
      <c r="CL143" s="44"/>
    </row>
    <row r="144" spans="1:95">
      <c r="A144" s="223">
        <v>45431</v>
      </c>
      <c r="B144" s="90" t="s">
        <v>308</v>
      </c>
      <c r="C144" s="44"/>
      <c r="D144" s="45"/>
      <c r="E144" s="46"/>
      <c r="F144" s="44"/>
      <c r="G144" s="45"/>
      <c r="H144" s="46"/>
      <c r="I144" s="44"/>
      <c r="J144" s="45"/>
      <c r="K144" s="46"/>
      <c r="L144" s="45"/>
      <c r="M144" s="45"/>
      <c r="N144" s="45"/>
      <c r="O144" s="44"/>
      <c r="P144" s="45"/>
      <c r="Q144" s="46"/>
      <c r="R144" s="45"/>
      <c r="S144" s="45"/>
      <c r="T144" s="45"/>
      <c r="U144" s="44"/>
      <c r="V144" s="45"/>
      <c r="W144" s="46"/>
      <c r="X144" s="44"/>
      <c r="Y144" s="45"/>
      <c r="Z144" s="46"/>
      <c r="AA144" s="44"/>
      <c r="AB144" s="45"/>
      <c r="AC144" s="46"/>
      <c r="AD144" s="44"/>
      <c r="AE144" s="45"/>
      <c r="AF144" s="46"/>
      <c r="AG144" s="45"/>
      <c r="AH144" s="45"/>
      <c r="AI144" s="45"/>
      <c r="AJ144" s="47"/>
      <c r="AK144" s="48"/>
      <c r="AL144" s="49"/>
      <c r="AM144" s="45"/>
      <c r="AN144" s="45"/>
      <c r="AO144" s="45"/>
      <c r="AP144" s="44"/>
      <c r="AQ144" s="45"/>
      <c r="AR144" s="46"/>
      <c r="AS144" s="45"/>
      <c r="AT144" s="45"/>
      <c r="AU144" s="45"/>
      <c r="AV144" s="44"/>
      <c r="AW144" s="45"/>
      <c r="AX144" s="46"/>
      <c r="AY144" s="44"/>
      <c r="AZ144" s="45"/>
      <c r="BA144" s="46"/>
      <c r="BB144" s="44"/>
      <c r="BC144" s="50"/>
      <c r="BD144" s="51"/>
      <c r="BE144" s="45"/>
      <c r="BF144" s="50"/>
      <c r="BG144" s="50"/>
      <c r="BH144" s="44"/>
      <c r="BI144" s="45"/>
      <c r="BJ144" s="46"/>
      <c r="BK144" s="45"/>
      <c r="BL144" s="45"/>
      <c r="BM144" s="45"/>
      <c r="BN144" s="52"/>
      <c r="BO144" s="50"/>
      <c r="BP144" s="51"/>
      <c r="BQ144" s="45"/>
      <c r="BR144" s="45"/>
      <c r="BS144" s="45"/>
      <c r="BT144" s="44"/>
      <c r="BU144" s="45"/>
      <c r="BV144" s="46"/>
      <c r="BW144" s="44"/>
      <c r="BX144" s="50"/>
      <c r="BY144" s="51"/>
      <c r="BZ144" s="44"/>
      <c r="CA144" s="45"/>
      <c r="CB144" s="46"/>
      <c r="CC144" s="44"/>
      <c r="CD144" s="45"/>
      <c r="CE144" s="46"/>
      <c r="CF144" s="44"/>
      <c r="CG144" s="45"/>
      <c r="CH144" s="46"/>
      <c r="CI144" s="44"/>
      <c r="CJ144" s="45"/>
      <c r="CK144" s="46"/>
      <c r="CL144" s="44"/>
    </row>
    <row r="145" spans="1:95">
      <c r="A145" s="223">
        <v>45432</v>
      </c>
      <c r="B145" s="90" t="s">
        <v>96</v>
      </c>
      <c r="C145" s="44">
        <v>156.91</v>
      </c>
      <c r="D145" s="45">
        <v>154.91</v>
      </c>
      <c r="E145" s="46">
        <v>155.91</v>
      </c>
      <c r="F145" s="44">
        <v>171.07</v>
      </c>
      <c r="G145" s="45">
        <v>168.07</v>
      </c>
      <c r="H145" s="46">
        <v>169.57</v>
      </c>
      <c r="I145" s="44">
        <v>116.18</v>
      </c>
      <c r="J145" s="45">
        <v>112.98</v>
      </c>
      <c r="K145" s="46">
        <v>114.58000000000001</v>
      </c>
      <c r="L145" s="45">
        <v>202.1</v>
      </c>
      <c r="M145" s="45">
        <v>194.1</v>
      </c>
      <c r="N145" s="45">
        <v>198.1</v>
      </c>
      <c r="O145" s="44">
        <v>172.36</v>
      </c>
      <c r="P145" s="45">
        <v>170.56</v>
      </c>
      <c r="Q145" s="46">
        <v>171.46</v>
      </c>
      <c r="R145" s="45">
        <v>23.03</v>
      </c>
      <c r="S145" s="45">
        <v>22.43</v>
      </c>
      <c r="T145" s="45">
        <v>22.73</v>
      </c>
      <c r="U145" s="44">
        <v>14.92</v>
      </c>
      <c r="V145" s="45">
        <v>14.32</v>
      </c>
      <c r="W145" s="46">
        <v>14.620000000000001</v>
      </c>
      <c r="X145" s="44">
        <v>14.97</v>
      </c>
      <c r="Y145" s="45">
        <v>14.17</v>
      </c>
      <c r="Z145" s="46">
        <v>14.57</v>
      </c>
      <c r="AA145" s="44">
        <v>106.51</v>
      </c>
      <c r="AB145" s="45">
        <v>102.51</v>
      </c>
      <c r="AC145" s="46">
        <v>104.51</v>
      </c>
      <c r="AD145" s="44">
        <v>97.65</v>
      </c>
      <c r="AE145" s="45">
        <v>93.65</v>
      </c>
      <c r="AF145" s="46">
        <v>95.65</v>
      </c>
      <c r="AG145" s="45">
        <v>20.41</v>
      </c>
      <c r="AH145" s="45">
        <v>19.55</v>
      </c>
      <c r="AI145" s="45">
        <v>19.98</v>
      </c>
      <c r="AJ145" s="47"/>
      <c r="AK145" s="48"/>
      <c r="AL145" s="49"/>
      <c r="AM145" s="45">
        <v>116.77</v>
      </c>
      <c r="AN145" s="45">
        <v>115.11</v>
      </c>
      <c r="AO145" s="45">
        <v>115.94</v>
      </c>
      <c r="AP145" s="44">
        <v>42.43</v>
      </c>
      <c r="AQ145" s="45">
        <v>40.83</v>
      </c>
      <c r="AR145" s="46">
        <v>41.629999999999995</v>
      </c>
      <c r="AS145" s="45">
        <v>43.2</v>
      </c>
      <c r="AT145" s="45">
        <v>41.84</v>
      </c>
      <c r="AU145" s="45">
        <v>42.52</v>
      </c>
      <c r="AV145" s="44">
        <v>21.86</v>
      </c>
      <c r="AW145" s="45">
        <v>21.259999999999998</v>
      </c>
      <c r="AX145" s="46">
        <v>21.56</v>
      </c>
      <c r="AY145" s="44">
        <v>4.41</v>
      </c>
      <c r="AZ145" s="45">
        <v>4.25</v>
      </c>
      <c r="BA145" s="46">
        <v>4.33</v>
      </c>
      <c r="BB145" s="44">
        <v>2.0299999999999998</v>
      </c>
      <c r="BC145" s="50">
        <v>1.7299999999999998</v>
      </c>
      <c r="BD145" s="51">
        <v>1.88</v>
      </c>
      <c r="BE145" s="45">
        <v>0.71</v>
      </c>
      <c r="BF145" s="50">
        <v>0.41</v>
      </c>
      <c r="BG145" s="50">
        <v>0.55999999999999994</v>
      </c>
      <c r="BH145" s="44">
        <v>516.35</v>
      </c>
      <c r="BI145" s="45">
        <v>500.35</v>
      </c>
      <c r="BJ145" s="46">
        <v>508.35</v>
      </c>
      <c r="BK145" s="45">
        <v>43.52</v>
      </c>
      <c r="BL145" s="45">
        <v>42.160000000000004</v>
      </c>
      <c r="BM145" s="45">
        <v>42.84</v>
      </c>
      <c r="BN145" s="52">
        <v>1.1000000000000001</v>
      </c>
      <c r="BO145" s="50">
        <v>0.8600000000000001</v>
      </c>
      <c r="BP145" s="51">
        <v>0.98000000000000009</v>
      </c>
      <c r="BQ145" s="45">
        <v>10.4</v>
      </c>
      <c r="BR145" s="45">
        <v>8.4</v>
      </c>
      <c r="BS145" s="45">
        <v>9.4</v>
      </c>
      <c r="BT145" s="44">
        <v>11.71</v>
      </c>
      <c r="BU145" s="45">
        <v>11.31</v>
      </c>
      <c r="BV145" s="46">
        <v>11.510000000000002</v>
      </c>
      <c r="BW145" s="44">
        <v>2.87</v>
      </c>
      <c r="BX145" s="50">
        <v>2.59</v>
      </c>
      <c r="BY145" s="51">
        <v>2.73</v>
      </c>
      <c r="BZ145" s="44">
        <v>10.08</v>
      </c>
      <c r="CA145" s="45">
        <v>7.08</v>
      </c>
      <c r="CB145" s="46">
        <v>8.58</v>
      </c>
      <c r="CC145" s="44">
        <v>6.99</v>
      </c>
      <c r="CD145" s="45">
        <v>6.75</v>
      </c>
      <c r="CE145" s="46">
        <v>6.87</v>
      </c>
      <c r="CF145" s="44">
        <v>1.96</v>
      </c>
      <c r="CG145" s="45">
        <v>1.46</v>
      </c>
      <c r="CH145" s="46">
        <v>1.71</v>
      </c>
      <c r="CI145" s="44">
        <v>0.46</v>
      </c>
      <c r="CJ145" s="45">
        <v>0.42000000000000004</v>
      </c>
      <c r="CK145" s="46">
        <v>0.44000000000000006</v>
      </c>
      <c r="CL145" s="44">
        <v>41.03</v>
      </c>
      <c r="CM145">
        <v>38.630000000000003</v>
      </c>
      <c r="CN145">
        <v>39.83</v>
      </c>
      <c r="CO145">
        <v>7.36</v>
      </c>
      <c r="CP145">
        <v>2.3600000000000003</v>
      </c>
      <c r="CQ145">
        <v>4.8600000000000003</v>
      </c>
    </row>
    <row r="146" spans="1:95">
      <c r="A146" s="223">
        <v>45433</v>
      </c>
      <c r="B146" s="90" t="s">
        <v>97</v>
      </c>
      <c r="C146" s="44">
        <v>157.49</v>
      </c>
      <c r="D146" s="45">
        <v>155.49</v>
      </c>
      <c r="E146" s="46">
        <v>156.49</v>
      </c>
      <c r="F146" s="44">
        <v>171.48</v>
      </c>
      <c r="G146" s="45">
        <v>168.48</v>
      </c>
      <c r="H146" s="46">
        <v>169.98</v>
      </c>
      <c r="I146" s="44">
        <v>116.44</v>
      </c>
      <c r="J146" s="45">
        <v>113.24</v>
      </c>
      <c r="K146" s="46">
        <v>114.84</v>
      </c>
      <c r="L146" s="45">
        <v>202.93</v>
      </c>
      <c r="M146" s="45">
        <v>194.93</v>
      </c>
      <c r="N146" s="45">
        <v>198.93</v>
      </c>
      <c r="O146" s="44">
        <v>172.73</v>
      </c>
      <c r="P146" s="45">
        <v>170.92999999999998</v>
      </c>
      <c r="Q146" s="46">
        <v>171.82999999999998</v>
      </c>
      <c r="R146" s="45">
        <v>23.08</v>
      </c>
      <c r="S146" s="45">
        <v>22.479999999999997</v>
      </c>
      <c r="T146" s="45">
        <v>22.779999999999998</v>
      </c>
      <c r="U146" s="44">
        <v>14.93</v>
      </c>
      <c r="V146" s="45">
        <v>14.33</v>
      </c>
      <c r="W146" s="46">
        <v>14.629999999999999</v>
      </c>
      <c r="X146" s="44">
        <v>15.05</v>
      </c>
      <c r="Y146" s="45">
        <v>14.25</v>
      </c>
      <c r="Z146" s="46">
        <v>14.65</v>
      </c>
      <c r="AA146" s="44">
        <v>106.41</v>
      </c>
      <c r="AB146" s="45">
        <v>102.41</v>
      </c>
      <c r="AC146" s="46">
        <v>104.41</v>
      </c>
      <c r="AD146" s="44">
        <v>97.6</v>
      </c>
      <c r="AE146" s="45">
        <v>93.6</v>
      </c>
      <c r="AF146" s="46">
        <v>95.6</v>
      </c>
      <c r="AG146" s="45">
        <v>20.5</v>
      </c>
      <c r="AH146" s="45">
        <v>19.64</v>
      </c>
      <c r="AI146" s="45">
        <v>20.07</v>
      </c>
      <c r="AJ146" s="47"/>
      <c r="AK146" s="48"/>
      <c r="AL146" s="49"/>
      <c r="AM146" s="45">
        <v>116.99</v>
      </c>
      <c r="AN146" s="45">
        <v>115.33</v>
      </c>
      <c r="AO146" s="45">
        <v>116.16</v>
      </c>
      <c r="AP146" s="44">
        <v>42.59</v>
      </c>
      <c r="AQ146" s="45">
        <v>40.99</v>
      </c>
      <c r="AR146" s="46">
        <v>41.790000000000006</v>
      </c>
      <c r="AS146" s="45">
        <v>43.36</v>
      </c>
      <c r="AT146" s="45">
        <v>42</v>
      </c>
      <c r="AU146" s="45">
        <v>42.68</v>
      </c>
      <c r="AV146" s="44">
        <v>21.9</v>
      </c>
      <c r="AW146" s="45">
        <v>21.299999999999997</v>
      </c>
      <c r="AX146" s="46">
        <v>21.599999999999998</v>
      </c>
      <c r="AY146" s="44">
        <v>4.4000000000000004</v>
      </c>
      <c r="AZ146" s="45">
        <v>4.24</v>
      </c>
      <c r="BA146" s="46">
        <v>4.32</v>
      </c>
      <c r="BB146" s="44">
        <v>2.04</v>
      </c>
      <c r="BC146" s="50">
        <v>1.74</v>
      </c>
      <c r="BD146" s="51">
        <v>1.8900000000000001</v>
      </c>
      <c r="BE146" s="45">
        <v>0.71</v>
      </c>
      <c r="BF146" s="50">
        <v>0.41</v>
      </c>
      <c r="BG146" s="50">
        <v>0.55999999999999994</v>
      </c>
      <c r="BH146" s="44">
        <v>518.9</v>
      </c>
      <c r="BI146" s="45">
        <v>502.9</v>
      </c>
      <c r="BJ146" s="46">
        <v>510.9</v>
      </c>
      <c r="BK146" s="45">
        <v>43.68</v>
      </c>
      <c r="BL146" s="45">
        <v>42.32</v>
      </c>
      <c r="BM146" s="45">
        <v>43</v>
      </c>
      <c r="BN146" s="52">
        <v>1.1000000000000001</v>
      </c>
      <c r="BO146" s="50">
        <v>0.8600000000000001</v>
      </c>
      <c r="BP146" s="51">
        <v>0.98000000000000009</v>
      </c>
      <c r="BQ146" s="45">
        <v>10.46</v>
      </c>
      <c r="BR146" s="45">
        <v>8.4600000000000009</v>
      </c>
      <c r="BS146" s="45">
        <v>9.4600000000000009</v>
      </c>
      <c r="BT146" s="44">
        <v>11.69</v>
      </c>
      <c r="BU146" s="45">
        <v>11.29</v>
      </c>
      <c r="BV146" s="46">
        <v>11.489999999999998</v>
      </c>
      <c r="BW146" s="44">
        <v>2.86</v>
      </c>
      <c r="BX146" s="50">
        <v>2.58</v>
      </c>
      <c r="BY146" s="51">
        <v>2.7199999999999998</v>
      </c>
      <c r="BZ146" s="44">
        <v>10.11</v>
      </c>
      <c r="CA146" s="45">
        <v>7.1099999999999994</v>
      </c>
      <c r="CB146" s="46">
        <v>8.61</v>
      </c>
      <c r="CC146" s="44">
        <v>7</v>
      </c>
      <c r="CD146" s="45">
        <v>6.76</v>
      </c>
      <c r="CE146" s="46">
        <v>6.88</v>
      </c>
      <c r="CF146" s="44">
        <v>1.98</v>
      </c>
      <c r="CG146" s="45">
        <v>1.48</v>
      </c>
      <c r="CH146" s="46">
        <v>1.73</v>
      </c>
      <c r="CI146" s="44">
        <v>0.46</v>
      </c>
      <c r="CJ146" s="45">
        <v>0.42000000000000004</v>
      </c>
      <c r="CK146" s="46">
        <v>0.44000000000000006</v>
      </c>
      <c r="CL146" s="44">
        <v>41.19</v>
      </c>
      <c r="CM146">
        <v>38.79</v>
      </c>
      <c r="CN146">
        <v>39.989999999999995</v>
      </c>
      <c r="CO146">
        <v>7.36</v>
      </c>
      <c r="CP146">
        <v>2.3600000000000003</v>
      </c>
      <c r="CQ146">
        <v>4.8600000000000003</v>
      </c>
    </row>
    <row r="147" spans="1:95">
      <c r="A147" s="223">
        <v>45434</v>
      </c>
      <c r="B147" s="90" t="s">
        <v>98</v>
      </c>
      <c r="C147" s="44">
        <v>157.33000000000001</v>
      </c>
      <c r="D147" s="45">
        <v>155.33000000000001</v>
      </c>
      <c r="E147" s="46">
        <v>156.33000000000001</v>
      </c>
      <c r="F147" s="44">
        <v>171.26</v>
      </c>
      <c r="G147" s="45">
        <v>168.26</v>
      </c>
      <c r="H147" s="46">
        <v>169.76</v>
      </c>
      <c r="I147" s="44">
        <v>116.23</v>
      </c>
      <c r="J147" s="45">
        <v>113.03</v>
      </c>
      <c r="K147" s="46">
        <v>114.63</v>
      </c>
      <c r="L147" s="45">
        <v>202.77</v>
      </c>
      <c r="M147" s="45">
        <v>194.77</v>
      </c>
      <c r="N147" s="45">
        <v>198.77</v>
      </c>
      <c r="O147" s="44">
        <v>172.46</v>
      </c>
      <c r="P147" s="45">
        <v>170.66</v>
      </c>
      <c r="Q147" s="46">
        <v>171.56</v>
      </c>
      <c r="R147" s="45">
        <v>23.05</v>
      </c>
      <c r="S147" s="45">
        <v>22.45</v>
      </c>
      <c r="T147" s="45">
        <v>22.75</v>
      </c>
      <c r="U147" s="44">
        <v>14.96</v>
      </c>
      <c r="V147" s="45">
        <v>14.360000000000001</v>
      </c>
      <c r="W147" s="46">
        <v>14.66</v>
      </c>
      <c r="X147" s="44">
        <v>15.02</v>
      </c>
      <c r="Y147" s="45">
        <v>14.219999999999999</v>
      </c>
      <c r="Z147" s="46">
        <v>14.62</v>
      </c>
      <c r="AA147" s="44">
        <v>106.23</v>
      </c>
      <c r="AB147" s="45">
        <v>102.23</v>
      </c>
      <c r="AC147" s="46">
        <v>104.23</v>
      </c>
      <c r="AD147" s="44">
        <v>97.35</v>
      </c>
      <c r="AE147" s="45">
        <v>93.35</v>
      </c>
      <c r="AF147" s="46">
        <v>95.35</v>
      </c>
      <c r="AG147" s="45">
        <v>20.46</v>
      </c>
      <c r="AH147" s="45">
        <v>19.600000000000001</v>
      </c>
      <c r="AI147" s="45">
        <v>20.03</v>
      </c>
      <c r="AJ147" s="47"/>
      <c r="AK147" s="48"/>
      <c r="AL147" s="49"/>
      <c r="AM147" s="45">
        <v>116.91</v>
      </c>
      <c r="AN147" s="45">
        <v>115.25</v>
      </c>
      <c r="AO147" s="45">
        <v>116.08</v>
      </c>
      <c r="AP147" s="44">
        <v>42.55</v>
      </c>
      <c r="AQ147" s="45">
        <v>40.949999999999996</v>
      </c>
      <c r="AR147" s="46">
        <v>41.75</v>
      </c>
      <c r="AS147" s="45">
        <v>43.17</v>
      </c>
      <c r="AT147" s="45">
        <v>41.81</v>
      </c>
      <c r="AU147" s="45">
        <v>42.49</v>
      </c>
      <c r="AV147" s="44">
        <v>21.87</v>
      </c>
      <c r="AW147" s="45">
        <v>21.27</v>
      </c>
      <c r="AX147" s="46">
        <v>21.57</v>
      </c>
      <c r="AY147" s="44">
        <v>4.37</v>
      </c>
      <c r="AZ147" s="45">
        <v>4.21</v>
      </c>
      <c r="BA147" s="46">
        <v>4.29</v>
      </c>
      <c r="BB147" s="44">
        <v>2.04</v>
      </c>
      <c r="BC147" s="50">
        <v>1.74</v>
      </c>
      <c r="BD147" s="51">
        <v>1.8900000000000001</v>
      </c>
      <c r="BE147" s="45">
        <v>0.71</v>
      </c>
      <c r="BF147" s="50">
        <v>0.41</v>
      </c>
      <c r="BG147" s="50">
        <v>0.55999999999999994</v>
      </c>
      <c r="BH147" s="44">
        <v>518.38</v>
      </c>
      <c r="BI147" s="45">
        <v>502.38</v>
      </c>
      <c r="BJ147" s="46">
        <v>510.38</v>
      </c>
      <c r="BK147" s="45">
        <v>43.65</v>
      </c>
      <c r="BL147" s="45">
        <v>42.29</v>
      </c>
      <c r="BM147" s="45">
        <v>42.97</v>
      </c>
      <c r="BN147" s="52">
        <v>1.1000000000000001</v>
      </c>
      <c r="BO147" s="50">
        <v>0.8600000000000001</v>
      </c>
      <c r="BP147" s="51">
        <v>0.98000000000000009</v>
      </c>
      <c r="BQ147" s="45">
        <v>10.4</v>
      </c>
      <c r="BR147" s="45">
        <v>8.4</v>
      </c>
      <c r="BS147" s="45">
        <v>9.4</v>
      </c>
      <c r="BT147" s="44">
        <v>11.66</v>
      </c>
      <c r="BU147" s="45">
        <v>11.26</v>
      </c>
      <c r="BV147" s="46">
        <v>11.46</v>
      </c>
      <c r="BW147" s="44">
        <v>2.84</v>
      </c>
      <c r="BX147" s="50">
        <v>2.5599999999999996</v>
      </c>
      <c r="BY147" s="51">
        <v>2.6999999999999997</v>
      </c>
      <c r="BZ147" s="44">
        <v>10.15</v>
      </c>
      <c r="CA147" s="45">
        <v>7.15</v>
      </c>
      <c r="CB147" s="46">
        <v>8.65</v>
      </c>
      <c r="CC147" s="44">
        <v>6.99</v>
      </c>
      <c r="CD147" s="45">
        <v>6.75</v>
      </c>
      <c r="CE147" s="46">
        <v>6.87</v>
      </c>
      <c r="CF147" s="44">
        <v>1.98</v>
      </c>
      <c r="CG147" s="45">
        <v>1.48</v>
      </c>
      <c r="CH147" s="46">
        <v>1.73</v>
      </c>
      <c r="CI147" s="44">
        <v>0.46</v>
      </c>
      <c r="CJ147" s="45">
        <v>0.42000000000000004</v>
      </c>
      <c r="CK147" s="46">
        <v>0.44000000000000006</v>
      </c>
      <c r="CL147" s="44">
        <v>41.15</v>
      </c>
      <c r="CM147">
        <v>38.75</v>
      </c>
      <c r="CN147">
        <v>39.950000000000003</v>
      </c>
      <c r="CO147">
        <v>7.36</v>
      </c>
      <c r="CP147">
        <v>2.3600000000000003</v>
      </c>
      <c r="CQ147">
        <v>4.8600000000000003</v>
      </c>
    </row>
    <row r="148" spans="1:95">
      <c r="A148" s="223">
        <v>45435</v>
      </c>
      <c r="B148" s="90" t="s">
        <v>99</v>
      </c>
      <c r="C148" s="44">
        <v>157.91999999999999</v>
      </c>
      <c r="D148" s="45">
        <v>155.91999999999999</v>
      </c>
      <c r="E148" s="46">
        <v>156.91999999999999</v>
      </c>
      <c r="F148" s="44">
        <v>171.37</v>
      </c>
      <c r="G148" s="45">
        <v>168.37</v>
      </c>
      <c r="H148" s="46">
        <v>169.87</v>
      </c>
      <c r="I148" s="44">
        <v>116.23</v>
      </c>
      <c r="J148" s="45">
        <v>113.03</v>
      </c>
      <c r="K148" s="46">
        <v>114.63</v>
      </c>
      <c r="L148" s="45">
        <v>203.63</v>
      </c>
      <c r="M148" s="45">
        <v>195.63</v>
      </c>
      <c r="N148" s="45">
        <v>199.63</v>
      </c>
      <c r="O148" s="44">
        <v>172.32</v>
      </c>
      <c r="P148" s="45">
        <v>170.51999999999998</v>
      </c>
      <c r="Q148" s="46">
        <v>171.42</v>
      </c>
      <c r="R148" s="45">
        <v>23.06</v>
      </c>
      <c r="S148" s="45">
        <v>22.459999999999997</v>
      </c>
      <c r="T148" s="45">
        <v>22.759999999999998</v>
      </c>
      <c r="U148" s="44">
        <v>14.96</v>
      </c>
      <c r="V148" s="45">
        <v>14.360000000000001</v>
      </c>
      <c r="W148" s="46">
        <v>14.66</v>
      </c>
      <c r="X148" s="44">
        <v>15.02</v>
      </c>
      <c r="Y148" s="45">
        <v>14.219999999999999</v>
      </c>
      <c r="Z148" s="46">
        <v>14.62</v>
      </c>
      <c r="AA148" s="44">
        <v>105.9</v>
      </c>
      <c r="AB148" s="45">
        <v>101.9</v>
      </c>
      <c r="AC148" s="46">
        <v>103.9</v>
      </c>
      <c r="AD148" s="44">
        <v>97.82</v>
      </c>
      <c r="AE148" s="45">
        <v>93.82</v>
      </c>
      <c r="AF148" s="46">
        <v>95.82</v>
      </c>
      <c r="AG148" s="45">
        <v>20.53</v>
      </c>
      <c r="AH148" s="45">
        <v>19.670000000000002</v>
      </c>
      <c r="AI148" s="45">
        <v>20.100000000000001</v>
      </c>
      <c r="AJ148" s="47"/>
      <c r="AK148" s="48"/>
      <c r="AL148" s="49"/>
      <c r="AM148" s="45">
        <v>117.03</v>
      </c>
      <c r="AN148" s="45">
        <v>115.37</v>
      </c>
      <c r="AO148" s="45">
        <v>116.2</v>
      </c>
      <c r="AP148" s="44">
        <v>42.71</v>
      </c>
      <c r="AQ148" s="45">
        <v>41.11</v>
      </c>
      <c r="AR148" s="46">
        <v>41.91</v>
      </c>
      <c r="AS148" s="45">
        <v>43.47</v>
      </c>
      <c r="AT148" s="45">
        <v>42.11</v>
      </c>
      <c r="AU148" s="45">
        <v>42.79</v>
      </c>
      <c r="AV148" s="44">
        <v>21.93</v>
      </c>
      <c r="AW148" s="45">
        <v>21.33</v>
      </c>
      <c r="AX148" s="46">
        <v>21.63</v>
      </c>
      <c r="AY148" s="44">
        <v>4.3899999999999997</v>
      </c>
      <c r="AZ148" s="45">
        <v>4.2299999999999995</v>
      </c>
      <c r="BA148" s="46">
        <v>4.3099999999999996</v>
      </c>
      <c r="BB148" s="44">
        <v>2.0499999999999998</v>
      </c>
      <c r="BC148" s="50">
        <v>1.7499999999999998</v>
      </c>
      <c r="BD148" s="51">
        <v>1.9</v>
      </c>
      <c r="BE148" s="45">
        <v>0.72</v>
      </c>
      <c r="BF148" s="50">
        <v>0.42</v>
      </c>
      <c r="BG148" s="50">
        <v>0.56999999999999995</v>
      </c>
      <c r="BH148" s="44">
        <v>520.30999999999995</v>
      </c>
      <c r="BI148" s="45">
        <v>504.30999999999995</v>
      </c>
      <c r="BJ148" s="46">
        <v>512.30999999999995</v>
      </c>
      <c r="BK148" s="45">
        <v>43.81</v>
      </c>
      <c r="BL148" s="45">
        <v>42.45</v>
      </c>
      <c r="BM148" s="45">
        <v>43.13</v>
      </c>
      <c r="BN148" s="52">
        <v>1.1100000000000001</v>
      </c>
      <c r="BO148" s="50">
        <v>0.87000000000000011</v>
      </c>
      <c r="BP148" s="51">
        <v>0.9900000000000001</v>
      </c>
      <c r="BQ148" s="45">
        <v>10.42</v>
      </c>
      <c r="BR148" s="45">
        <v>8.42</v>
      </c>
      <c r="BS148" s="45">
        <v>9.42</v>
      </c>
      <c r="BT148" s="44">
        <v>11.72</v>
      </c>
      <c r="BU148" s="45">
        <v>11.32</v>
      </c>
      <c r="BV148" s="46">
        <v>11.52</v>
      </c>
      <c r="BW148" s="44">
        <v>2.86</v>
      </c>
      <c r="BX148" s="50">
        <v>2.58</v>
      </c>
      <c r="BY148" s="51">
        <v>2.7199999999999998</v>
      </c>
      <c r="BZ148" s="44">
        <v>10.08</v>
      </c>
      <c r="CA148" s="45">
        <v>7.08</v>
      </c>
      <c r="CB148" s="46">
        <v>8.58</v>
      </c>
      <c r="CC148" s="44">
        <v>7</v>
      </c>
      <c r="CD148" s="45">
        <v>6.76</v>
      </c>
      <c r="CE148" s="46">
        <v>6.88</v>
      </c>
      <c r="CF148" s="44">
        <v>1.99</v>
      </c>
      <c r="CG148" s="45">
        <v>1.49</v>
      </c>
      <c r="CH148" s="46">
        <v>1.74</v>
      </c>
      <c r="CI148" s="44">
        <v>0.46</v>
      </c>
      <c r="CJ148" s="45">
        <v>0.42000000000000004</v>
      </c>
      <c r="CK148" s="46">
        <v>0.44000000000000006</v>
      </c>
      <c r="CL148" s="44">
        <v>41.06</v>
      </c>
      <c r="CM148">
        <v>38.660000000000004</v>
      </c>
      <c r="CN148">
        <v>39.86</v>
      </c>
      <c r="CO148">
        <v>7.38</v>
      </c>
      <c r="CP148">
        <v>2.38</v>
      </c>
      <c r="CQ148">
        <v>4.88</v>
      </c>
    </row>
    <row r="149" spans="1:95">
      <c r="A149" s="223">
        <v>45436</v>
      </c>
      <c r="B149" s="90" t="s">
        <v>100</v>
      </c>
      <c r="C149" s="44">
        <v>158.16</v>
      </c>
      <c r="D149" s="45">
        <v>156.16</v>
      </c>
      <c r="E149" s="46">
        <v>157.16</v>
      </c>
      <c r="F149" s="44">
        <v>171.42</v>
      </c>
      <c r="G149" s="45">
        <v>168.42</v>
      </c>
      <c r="H149" s="46">
        <v>169.92</v>
      </c>
      <c r="I149" s="44">
        <v>116.04</v>
      </c>
      <c r="J149" s="45">
        <v>112.84</v>
      </c>
      <c r="K149" s="46">
        <v>114.44</v>
      </c>
      <c r="L149" s="45">
        <v>203.53</v>
      </c>
      <c r="M149" s="45">
        <v>195.53</v>
      </c>
      <c r="N149" s="45">
        <v>199.53</v>
      </c>
      <c r="O149" s="44">
        <v>172.68</v>
      </c>
      <c r="P149" s="45">
        <v>170.88</v>
      </c>
      <c r="Q149" s="46">
        <v>171.78</v>
      </c>
      <c r="R149" s="45">
        <v>23.07</v>
      </c>
      <c r="S149" s="45">
        <v>22.47</v>
      </c>
      <c r="T149" s="45">
        <v>22.77</v>
      </c>
      <c r="U149" s="44">
        <v>15.03</v>
      </c>
      <c r="V149" s="45">
        <v>14.43</v>
      </c>
      <c r="W149" s="46">
        <v>14.73</v>
      </c>
      <c r="X149" s="44">
        <v>15.04</v>
      </c>
      <c r="Y149" s="45">
        <v>14.239999999999998</v>
      </c>
      <c r="Z149" s="46">
        <v>14.639999999999999</v>
      </c>
      <c r="AA149" s="44">
        <v>105.76</v>
      </c>
      <c r="AB149" s="45">
        <v>101.76</v>
      </c>
      <c r="AC149" s="46">
        <v>103.76</v>
      </c>
      <c r="AD149" s="44">
        <v>97.76</v>
      </c>
      <c r="AE149" s="45">
        <v>93.76</v>
      </c>
      <c r="AF149" s="46">
        <v>95.76</v>
      </c>
      <c r="AG149" s="45">
        <v>20.55</v>
      </c>
      <c r="AH149" s="45">
        <v>19.690000000000001</v>
      </c>
      <c r="AI149" s="45">
        <v>20.12</v>
      </c>
      <c r="AJ149" s="47"/>
      <c r="AK149" s="48"/>
      <c r="AL149" s="49"/>
      <c r="AM149" s="45">
        <v>117.08</v>
      </c>
      <c r="AN149" s="45">
        <v>115.42</v>
      </c>
      <c r="AO149" s="45">
        <v>116.25</v>
      </c>
      <c r="AP149" s="44">
        <v>42.78</v>
      </c>
      <c r="AQ149" s="45">
        <v>41.18</v>
      </c>
      <c r="AR149" s="46">
        <v>41.980000000000004</v>
      </c>
      <c r="AS149" s="45">
        <v>43.55</v>
      </c>
      <c r="AT149" s="45">
        <v>42.19</v>
      </c>
      <c r="AU149" s="45">
        <v>42.87</v>
      </c>
      <c r="AV149" s="44">
        <v>21.95</v>
      </c>
      <c r="AW149" s="45">
        <v>21.349999999999998</v>
      </c>
      <c r="AX149" s="46">
        <v>21.65</v>
      </c>
      <c r="AY149" s="44">
        <v>4.38</v>
      </c>
      <c r="AZ149" s="45">
        <v>4.22</v>
      </c>
      <c r="BA149" s="46">
        <v>4.3</v>
      </c>
      <c r="BB149" s="44">
        <v>2.0499999999999998</v>
      </c>
      <c r="BC149" s="50">
        <v>1.7499999999999998</v>
      </c>
      <c r="BD149" s="51">
        <v>1.9</v>
      </c>
      <c r="BE149" s="45">
        <v>0.72</v>
      </c>
      <c r="BF149" s="50">
        <v>0.42</v>
      </c>
      <c r="BG149" s="50">
        <v>0.56999999999999995</v>
      </c>
      <c r="BH149" s="44">
        <v>520.91999999999996</v>
      </c>
      <c r="BI149" s="45">
        <v>504.91999999999996</v>
      </c>
      <c r="BJ149" s="46">
        <v>512.91999999999996</v>
      </c>
      <c r="BK149" s="45">
        <v>43.88</v>
      </c>
      <c r="BL149" s="45">
        <v>42.52</v>
      </c>
      <c r="BM149" s="45">
        <v>43.2</v>
      </c>
      <c r="BN149" s="52">
        <v>1.1100000000000001</v>
      </c>
      <c r="BO149" s="50">
        <v>0.87000000000000011</v>
      </c>
      <c r="BP149" s="51">
        <v>0.9900000000000001</v>
      </c>
      <c r="BQ149" s="45">
        <v>10.4</v>
      </c>
      <c r="BR149" s="45">
        <v>8.4</v>
      </c>
      <c r="BS149" s="45">
        <v>9.4</v>
      </c>
      <c r="BT149" s="44">
        <v>11.69</v>
      </c>
      <c r="BU149" s="45">
        <v>11.29</v>
      </c>
      <c r="BV149" s="46">
        <v>11.489999999999998</v>
      </c>
      <c r="BW149" s="44">
        <v>2.86</v>
      </c>
      <c r="BX149" s="50">
        <v>2.58</v>
      </c>
      <c r="BY149" s="51">
        <v>2.7199999999999998</v>
      </c>
      <c r="BZ149" s="44">
        <v>10.01</v>
      </c>
      <c r="CA149" s="45">
        <v>7.01</v>
      </c>
      <c r="CB149" s="46">
        <v>8.51</v>
      </c>
      <c r="CC149" s="44">
        <v>6.99</v>
      </c>
      <c r="CD149" s="45">
        <v>6.75</v>
      </c>
      <c r="CE149" s="46">
        <v>6.87</v>
      </c>
      <c r="CF149" s="44">
        <v>1.97</v>
      </c>
      <c r="CG149" s="45">
        <v>1.47</v>
      </c>
      <c r="CH149" s="46">
        <v>1.72</v>
      </c>
      <c r="CI149" s="44">
        <v>0.46</v>
      </c>
      <c r="CJ149" s="45">
        <v>0.42000000000000004</v>
      </c>
      <c r="CK149" s="46">
        <v>0.44000000000000006</v>
      </c>
      <c r="CL149" s="44">
        <v>41.08</v>
      </c>
      <c r="CM149">
        <v>38.68</v>
      </c>
      <c r="CN149">
        <v>39.879999999999995</v>
      </c>
      <c r="CO149">
        <v>7.4</v>
      </c>
      <c r="CP149">
        <v>2.4000000000000004</v>
      </c>
      <c r="CQ149">
        <v>4.9000000000000004</v>
      </c>
    </row>
    <row r="150" spans="1:95">
      <c r="A150" s="223">
        <v>45437</v>
      </c>
      <c r="B150" s="90" t="s">
        <v>307</v>
      </c>
      <c r="C150" s="44"/>
      <c r="D150" s="45"/>
      <c r="E150" s="46"/>
      <c r="F150" s="44"/>
      <c r="G150" s="45"/>
      <c r="H150" s="46"/>
      <c r="I150" s="44"/>
      <c r="J150" s="45"/>
      <c r="K150" s="46"/>
      <c r="L150" s="45"/>
      <c r="M150" s="45"/>
      <c r="N150" s="45"/>
      <c r="O150" s="44"/>
      <c r="P150" s="45"/>
      <c r="Q150" s="46"/>
      <c r="R150" s="45"/>
      <c r="S150" s="45"/>
      <c r="T150" s="45"/>
      <c r="U150" s="44"/>
      <c r="V150" s="45"/>
      <c r="W150" s="46"/>
      <c r="X150" s="44"/>
      <c r="Y150" s="45"/>
      <c r="Z150" s="46"/>
      <c r="AA150" s="44"/>
      <c r="AB150" s="45"/>
      <c r="AC150" s="46"/>
      <c r="AD150" s="44"/>
      <c r="AE150" s="45"/>
      <c r="AF150" s="46"/>
      <c r="AG150" s="45"/>
      <c r="AH150" s="45"/>
      <c r="AI150" s="45"/>
      <c r="AJ150" s="47"/>
      <c r="AK150" s="48"/>
      <c r="AL150" s="49"/>
      <c r="AM150" s="45"/>
      <c r="AN150" s="45"/>
      <c r="AO150" s="45"/>
      <c r="AP150" s="44"/>
      <c r="AQ150" s="45"/>
      <c r="AR150" s="46"/>
      <c r="AS150" s="45"/>
      <c r="AT150" s="45"/>
      <c r="AU150" s="45"/>
      <c r="AV150" s="44"/>
      <c r="AW150" s="45"/>
      <c r="AX150" s="46"/>
      <c r="AY150" s="44"/>
      <c r="AZ150" s="45"/>
      <c r="BA150" s="46"/>
      <c r="BB150" s="44"/>
      <c r="BC150" s="50"/>
      <c r="BD150" s="51"/>
      <c r="BE150" s="45"/>
      <c r="BF150" s="50"/>
      <c r="BG150" s="50"/>
      <c r="BH150" s="44"/>
      <c r="BI150" s="45"/>
      <c r="BJ150" s="46"/>
      <c r="BK150" s="45"/>
      <c r="BL150" s="45"/>
      <c r="BM150" s="45"/>
      <c r="BN150" s="52"/>
      <c r="BO150" s="50"/>
      <c r="BP150" s="51"/>
      <c r="BQ150" s="45"/>
      <c r="BR150" s="45"/>
      <c r="BS150" s="45"/>
      <c r="BT150" s="44"/>
      <c r="BU150" s="45"/>
      <c r="BV150" s="46"/>
      <c r="BW150" s="44"/>
      <c r="BX150" s="50"/>
      <c r="BY150" s="51"/>
      <c r="BZ150" s="44"/>
      <c r="CA150" s="45"/>
      <c r="CB150" s="46"/>
      <c r="CC150" s="44"/>
      <c r="CD150" s="45"/>
      <c r="CE150" s="46"/>
      <c r="CF150" s="44"/>
      <c r="CG150" s="45"/>
      <c r="CH150" s="46"/>
      <c r="CI150" s="44"/>
      <c r="CJ150" s="45"/>
      <c r="CK150" s="46"/>
      <c r="CL150" s="44"/>
    </row>
    <row r="151" spans="1:95">
      <c r="A151" s="224">
        <v>45438</v>
      </c>
      <c r="B151" s="90" t="s">
        <v>308</v>
      </c>
      <c r="C151" s="44"/>
      <c r="D151" s="45"/>
      <c r="E151" s="46"/>
      <c r="F151" s="44"/>
      <c r="G151" s="45"/>
      <c r="H151" s="46"/>
      <c r="I151" s="44"/>
      <c r="J151" s="45"/>
      <c r="K151" s="46"/>
      <c r="L151" s="45"/>
      <c r="M151" s="45"/>
      <c r="N151" s="45"/>
      <c r="O151" s="44"/>
      <c r="P151" s="45"/>
      <c r="Q151" s="46"/>
      <c r="R151" s="45"/>
      <c r="S151" s="45"/>
      <c r="T151" s="45"/>
      <c r="U151" s="44"/>
      <c r="V151" s="45"/>
      <c r="W151" s="46"/>
      <c r="X151" s="44"/>
      <c r="Y151" s="45"/>
      <c r="Z151" s="46"/>
      <c r="AA151" s="44"/>
      <c r="AB151" s="45"/>
      <c r="AC151" s="46"/>
      <c r="AD151" s="44"/>
      <c r="AE151" s="45"/>
      <c r="AF151" s="46"/>
      <c r="AG151" s="45"/>
      <c r="AH151" s="45"/>
      <c r="AI151" s="45"/>
      <c r="AJ151" s="47"/>
      <c r="AK151" s="48"/>
      <c r="AL151" s="49"/>
      <c r="AM151" s="45"/>
      <c r="AN151" s="45"/>
      <c r="AO151" s="45"/>
      <c r="AP151" s="44"/>
      <c r="AQ151" s="45"/>
      <c r="AR151" s="46"/>
      <c r="AS151" s="45"/>
      <c r="AT151" s="45"/>
      <c r="AU151" s="45"/>
      <c r="AV151" s="44"/>
      <c r="AW151" s="45"/>
      <c r="AX151" s="46"/>
      <c r="AY151" s="44"/>
      <c r="AZ151" s="45"/>
      <c r="BA151" s="46"/>
      <c r="BB151" s="44"/>
      <c r="BC151" s="50"/>
      <c r="BD151" s="51"/>
      <c r="BE151" s="45"/>
      <c r="BF151" s="50"/>
      <c r="BG151" s="50"/>
      <c r="BH151" s="44"/>
      <c r="BI151" s="45"/>
      <c r="BJ151" s="46"/>
      <c r="BK151" s="45"/>
      <c r="BL151" s="45"/>
      <c r="BM151" s="45"/>
      <c r="BN151" s="52"/>
      <c r="BO151" s="50"/>
      <c r="BP151" s="51"/>
      <c r="BQ151" s="45"/>
      <c r="BR151" s="45"/>
      <c r="BS151" s="45"/>
      <c r="BT151" s="44"/>
      <c r="BU151" s="45"/>
      <c r="BV151" s="46"/>
      <c r="BW151" s="44"/>
      <c r="BX151" s="50"/>
      <c r="BY151" s="51"/>
      <c r="BZ151" s="44"/>
      <c r="CA151" s="45"/>
      <c r="CB151" s="46"/>
      <c r="CC151" s="44"/>
      <c r="CD151" s="45"/>
      <c r="CE151" s="46"/>
      <c r="CF151" s="44"/>
      <c r="CG151" s="45"/>
      <c r="CH151" s="46"/>
      <c r="CI151" s="44"/>
      <c r="CJ151" s="45"/>
      <c r="CK151" s="46"/>
      <c r="CL151" s="44"/>
    </row>
    <row r="152" spans="1:95">
      <c r="A152" s="223">
        <v>45439</v>
      </c>
      <c r="B152" s="90" t="s">
        <v>96</v>
      </c>
      <c r="C152" s="44">
        <v>157.87</v>
      </c>
      <c r="D152" s="45">
        <v>155.87</v>
      </c>
      <c r="E152" s="46">
        <v>156.87</v>
      </c>
      <c r="F152" s="44">
        <v>171.67</v>
      </c>
      <c r="G152" s="45">
        <v>168.67</v>
      </c>
      <c r="H152" s="46">
        <v>170.17</v>
      </c>
      <c r="I152" s="44">
        <v>116.36</v>
      </c>
      <c r="J152" s="45">
        <v>113.16</v>
      </c>
      <c r="K152" s="46">
        <v>114.75999999999999</v>
      </c>
      <c r="L152" s="45">
        <v>203.84</v>
      </c>
      <c r="M152" s="45">
        <v>195.84</v>
      </c>
      <c r="N152" s="45">
        <v>199.84</v>
      </c>
      <c r="O152" s="44">
        <v>172.4</v>
      </c>
      <c r="P152" s="45">
        <v>170.6</v>
      </c>
      <c r="Q152" s="46">
        <v>171.5</v>
      </c>
      <c r="R152" s="45">
        <v>23.11</v>
      </c>
      <c r="S152" s="45">
        <v>22.509999999999998</v>
      </c>
      <c r="T152" s="45">
        <v>22.81</v>
      </c>
      <c r="U152" s="44">
        <v>15.11</v>
      </c>
      <c r="V152" s="45">
        <v>14.51</v>
      </c>
      <c r="W152" s="46">
        <v>14.809999999999999</v>
      </c>
      <c r="X152" s="44">
        <v>15.1</v>
      </c>
      <c r="Y152" s="45">
        <v>14.299999999999999</v>
      </c>
      <c r="Z152" s="46">
        <v>14.7</v>
      </c>
      <c r="AA152" s="44">
        <v>105.94</v>
      </c>
      <c r="AB152" s="45">
        <v>101.94</v>
      </c>
      <c r="AC152" s="46">
        <v>103.94</v>
      </c>
      <c r="AD152" s="44">
        <v>98.05</v>
      </c>
      <c r="AE152" s="45">
        <v>94.05</v>
      </c>
      <c r="AF152" s="46">
        <v>96.05</v>
      </c>
      <c r="AG152" s="45">
        <v>20.51</v>
      </c>
      <c r="AH152" s="45">
        <v>19.650000000000002</v>
      </c>
      <c r="AI152" s="45">
        <v>20.080000000000002</v>
      </c>
      <c r="AJ152" s="47"/>
      <c r="AK152" s="48"/>
      <c r="AL152" s="49"/>
      <c r="AM152" s="45">
        <v>117.07</v>
      </c>
      <c r="AN152" s="45">
        <v>115.41</v>
      </c>
      <c r="AO152" s="45">
        <v>116.24</v>
      </c>
      <c r="AP152" s="44">
        <v>42.57</v>
      </c>
      <c r="AQ152" s="45">
        <v>40.97</v>
      </c>
      <c r="AR152" s="46">
        <v>41.769999999999996</v>
      </c>
      <c r="AS152" s="45">
        <v>43.46</v>
      </c>
      <c r="AT152" s="45">
        <v>42.1</v>
      </c>
      <c r="AU152" s="45">
        <v>42.78</v>
      </c>
      <c r="AV152" s="44">
        <v>21.9</v>
      </c>
      <c r="AW152" s="45">
        <v>21.299999999999997</v>
      </c>
      <c r="AX152" s="46">
        <v>21.599999999999998</v>
      </c>
      <c r="AY152" s="44">
        <v>4.3600000000000003</v>
      </c>
      <c r="AZ152" s="45">
        <v>4.2</v>
      </c>
      <c r="BA152" s="46">
        <v>4.28</v>
      </c>
      <c r="BB152" s="44">
        <v>2.0499999999999998</v>
      </c>
      <c r="BC152" s="50">
        <v>1.7499999999999998</v>
      </c>
      <c r="BD152" s="51">
        <v>1.9</v>
      </c>
      <c r="BE152" s="45">
        <v>0.72</v>
      </c>
      <c r="BF152" s="50">
        <v>0.42</v>
      </c>
      <c r="BG152" s="50">
        <v>0.56999999999999995</v>
      </c>
      <c r="BH152" s="44">
        <v>519.98</v>
      </c>
      <c r="BI152" s="45">
        <v>503.98</v>
      </c>
      <c r="BJ152" s="46">
        <v>511.98</v>
      </c>
      <c r="BK152" s="45">
        <v>43.79</v>
      </c>
      <c r="BL152" s="45">
        <v>42.43</v>
      </c>
      <c r="BM152" s="45">
        <v>43.11</v>
      </c>
      <c r="BN152" s="52">
        <v>1.1000000000000001</v>
      </c>
      <c r="BO152" s="50">
        <v>0.8600000000000001</v>
      </c>
      <c r="BP152" s="51">
        <v>0.98000000000000009</v>
      </c>
      <c r="BQ152" s="45">
        <v>10.4</v>
      </c>
      <c r="BR152" s="45">
        <v>8.4</v>
      </c>
      <c r="BS152" s="45">
        <v>9.4</v>
      </c>
      <c r="BT152" s="44">
        <v>11.69</v>
      </c>
      <c r="BU152" s="45">
        <v>11.29</v>
      </c>
      <c r="BV152" s="46">
        <v>11.489999999999998</v>
      </c>
      <c r="BW152" s="44">
        <v>2.85</v>
      </c>
      <c r="BX152" s="50">
        <v>2.5700000000000003</v>
      </c>
      <c r="BY152" s="51">
        <v>2.71</v>
      </c>
      <c r="BZ152" s="44">
        <v>10</v>
      </c>
      <c r="CA152" s="45">
        <v>7</v>
      </c>
      <c r="CB152" s="46">
        <v>8.5</v>
      </c>
      <c r="CC152" s="44">
        <v>7.04</v>
      </c>
      <c r="CD152" s="45">
        <v>6.8</v>
      </c>
      <c r="CE152" s="46">
        <v>6.92</v>
      </c>
      <c r="CF152" s="44">
        <v>2</v>
      </c>
      <c r="CG152" s="45">
        <v>1.5</v>
      </c>
      <c r="CH152" s="46">
        <v>1.75</v>
      </c>
      <c r="CI152" s="44">
        <v>0.46</v>
      </c>
      <c r="CJ152" s="45">
        <v>0.42000000000000004</v>
      </c>
      <c r="CK152" s="46">
        <v>0.44000000000000006</v>
      </c>
      <c r="CL152" s="44">
        <v>41.23</v>
      </c>
      <c r="CM152">
        <v>38.83</v>
      </c>
      <c r="CN152">
        <v>40.03</v>
      </c>
      <c r="CO152">
        <v>7.38</v>
      </c>
      <c r="CP152">
        <v>2.38</v>
      </c>
      <c r="CQ152">
        <v>4.88</v>
      </c>
    </row>
    <row r="153" spans="1:95">
      <c r="A153" s="223">
        <v>45440</v>
      </c>
      <c r="B153" s="90" t="s">
        <v>97</v>
      </c>
      <c r="C153" s="44">
        <v>157.94</v>
      </c>
      <c r="D153" s="45">
        <v>155.94</v>
      </c>
      <c r="E153" s="46">
        <v>156.94</v>
      </c>
      <c r="F153" s="44">
        <v>172.08</v>
      </c>
      <c r="G153" s="45">
        <v>169.08</v>
      </c>
      <c r="H153" s="46">
        <v>170.58</v>
      </c>
      <c r="I153" s="44">
        <v>116.77</v>
      </c>
      <c r="J153" s="45">
        <v>113.57</v>
      </c>
      <c r="K153" s="46">
        <v>115.16999999999999</v>
      </c>
      <c r="L153" s="45">
        <v>204.49</v>
      </c>
      <c r="M153" s="45">
        <v>196.49</v>
      </c>
      <c r="N153" s="45">
        <v>200.49</v>
      </c>
      <c r="O153" s="44">
        <v>172.81</v>
      </c>
      <c r="P153" s="45">
        <v>171.01</v>
      </c>
      <c r="Q153" s="46">
        <v>171.91</v>
      </c>
      <c r="R153" s="45">
        <v>23.16</v>
      </c>
      <c r="S153" s="45">
        <v>22.56</v>
      </c>
      <c r="T153" s="45">
        <v>22.86</v>
      </c>
      <c r="U153" s="44">
        <v>15.26</v>
      </c>
      <c r="V153" s="45">
        <v>14.66</v>
      </c>
      <c r="W153" s="46">
        <v>14.96</v>
      </c>
      <c r="X153" s="44">
        <v>15.2</v>
      </c>
      <c r="Y153" s="45">
        <v>14.399999999999999</v>
      </c>
      <c r="Z153" s="46">
        <v>14.799999999999999</v>
      </c>
      <c r="AA153" s="44">
        <v>106.46</v>
      </c>
      <c r="AB153" s="45">
        <v>102.46</v>
      </c>
      <c r="AC153" s="46">
        <v>104.46</v>
      </c>
      <c r="AD153" s="44">
        <v>98.63</v>
      </c>
      <c r="AE153" s="45">
        <v>94.63</v>
      </c>
      <c r="AF153" s="46">
        <v>96.63</v>
      </c>
      <c r="AG153" s="45">
        <v>20.53</v>
      </c>
      <c r="AH153" s="45">
        <v>19.670000000000002</v>
      </c>
      <c r="AI153" s="45">
        <v>20.100000000000001</v>
      </c>
      <c r="AJ153" s="47"/>
      <c r="AK153" s="48"/>
      <c r="AL153" s="49"/>
      <c r="AM153" s="45">
        <v>117.22</v>
      </c>
      <c r="AN153" s="45">
        <v>115.56</v>
      </c>
      <c r="AO153" s="45">
        <v>116.39</v>
      </c>
      <c r="AP153" s="44">
        <v>42.71</v>
      </c>
      <c r="AQ153" s="45">
        <v>41.11</v>
      </c>
      <c r="AR153" s="46">
        <v>41.91</v>
      </c>
      <c r="AS153" s="45">
        <v>43.48</v>
      </c>
      <c r="AT153" s="45">
        <v>42.12</v>
      </c>
      <c r="AU153" s="45">
        <v>42.8</v>
      </c>
      <c r="AV153" s="44">
        <v>21.91</v>
      </c>
      <c r="AW153" s="45">
        <v>21.31</v>
      </c>
      <c r="AX153" s="46">
        <v>21.61</v>
      </c>
      <c r="AY153" s="44">
        <v>4.37</v>
      </c>
      <c r="AZ153" s="45">
        <v>4.21</v>
      </c>
      <c r="BA153" s="46">
        <v>4.29</v>
      </c>
      <c r="BB153" s="44">
        <v>2.0499999999999998</v>
      </c>
      <c r="BC153" s="50">
        <v>1.7499999999999998</v>
      </c>
      <c r="BD153" s="51">
        <v>1.9</v>
      </c>
      <c r="BE153" s="45">
        <v>0.72</v>
      </c>
      <c r="BF153" s="50">
        <v>0.42</v>
      </c>
      <c r="BG153" s="50">
        <v>0.56999999999999995</v>
      </c>
      <c r="BH153" s="44">
        <v>520.54</v>
      </c>
      <c r="BI153" s="45">
        <v>504.53999999999996</v>
      </c>
      <c r="BJ153" s="46">
        <v>512.54</v>
      </c>
      <c r="BK153" s="45">
        <v>43.69</v>
      </c>
      <c r="BL153" s="45">
        <v>42.33</v>
      </c>
      <c r="BM153" s="45">
        <v>43.01</v>
      </c>
      <c r="BN153" s="52">
        <v>1.1000000000000001</v>
      </c>
      <c r="BO153" s="50">
        <v>0.8600000000000001</v>
      </c>
      <c r="BP153" s="51">
        <v>0.98000000000000009</v>
      </c>
      <c r="BQ153" s="45">
        <v>10.41</v>
      </c>
      <c r="BR153" s="45">
        <v>8.41</v>
      </c>
      <c r="BS153" s="45">
        <v>9.41</v>
      </c>
      <c r="BT153" s="44">
        <v>11.74</v>
      </c>
      <c r="BU153" s="45">
        <v>11.34</v>
      </c>
      <c r="BV153" s="46">
        <v>11.54</v>
      </c>
      <c r="BW153" s="44">
        <v>2.86</v>
      </c>
      <c r="BX153" s="50">
        <v>2.58</v>
      </c>
      <c r="BY153" s="51">
        <v>2.7199999999999998</v>
      </c>
      <c r="BZ153" s="44">
        <v>10.039999999999999</v>
      </c>
      <c r="CA153" s="45">
        <v>7.0399999999999991</v>
      </c>
      <c r="CB153" s="46">
        <v>8.5399999999999991</v>
      </c>
      <c r="CC153" s="44">
        <v>7.03</v>
      </c>
      <c r="CD153" s="45">
        <v>6.79</v>
      </c>
      <c r="CE153" s="46">
        <v>6.91</v>
      </c>
      <c r="CF153" s="44">
        <v>2.02</v>
      </c>
      <c r="CG153" s="45">
        <v>1.52</v>
      </c>
      <c r="CH153" s="46">
        <v>1.77</v>
      </c>
      <c r="CI153" s="44">
        <v>0.46</v>
      </c>
      <c r="CJ153" s="45">
        <v>0.42000000000000004</v>
      </c>
      <c r="CK153" s="46">
        <v>0.44000000000000006</v>
      </c>
      <c r="CL153" s="44">
        <v>41.25</v>
      </c>
      <c r="CM153">
        <v>38.85</v>
      </c>
      <c r="CN153">
        <v>40.049999999999997</v>
      </c>
      <c r="CO153">
        <v>7.37</v>
      </c>
      <c r="CP153">
        <v>2.37</v>
      </c>
      <c r="CQ153">
        <v>4.87</v>
      </c>
    </row>
    <row r="154" spans="1:95">
      <c r="A154" s="223">
        <v>45441</v>
      </c>
      <c r="B154" s="90" t="s">
        <v>98</v>
      </c>
      <c r="C154" s="44">
        <v>158.4</v>
      </c>
      <c r="D154" s="45">
        <v>156.4</v>
      </c>
      <c r="E154" s="46">
        <v>157.4</v>
      </c>
      <c r="F154" s="44">
        <v>172.29</v>
      </c>
      <c r="G154" s="45">
        <v>169.29</v>
      </c>
      <c r="H154" s="46">
        <v>170.79</v>
      </c>
      <c r="I154" s="44">
        <v>116.86</v>
      </c>
      <c r="J154" s="45">
        <v>113.66</v>
      </c>
      <c r="K154" s="46">
        <v>115.25999999999999</v>
      </c>
      <c r="L154" s="45">
        <v>204.78</v>
      </c>
      <c r="M154" s="45">
        <v>196.78</v>
      </c>
      <c r="N154" s="45">
        <v>200.78</v>
      </c>
      <c r="O154" s="44">
        <v>173.37</v>
      </c>
      <c r="P154" s="45">
        <v>171.57</v>
      </c>
      <c r="Q154" s="46">
        <v>172.47</v>
      </c>
      <c r="R154" s="45">
        <v>23.19</v>
      </c>
      <c r="S154" s="45">
        <v>22.59</v>
      </c>
      <c r="T154" s="45">
        <v>22.89</v>
      </c>
      <c r="U154" s="44">
        <v>15.27</v>
      </c>
      <c r="V154" s="45">
        <v>14.67</v>
      </c>
      <c r="W154" s="46">
        <v>14.969999999999999</v>
      </c>
      <c r="X154" s="44">
        <v>15.26</v>
      </c>
      <c r="Y154" s="45">
        <v>14.459999999999999</v>
      </c>
      <c r="Z154" s="46">
        <v>14.86</v>
      </c>
      <c r="AA154" s="44">
        <v>106.53</v>
      </c>
      <c r="AB154" s="45">
        <v>102.53</v>
      </c>
      <c r="AC154" s="46">
        <v>104.53</v>
      </c>
      <c r="AD154" s="44">
        <v>98.55</v>
      </c>
      <c r="AE154" s="45">
        <v>94.55</v>
      </c>
      <c r="AF154" s="46">
        <v>96.55</v>
      </c>
      <c r="AG154" s="45">
        <v>20.58</v>
      </c>
      <c r="AH154" s="45">
        <v>19.72</v>
      </c>
      <c r="AI154" s="45">
        <v>20.149999999999999</v>
      </c>
      <c r="AJ154" s="47"/>
      <c r="AK154" s="48"/>
      <c r="AL154" s="49"/>
      <c r="AM154" s="45">
        <v>117.49</v>
      </c>
      <c r="AN154" s="45">
        <v>115.83</v>
      </c>
      <c r="AO154" s="45">
        <v>116.66</v>
      </c>
      <c r="AP154" s="44">
        <v>42.84</v>
      </c>
      <c r="AQ154" s="45">
        <v>41.24</v>
      </c>
      <c r="AR154" s="46">
        <v>42.040000000000006</v>
      </c>
      <c r="AS154" s="45">
        <v>43.6</v>
      </c>
      <c r="AT154" s="45">
        <v>42.24</v>
      </c>
      <c r="AU154" s="45">
        <v>42.92</v>
      </c>
      <c r="AV154" s="44">
        <v>21.96</v>
      </c>
      <c r="AW154" s="45">
        <v>21.36</v>
      </c>
      <c r="AX154" s="46">
        <v>21.66</v>
      </c>
      <c r="AY154" s="44">
        <v>4.37</v>
      </c>
      <c r="AZ154" s="45">
        <v>4.21</v>
      </c>
      <c r="BA154" s="46">
        <v>4.29</v>
      </c>
      <c r="BB154" s="44">
        <v>2.0499999999999998</v>
      </c>
      <c r="BC154" s="50">
        <v>1.7499999999999998</v>
      </c>
      <c r="BD154" s="51">
        <v>1.9</v>
      </c>
      <c r="BE154" s="45">
        <v>0.72</v>
      </c>
      <c r="BF154" s="50">
        <v>0.42</v>
      </c>
      <c r="BG154" s="50">
        <v>0.56999999999999995</v>
      </c>
      <c r="BH154" s="44">
        <v>522.21</v>
      </c>
      <c r="BI154" s="45">
        <v>506.21000000000004</v>
      </c>
      <c r="BJ154" s="46">
        <v>514.21</v>
      </c>
      <c r="BK154" s="45">
        <v>43.95</v>
      </c>
      <c r="BL154" s="45">
        <v>42.59</v>
      </c>
      <c r="BM154" s="45">
        <v>43.27</v>
      </c>
      <c r="BN154" s="52">
        <v>1.1000000000000001</v>
      </c>
      <c r="BO154" s="50">
        <v>0.8600000000000001</v>
      </c>
      <c r="BP154" s="51">
        <v>0.98000000000000009</v>
      </c>
      <c r="BQ154" s="45">
        <v>10.37</v>
      </c>
      <c r="BR154" s="45">
        <v>8.3699999999999992</v>
      </c>
      <c r="BS154" s="45">
        <v>9.3699999999999992</v>
      </c>
      <c r="BT154" s="44">
        <v>11.74</v>
      </c>
      <c r="BU154" s="45">
        <v>11.34</v>
      </c>
      <c r="BV154" s="46">
        <v>11.54</v>
      </c>
      <c r="BW154" s="44">
        <v>2.88</v>
      </c>
      <c r="BX154" s="50">
        <v>2.5999999999999996</v>
      </c>
      <c r="BY154" s="51">
        <v>2.7399999999999998</v>
      </c>
      <c r="BZ154" s="44">
        <v>10.1</v>
      </c>
      <c r="CA154" s="45">
        <v>7.1</v>
      </c>
      <c r="CB154" s="46">
        <v>8.6</v>
      </c>
      <c r="CC154" s="44">
        <v>7.05</v>
      </c>
      <c r="CD154" s="45">
        <v>6.81</v>
      </c>
      <c r="CE154" s="46">
        <v>6.93</v>
      </c>
      <c r="CF154" s="44">
        <v>2.0299999999999998</v>
      </c>
      <c r="CG154" s="45">
        <v>1.5299999999999998</v>
      </c>
      <c r="CH154" s="46">
        <v>1.7799999999999998</v>
      </c>
      <c r="CI154" s="44">
        <v>0.46</v>
      </c>
      <c r="CJ154" s="45">
        <v>0.42000000000000004</v>
      </c>
      <c r="CK154" s="46">
        <v>0.44000000000000006</v>
      </c>
      <c r="CL154" s="44">
        <v>41.38</v>
      </c>
      <c r="CM154">
        <v>38.980000000000004</v>
      </c>
      <c r="CN154">
        <v>40.180000000000007</v>
      </c>
      <c r="CO154">
        <v>7.39</v>
      </c>
      <c r="CP154">
        <v>2.3899999999999997</v>
      </c>
      <c r="CQ154">
        <v>4.8899999999999997</v>
      </c>
    </row>
    <row r="155" spans="1:95">
      <c r="A155" s="223">
        <v>45442</v>
      </c>
      <c r="B155" s="90" t="s">
        <v>99</v>
      </c>
      <c r="C155" s="44">
        <v>158.62</v>
      </c>
      <c r="D155" s="45">
        <v>156.62</v>
      </c>
      <c r="E155" s="46">
        <v>157.62</v>
      </c>
      <c r="F155" s="44">
        <v>171.65</v>
      </c>
      <c r="G155" s="45">
        <v>168.65</v>
      </c>
      <c r="H155" s="46">
        <v>170.15</v>
      </c>
      <c r="I155" s="44">
        <v>116.48</v>
      </c>
      <c r="J155" s="45">
        <v>113.28</v>
      </c>
      <c r="K155" s="46">
        <v>114.88</v>
      </c>
      <c r="L155" s="45">
        <v>204.08</v>
      </c>
      <c r="M155" s="45">
        <v>196.08</v>
      </c>
      <c r="N155" s="45">
        <v>200.08</v>
      </c>
      <c r="O155" s="44">
        <v>173.39</v>
      </c>
      <c r="P155" s="45">
        <v>171.58999999999997</v>
      </c>
      <c r="Q155" s="46">
        <v>172.48999999999998</v>
      </c>
      <c r="R155" s="45">
        <v>23.11</v>
      </c>
      <c r="S155" s="45">
        <v>22.509999999999998</v>
      </c>
      <c r="T155" s="45">
        <v>22.81</v>
      </c>
      <c r="U155" s="44">
        <v>15.18</v>
      </c>
      <c r="V155" s="45">
        <v>14.58</v>
      </c>
      <c r="W155" s="46">
        <v>14.879999999999999</v>
      </c>
      <c r="X155" s="44">
        <v>15.15</v>
      </c>
      <c r="Y155" s="45">
        <v>14.35</v>
      </c>
      <c r="Z155" s="46">
        <v>14.75</v>
      </c>
      <c r="AA155" s="44">
        <v>106.19</v>
      </c>
      <c r="AB155" s="45">
        <v>102.19</v>
      </c>
      <c r="AC155" s="46">
        <v>104.19</v>
      </c>
      <c r="AD155" s="44">
        <v>98.23</v>
      </c>
      <c r="AE155" s="45">
        <v>94.23</v>
      </c>
      <c r="AF155" s="46">
        <v>96.23</v>
      </c>
      <c r="AG155" s="45">
        <v>20.6</v>
      </c>
      <c r="AH155" s="45">
        <v>19.740000000000002</v>
      </c>
      <c r="AI155" s="45">
        <v>20.170000000000002</v>
      </c>
      <c r="AJ155" s="47"/>
      <c r="AK155" s="48"/>
      <c r="AL155" s="49"/>
      <c r="AM155" s="45">
        <v>117.35</v>
      </c>
      <c r="AN155" s="45">
        <v>115.69</v>
      </c>
      <c r="AO155" s="45">
        <v>116.52</v>
      </c>
      <c r="AP155" s="44">
        <v>42.9</v>
      </c>
      <c r="AQ155" s="45">
        <v>41.3</v>
      </c>
      <c r="AR155" s="46">
        <v>42.099999999999994</v>
      </c>
      <c r="AS155" s="45">
        <v>43.66</v>
      </c>
      <c r="AT155" s="45">
        <v>42.3</v>
      </c>
      <c r="AU155" s="45">
        <v>42.98</v>
      </c>
      <c r="AV155" s="44">
        <v>21.97</v>
      </c>
      <c r="AW155" s="45">
        <v>21.369999999999997</v>
      </c>
      <c r="AX155" s="46">
        <v>21.669999999999998</v>
      </c>
      <c r="AY155" s="44">
        <v>4.3600000000000003</v>
      </c>
      <c r="AZ155" s="45">
        <v>4.2</v>
      </c>
      <c r="BA155" s="46">
        <v>4.28</v>
      </c>
      <c r="BB155" s="44">
        <v>2.0499999999999998</v>
      </c>
      <c r="BC155" s="50">
        <v>1.7499999999999998</v>
      </c>
      <c r="BD155" s="51">
        <v>1.9</v>
      </c>
      <c r="BE155" s="45">
        <v>0.72</v>
      </c>
      <c r="BF155" s="50">
        <v>0.42</v>
      </c>
      <c r="BG155" s="50">
        <v>0.56999999999999995</v>
      </c>
      <c r="BH155" s="44">
        <v>522.59</v>
      </c>
      <c r="BI155" s="45">
        <v>506.59000000000003</v>
      </c>
      <c r="BJ155" s="46">
        <v>514.59</v>
      </c>
      <c r="BK155" s="45">
        <v>43.99</v>
      </c>
      <c r="BL155" s="45">
        <v>42.63</v>
      </c>
      <c r="BM155" s="45">
        <v>43.31</v>
      </c>
      <c r="BN155" s="52">
        <v>1.1000000000000001</v>
      </c>
      <c r="BO155" s="50">
        <v>0.8600000000000001</v>
      </c>
      <c r="BP155" s="51">
        <v>0.98000000000000009</v>
      </c>
      <c r="BQ155" s="45">
        <v>10.24</v>
      </c>
      <c r="BR155" s="45">
        <v>8.24</v>
      </c>
      <c r="BS155" s="45">
        <v>9.24</v>
      </c>
      <c r="BT155" s="44">
        <v>11.68</v>
      </c>
      <c r="BU155" s="45">
        <v>11.28</v>
      </c>
      <c r="BV155" s="46">
        <v>11.48</v>
      </c>
      <c r="BW155" s="44">
        <v>2.86</v>
      </c>
      <c r="BX155" s="50">
        <v>2.58</v>
      </c>
      <c r="BY155" s="51">
        <v>2.7199999999999998</v>
      </c>
      <c r="BZ155" s="44">
        <v>10.039999999999999</v>
      </c>
      <c r="CA155" s="45">
        <v>7.0399999999999991</v>
      </c>
      <c r="CB155" s="46">
        <v>8.5399999999999991</v>
      </c>
      <c r="CC155" s="44">
        <v>7</v>
      </c>
      <c r="CD155" s="45">
        <v>6.76</v>
      </c>
      <c r="CE155" s="46">
        <v>6.88</v>
      </c>
      <c r="CF155" s="44">
        <v>2.0099999999999998</v>
      </c>
      <c r="CG155" s="45">
        <v>1.5099999999999998</v>
      </c>
      <c r="CH155" s="46">
        <v>1.7599999999999998</v>
      </c>
      <c r="CI155" s="44">
        <v>0.46</v>
      </c>
      <c r="CJ155" s="45">
        <v>0.42000000000000004</v>
      </c>
      <c r="CK155" s="46">
        <v>0.44000000000000006</v>
      </c>
      <c r="CL155" s="44">
        <v>40.96</v>
      </c>
      <c r="CM155">
        <v>38.56</v>
      </c>
      <c r="CN155">
        <v>39.760000000000005</v>
      </c>
      <c r="CO155">
        <v>7.39</v>
      </c>
      <c r="CP155">
        <v>2.3899999999999997</v>
      </c>
      <c r="CQ155">
        <v>4.8899999999999997</v>
      </c>
    </row>
    <row r="156" spans="1:95">
      <c r="A156" s="223">
        <v>45443</v>
      </c>
      <c r="B156" s="90" t="s">
        <v>100</v>
      </c>
      <c r="C156" s="44">
        <v>157.74</v>
      </c>
      <c r="D156" s="45">
        <v>155.74</v>
      </c>
      <c r="E156" s="46">
        <v>156.74</v>
      </c>
      <c r="F156" s="44">
        <v>171.28</v>
      </c>
      <c r="G156" s="45">
        <v>168.28</v>
      </c>
      <c r="H156" s="46">
        <v>169.78</v>
      </c>
      <c r="I156" s="44">
        <v>116.15</v>
      </c>
      <c r="J156" s="45">
        <v>112.95</v>
      </c>
      <c r="K156" s="46">
        <v>114.55000000000001</v>
      </c>
      <c r="L156" s="45">
        <v>203.61</v>
      </c>
      <c r="M156" s="45">
        <v>195.61</v>
      </c>
      <c r="N156" s="45">
        <v>199.61</v>
      </c>
      <c r="O156" s="44">
        <v>174.5</v>
      </c>
      <c r="P156" s="45">
        <v>172.7</v>
      </c>
      <c r="Q156" s="46">
        <v>173.6</v>
      </c>
      <c r="R156" s="45">
        <v>23.06</v>
      </c>
      <c r="S156" s="45">
        <v>22.459999999999997</v>
      </c>
      <c r="T156" s="45">
        <v>22.759999999999998</v>
      </c>
      <c r="U156" s="44">
        <v>15.15</v>
      </c>
      <c r="V156" s="45">
        <v>14.55</v>
      </c>
      <c r="W156" s="46">
        <v>14.850000000000001</v>
      </c>
      <c r="X156" s="44">
        <v>15.19</v>
      </c>
      <c r="Y156" s="45">
        <v>14.389999999999999</v>
      </c>
      <c r="Z156" s="46">
        <v>14.79</v>
      </c>
      <c r="AA156" s="44">
        <v>106.01</v>
      </c>
      <c r="AB156" s="45">
        <v>102.01</v>
      </c>
      <c r="AC156" s="46">
        <v>104.01</v>
      </c>
      <c r="AD156" s="44">
        <v>97.96</v>
      </c>
      <c r="AE156" s="45">
        <v>93.96</v>
      </c>
      <c r="AF156" s="46">
        <v>95.96</v>
      </c>
      <c r="AG156" s="45">
        <v>20.48</v>
      </c>
      <c r="AH156" s="45">
        <v>19.62</v>
      </c>
      <c r="AI156" s="45">
        <v>20.05</v>
      </c>
      <c r="AJ156" s="47"/>
      <c r="AK156" s="48"/>
      <c r="AL156" s="49"/>
      <c r="AM156" s="45">
        <v>116.95</v>
      </c>
      <c r="AN156" s="45">
        <v>115.29</v>
      </c>
      <c r="AO156" s="45">
        <v>116.12</v>
      </c>
      <c r="AP156" s="44">
        <v>42.65</v>
      </c>
      <c r="AQ156" s="45">
        <v>41.05</v>
      </c>
      <c r="AR156" s="46">
        <v>41.849999999999994</v>
      </c>
      <c r="AS156" s="45">
        <v>43.42</v>
      </c>
      <c r="AT156" s="45">
        <v>42.06</v>
      </c>
      <c r="AU156" s="45">
        <v>42.74</v>
      </c>
      <c r="AV156" s="44">
        <v>21.91</v>
      </c>
      <c r="AW156" s="45">
        <v>21.31</v>
      </c>
      <c r="AX156" s="46">
        <v>21.61</v>
      </c>
      <c r="AY156" s="44">
        <v>4.3499999999999996</v>
      </c>
      <c r="AZ156" s="45">
        <v>4.1899999999999995</v>
      </c>
      <c r="BA156" s="46">
        <v>4.2699999999999996</v>
      </c>
      <c r="BB156" s="44">
        <v>2.04</v>
      </c>
      <c r="BC156" s="50">
        <v>1.74</v>
      </c>
      <c r="BD156" s="51">
        <v>1.8900000000000001</v>
      </c>
      <c r="BE156" s="45">
        <v>0.72</v>
      </c>
      <c r="BF156" s="50">
        <v>0.42</v>
      </c>
      <c r="BG156" s="50">
        <v>0.56999999999999995</v>
      </c>
      <c r="BH156" s="44">
        <v>518.39</v>
      </c>
      <c r="BI156" s="45">
        <v>502.39</v>
      </c>
      <c r="BJ156" s="46">
        <v>510.39</v>
      </c>
      <c r="BK156" s="45">
        <v>43.75</v>
      </c>
      <c r="BL156" s="45">
        <v>42.39</v>
      </c>
      <c r="BM156" s="45">
        <v>43.07</v>
      </c>
      <c r="BN156" s="52">
        <v>1.0900000000000001</v>
      </c>
      <c r="BO156" s="50">
        <v>0.85000000000000009</v>
      </c>
      <c r="BP156" s="51">
        <v>0.97000000000000008</v>
      </c>
      <c r="BQ156" s="45">
        <v>10.210000000000001</v>
      </c>
      <c r="BR156" s="45">
        <v>8.2100000000000009</v>
      </c>
      <c r="BS156" s="45">
        <v>9.2100000000000009</v>
      </c>
      <c r="BT156" s="44">
        <v>11.58</v>
      </c>
      <c r="BU156" s="45">
        <v>11.18</v>
      </c>
      <c r="BV156" s="46">
        <v>11.379999999999999</v>
      </c>
      <c r="BW156" s="44">
        <v>2.83</v>
      </c>
      <c r="BX156" s="50">
        <v>2.5499999999999998</v>
      </c>
      <c r="BY156" s="51">
        <v>2.69</v>
      </c>
      <c r="BZ156" s="44">
        <v>9.8800000000000008</v>
      </c>
      <c r="CA156" s="45">
        <v>6.8800000000000008</v>
      </c>
      <c r="CB156" s="46">
        <v>8.3800000000000008</v>
      </c>
      <c r="CC156" s="44">
        <v>6.98</v>
      </c>
      <c r="CD156" s="45">
        <v>6.74</v>
      </c>
      <c r="CE156" s="46">
        <v>6.86</v>
      </c>
      <c r="CF156" s="44">
        <v>1.99</v>
      </c>
      <c r="CG156" s="45">
        <v>1.49</v>
      </c>
      <c r="CH156" s="46">
        <v>1.74</v>
      </c>
      <c r="CI156" s="44">
        <v>0.46</v>
      </c>
      <c r="CJ156" s="45">
        <v>0.42000000000000004</v>
      </c>
      <c r="CK156" s="46">
        <v>0.44000000000000006</v>
      </c>
      <c r="CL156" s="44">
        <v>40.86</v>
      </c>
      <c r="CM156">
        <v>38.46</v>
      </c>
      <c r="CN156">
        <v>39.659999999999997</v>
      </c>
      <c r="CO156">
        <v>7.37</v>
      </c>
      <c r="CP156">
        <v>2.37</v>
      </c>
      <c r="CQ156">
        <v>4.87</v>
      </c>
    </row>
    <row r="157" spans="1:95">
      <c r="A157" s="223">
        <v>45444</v>
      </c>
      <c r="B157" s="90" t="s">
        <v>307</v>
      </c>
      <c r="C157" s="44"/>
      <c r="D157" s="45"/>
      <c r="E157" s="46"/>
      <c r="F157" s="44"/>
      <c r="G157" s="45"/>
      <c r="H157" s="46"/>
      <c r="I157" s="44"/>
      <c r="J157" s="45"/>
      <c r="K157" s="46"/>
      <c r="L157" s="45"/>
      <c r="M157" s="45"/>
      <c r="N157" s="45"/>
      <c r="O157" s="44"/>
      <c r="P157" s="45"/>
      <c r="Q157" s="46"/>
      <c r="R157" s="45"/>
      <c r="S157" s="45"/>
      <c r="T157" s="45"/>
      <c r="U157" s="44"/>
      <c r="V157" s="45"/>
      <c r="W157" s="46"/>
      <c r="X157" s="44"/>
      <c r="Y157" s="45"/>
      <c r="Z157" s="46"/>
      <c r="AA157" s="44"/>
      <c r="AB157" s="45"/>
      <c r="AC157" s="46"/>
      <c r="AD157" s="44"/>
      <c r="AE157" s="45"/>
      <c r="AF157" s="46"/>
      <c r="AG157" s="45"/>
      <c r="AH157" s="45"/>
      <c r="AI157" s="45"/>
      <c r="AJ157" s="47"/>
      <c r="AK157" s="48"/>
      <c r="AL157" s="49"/>
      <c r="AM157" s="45"/>
      <c r="AN157" s="45"/>
      <c r="AO157" s="45"/>
      <c r="AP157" s="44"/>
      <c r="AQ157" s="45"/>
      <c r="AR157" s="46"/>
      <c r="AS157" s="45"/>
      <c r="AT157" s="45"/>
      <c r="AU157" s="45"/>
      <c r="AV157" s="44"/>
      <c r="AW157" s="45"/>
      <c r="AX157" s="46"/>
      <c r="AY157" s="44"/>
      <c r="AZ157" s="45"/>
      <c r="BA157" s="46"/>
      <c r="BB157" s="44"/>
      <c r="BC157" s="50"/>
      <c r="BD157" s="51"/>
      <c r="BE157" s="45"/>
      <c r="BF157" s="50"/>
      <c r="BG157" s="50"/>
      <c r="BH157" s="44"/>
      <c r="BI157" s="45"/>
      <c r="BJ157" s="46"/>
      <c r="BK157" s="45"/>
      <c r="BL157" s="45"/>
      <c r="BM157" s="45"/>
      <c r="BN157" s="52"/>
      <c r="BO157" s="50"/>
      <c r="BP157" s="51"/>
      <c r="BQ157" s="45"/>
      <c r="BR157" s="45"/>
      <c r="BS157" s="45"/>
      <c r="BT157" s="44"/>
      <c r="BU157" s="45"/>
      <c r="BV157" s="46"/>
      <c r="BW157" s="44"/>
      <c r="BX157" s="50"/>
      <c r="BY157" s="51"/>
      <c r="BZ157" s="44"/>
      <c r="CA157" s="45"/>
      <c r="CB157" s="46"/>
      <c r="CC157" s="44"/>
      <c r="CD157" s="45"/>
      <c r="CE157" s="46"/>
      <c r="CF157" s="44"/>
      <c r="CG157" s="45"/>
      <c r="CH157" s="46"/>
      <c r="CI157" s="44"/>
      <c r="CJ157" s="45"/>
      <c r="CK157" s="46"/>
      <c r="CL157" s="44"/>
    </row>
    <row r="158" spans="1:95">
      <c r="A158" s="223">
        <v>45445</v>
      </c>
      <c r="B158" s="90" t="s">
        <v>308</v>
      </c>
      <c r="C158" s="44"/>
      <c r="D158" s="45"/>
      <c r="E158" s="46"/>
      <c r="F158" s="44"/>
      <c r="G158" s="45"/>
      <c r="H158" s="46"/>
      <c r="I158" s="44"/>
      <c r="J158" s="45"/>
      <c r="K158" s="46"/>
      <c r="L158" s="45"/>
      <c r="M158" s="45"/>
      <c r="N158" s="45"/>
      <c r="O158" s="44"/>
      <c r="P158" s="45"/>
      <c r="Q158" s="46"/>
      <c r="R158" s="45"/>
      <c r="S158" s="45"/>
      <c r="T158" s="45"/>
      <c r="U158" s="44"/>
      <c r="V158" s="45"/>
      <c r="W158" s="46"/>
      <c r="X158" s="44"/>
      <c r="Y158" s="45"/>
      <c r="Z158" s="46"/>
      <c r="AA158" s="44"/>
      <c r="AB158" s="45"/>
      <c r="AC158" s="46"/>
      <c r="AD158" s="44"/>
      <c r="AE158" s="45"/>
      <c r="AF158" s="46"/>
      <c r="AG158" s="45"/>
      <c r="AH158" s="45"/>
      <c r="AI158" s="45"/>
      <c r="AJ158" s="47"/>
      <c r="AK158" s="48"/>
      <c r="AL158" s="49"/>
      <c r="AM158" s="45"/>
      <c r="AN158" s="45"/>
      <c r="AO158" s="45"/>
      <c r="AP158" s="44"/>
      <c r="AQ158" s="45"/>
      <c r="AR158" s="46"/>
      <c r="AS158" s="45"/>
      <c r="AT158" s="45"/>
      <c r="AU158" s="45"/>
      <c r="AV158" s="44"/>
      <c r="AW158" s="45"/>
      <c r="AX158" s="46"/>
      <c r="AY158" s="44"/>
      <c r="AZ158" s="45"/>
      <c r="BA158" s="46"/>
      <c r="BB158" s="44"/>
      <c r="BC158" s="50"/>
      <c r="BD158" s="51"/>
      <c r="BE158" s="45"/>
      <c r="BF158" s="50"/>
      <c r="BG158" s="50"/>
      <c r="BH158" s="44"/>
      <c r="BI158" s="45"/>
      <c r="BJ158" s="46"/>
      <c r="BK158" s="45"/>
      <c r="BL158" s="45"/>
      <c r="BM158" s="45"/>
      <c r="BN158" s="52"/>
      <c r="BO158" s="50"/>
      <c r="BP158" s="51"/>
      <c r="BQ158" s="45"/>
      <c r="BR158" s="45"/>
      <c r="BS158" s="45"/>
      <c r="BT158" s="44"/>
      <c r="BU158" s="45"/>
      <c r="BV158" s="46"/>
      <c r="BW158" s="44"/>
      <c r="BX158" s="50"/>
      <c r="BY158" s="51"/>
      <c r="BZ158" s="44"/>
      <c r="CA158" s="45"/>
      <c r="CB158" s="46"/>
      <c r="CC158" s="44"/>
      <c r="CD158" s="45"/>
      <c r="CE158" s="46"/>
      <c r="CF158" s="44"/>
      <c r="CG158" s="45"/>
      <c r="CH158" s="46"/>
      <c r="CI158" s="44"/>
      <c r="CJ158" s="45"/>
      <c r="CK158" s="46"/>
      <c r="CL158" s="44"/>
    </row>
    <row r="159" spans="1:95">
      <c r="A159" s="223">
        <v>45446</v>
      </c>
      <c r="B159" s="90" t="s">
        <v>96</v>
      </c>
      <c r="C159" s="44">
        <v>158.18</v>
      </c>
      <c r="D159" s="45">
        <v>156.18</v>
      </c>
      <c r="E159" s="46">
        <v>157.18</v>
      </c>
      <c r="F159" s="44">
        <v>172.12</v>
      </c>
      <c r="G159" s="45">
        <v>169.12</v>
      </c>
      <c r="H159" s="46">
        <v>170.62</v>
      </c>
      <c r="I159" s="44">
        <v>117.09</v>
      </c>
      <c r="J159" s="45">
        <v>113.89</v>
      </c>
      <c r="K159" s="46">
        <v>115.49000000000001</v>
      </c>
      <c r="L159" s="45">
        <v>204.44</v>
      </c>
      <c r="M159" s="45">
        <v>196.44</v>
      </c>
      <c r="N159" s="45">
        <v>200.44</v>
      </c>
      <c r="O159" s="44">
        <v>175.31</v>
      </c>
      <c r="P159" s="45">
        <v>173.51</v>
      </c>
      <c r="Q159" s="46">
        <v>174.41</v>
      </c>
      <c r="R159" s="45">
        <v>23.17</v>
      </c>
      <c r="S159" s="45">
        <v>22.57</v>
      </c>
      <c r="T159" s="45">
        <v>22.87</v>
      </c>
      <c r="U159" s="44">
        <v>15.28</v>
      </c>
      <c r="V159" s="45">
        <v>14.68</v>
      </c>
      <c r="W159" s="46">
        <v>14.98</v>
      </c>
      <c r="X159" s="44">
        <v>15.35</v>
      </c>
      <c r="Y159" s="45">
        <v>14.549999999999999</v>
      </c>
      <c r="Z159" s="46">
        <v>14.95</v>
      </c>
      <c r="AA159" s="44">
        <v>106.71</v>
      </c>
      <c r="AB159" s="45">
        <v>102.71</v>
      </c>
      <c r="AC159" s="46">
        <v>104.71</v>
      </c>
      <c r="AD159" s="44">
        <v>98.76</v>
      </c>
      <c r="AE159" s="45">
        <v>94.76</v>
      </c>
      <c r="AF159" s="46">
        <v>96.76</v>
      </c>
      <c r="AG159" s="45">
        <v>20.53</v>
      </c>
      <c r="AH159" s="45">
        <v>19.670000000000002</v>
      </c>
      <c r="AI159" s="45">
        <v>20.100000000000001</v>
      </c>
      <c r="AJ159" s="47"/>
      <c r="AK159" s="48"/>
      <c r="AL159" s="49"/>
      <c r="AM159" s="45">
        <v>117.23</v>
      </c>
      <c r="AN159" s="45">
        <v>115.57000000000001</v>
      </c>
      <c r="AO159" s="45">
        <v>116.4</v>
      </c>
      <c r="AP159" s="44">
        <v>42.77</v>
      </c>
      <c r="AQ159" s="45">
        <v>41.17</v>
      </c>
      <c r="AR159" s="46">
        <v>41.97</v>
      </c>
      <c r="AS159" s="45">
        <v>43.54</v>
      </c>
      <c r="AT159" s="45">
        <v>42.18</v>
      </c>
      <c r="AU159" s="45">
        <v>42.86</v>
      </c>
      <c r="AV159" s="44">
        <v>21.94</v>
      </c>
      <c r="AW159" s="45">
        <v>21.34</v>
      </c>
      <c r="AX159" s="46">
        <v>21.64</v>
      </c>
      <c r="AY159" s="44">
        <v>4.3600000000000003</v>
      </c>
      <c r="AZ159" s="45">
        <v>4.2</v>
      </c>
      <c r="BA159" s="46">
        <v>4.28</v>
      </c>
      <c r="BB159" s="44">
        <v>2.0499999999999998</v>
      </c>
      <c r="BC159" s="50">
        <v>1.7499999999999998</v>
      </c>
      <c r="BD159" s="51">
        <v>1.9</v>
      </c>
      <c r="BE159" s="45">
        <v>0.72</v>
      </c>
      <c r="BF159" s="50">
        <v>0.42</v>
      </c>
      <c r="BG159" s="50">
        <v>0.56999999999999995</v>
      </c>
      <c r="BH159" s="44">
        <v>519.65</v>
      </c>
      <c r="BI159" s="45">
        <v>503.65</v>
      </c>
      <c r="BJ159" s="46">
        <v>511.65</v>
      </c>
      <c r="BK159" s="45">
        <v>43.87</v>
      </c>
      <c r="BL159" s="45">
        <v>42.51</v>
      </c>
      <c r="BM159" s="45">
        <v>43.19</v>
      </c>
      <c r="BN159" s="52">
        <v>1.0900000000000001</v>
      </c>
      <c r="BO159" s="50">
        <v>0.85000000000000009</v>
      </c>
      <c r="BP159" s="51">
        <v>0.97000000000000008</v>
      </c>
      <c r="BQ159" s="45">
        <v>10.27</v>
      </c>
      <c r="BR159" s="45">
        <v>8.27</v>
      </c>
      <c r="BS159" s="45">
        <v>9.27</v>
      </c>
      <c r="BT159" s="44">
        <v>11.61</v>
      </c>
      <c r="BU159" s="45">
        <v>11.209999999999999</v>
      </c>
      <c r="BV159" s="46">
        <v>11.41</v>
      </c>
      <c r="BW159" s="44">
        <v>2.85</v>
      </c>
      <c r="BX159" s="50">
        <v>2.5700000000000003</v>
      </c>
      <c r="BY159" s="51">
        <v>2.71</v>
      </c>
      <c r="BZ159" s="44">
        <v>9.8800000000000008</v>
      </c>
      <c r="CA159" s="45">
        <v>6.8800000000000008</v>
      </c>
      <c r="CB159" s="46">
        <v>8.3800000000000008</v>
      </c>
      <c r="CC159" s="44">
        <v>7.04</v>
      </c>
      <c r="CD159" s="45">
        <v>6.8</v>
      </c>
      <c r="CE159" s="46">
        <v>6.92</v>
      </c>
      <c r="CF159" s="44">
        <v>1.99</v>
      </c>
      <c r="CG159" s="45">
        <v>1.49</v>
      </c>
      <c r="CH159" s="46">
        <v>1.74</v>
      </c>
      <c r="CI159" s="44">
        <v>0.46</v>
      </c>
      <c r="CJ159" s="45">
        <v>0.42000000000000004</v>
      </c>
      <c r="CK159" s="46">
        <v>0.44000000000000006</v>
      </c>
      <c r="CL159" s="44">
        <v>41.15</v>
      </c>
      <c r="CM159">
        <v>38.75</v>
      </c>
      <c r="CN159">
        <v>39.950000000000003</v>
      </c>
      <c r="CO159">
        <v>7.37</v>
      </c>
      <c r="CP159">
        <v>2.37</v>
      </c>
      <c r="CQ159">
        <v>4.87</v>
      </c>
    </row>
    <row r="160" spans="1:95">
      <c r="A160" s="223">
        <v>45447</v>
      </c>
      <c r="B160" s="90" t="s">
        <v>97</v>
      </c>
      <c r="C160" s="44">
        <v>157.47</v>
      </c>
      <c r="D160" s="45">
        <v>155.47</v>
      </c>
      <c r="E160" s="46">
        <v>156.47</v>
      </c>
      <c r="F160" s="44">
        <v>172.3</v>
      </c>
      <c r="G160" s="45">
        <v>169.3</v>
      </c>
      <c r="H160" s="46">
        <v>170.8</v>
      </c>
      <c r="I160" s="44">
        <v>116.45</v>
      </c>
      <c r="J160" s="45">
        <v>113.25</v>
      </c>
      <c r="K160" s="46">
        <v>114.85</v>
      </c>
      <c r="L160" s="45">
        <v>204.47</v>
      </c>
      <c r="M160" s="45">
        <v>196.47</v>
      </c>
      <c r="N160" s="45">
        <v>200.47</v>
      </c>
      <c r="O160" s="44">
        <v>175.69</v>
      </c>
      <c r="P160" s="45">
        <v>173.89</v>
      </c>
      <c r="Q160" s="46">
        <v>174.79</v>
      </c>
      <c r="R160" s="45">
        <v>23.2</v>
      </c>
      <c r="S160" s="45">
        <v>22.599999999999998</v>
      </c>
      <c r="T160" s="45">
        <v>22.9</v>
      </c>
      <c r="U160" s="44">
        <v>15.28</v>
      </c>
      <c r="V160" s="45">
        <v>14.68</v>
      </c>
      <c r="W160" s="46">
        <v>14.98</v>
      </c>
      <c r="X160" s="44">
        <v>15.44</v>
      </c>
      <c r="Y160" s="45">
        <v>14.639999999999999</v>
      </c>
      <c r="Z160" s="46">
        <v>15.04</v>
      </c>
      <c r="AA160" s="44">
        <v>106.68</v>
      </c>
      <c r="AB160" s="45">
        <v>102.68</v>
      </c>
      <c r="AC160" s="46">
        <v>104.68</v>
      </c>
      <c r="AD160" s="44">
        <v>98.89</v>
      </c>
      <c r="AE160" s="45">
        <v>94.89</v>
      </c>
      <c r="AF160" s="46">
        <v>96.89</v>
      </c>
      <c r="AG160" s="45">
        <v>20.440000000000001</v>
      </c>
      <c r="AH160" s="45">
        <v>19.580000000000002</v>
      </c>
      <c r="AI160" s="45">
        <v>20.010000000000002</v>
      </c>
      <c r="AJ160" s="47"/>
      <c r="AK160" s="48"/>
      <c r="AL160" s="49"/>
      <c r="AM160" s="45">
        <v>117.06</v>
      </c>
      <c r="AN160" s="45">
        <v>115.4</v>
      </c>
      <c r="AO160" s="45">
        <v>116.23</v>
      </c>
      <c r="AP160" s="44">
        <v>42.58</v>
      </c>
      <c r="AQ160" s="45">
        <v>40.98</v>
      </c>
      <c r="AR160" s="46">
        <v>41.78</v>
      </c>
      <c r="AS160" s="45">
        <v>43.35</v>
      </c>
      <c r="AT160" s="45">
        <v>41.99</v>
      </c>
      <c r="AU160" s="45">
        <v>42.67</v>
      </c>
      <c r="AV160" s="44">
        <v>21.87</v>
      </c>
      <c r="AW160" s="45">
        <v>21.27</v>
      </c>
      <c r="AX160" s="46">
        <v>21.57</v>
      </c>
      <c r="AY160" s="44">
        <v>4.3600000000000003</v>
      </c>
      <c r="AZ160" s="45">
        <v>4.2</v>
      </c>
      <c r="BA160" s="46">
        <v>4.28</v>
      </c>
      <c r="BB160" s="44">
        <v>2.04</v>
      </c>
      <c r="BC160" s="50">
        <v>1.74</v>
      </c>
      <c r="BD160" s="51">
        <v>1.8900000000000001</v>
      </c>
      <c r="BE160" s="45">
        <v>0.71</v>
      </c>
      <c r="BF160" s="50">
        <v>0.41</v>
      </c>
      <c r="BG160" s="50">
        <v>0.55999999999999994</v>
      </c>
      <c r="BH160" s="44">
        <v>519.16999999999996</v>
      </c>
      <c r="BI160" s="45">
        <v>503.16999999999996</v>
      </c>
      <c r="BJ160" s="46">
        <v>511.16999999999996</v>
      </c>
      <c r="BK160" s="45">
        <v>43.67</v>
      </c>
      <c r="BL160" s="45">
        <v>42.31</v>
      </c>
      <c r="BM160" s="45">
        <v>42.99</v>
      </c>
      <c r="BN160" s="52">
        <v>1.0900000000000001</v>
      </c>
      <c r="BO160" s="50">
        <v>0.85000000000000009</v>
      </c>
      <c r="BP160" s="51">
        <v>0.97000000000000008</v>
      </c>
      <c r="BQ160" s="45">
        <v>9.89</v>
      </c>
      <c r="BR160" s="45">
        <v>7.8900000000000006</v>
      </c>
      <c r="BS160" s="45">
        <v>8.89</v>
      </c>
      <c r="BT160" s="44">
        <v>11.61</v>
      </c>
      <c r="BU160" s="45">
        <v>11.209999999999999</v>
      </c>
      <c r="BV160" s="46">
        <v>11.41</v>
      </c>
      <c r="BW160" s="44">
        <v>2.83</v>
      </c>
      <c r="BX160" s="50">
        <v>2.5499999999999998</v>
      </c>
      <c r="BY160" s="51">
        <v>2.69</v>
      </c>
      <c r="BZ160" s="44">
        <v>9.94</v>
      </c>
      <c r="CA160" s="45">
        <v>6.9399999999999995</v>
      </c>
      <c r="CB160" s="46">
        <v>8.44</v>
      </c>
      <c r="CC160" s="44">
        <v>7.05</v>
      </c>
      <c r="CD160" s="45">
        <v>6.81</v>
      </c>
      <c r="CE160" s="46">
        <v>6.93</v>
      </c>
      <c r="CF160" s="44">
        <v>2</v>
      </c>
      <c r="CG160" s="45">
        <v>1.5</v>
      </c>
      <c r="CH160" s="46">
        <v>1.75</v>
      </c>
      <c r="CI160" s="44">
        <v>0.46</v>
      </c>
      <c r="CJ160" s="45">
        <v>0.42000000000000004</v>
      </c>
      <c r="CK160" s="46">
        <v>0.44000000000000006</v>
      </c>
      <c r="CL160" s="44">
        <v>41.2</v>
      </c>
      <c r="CM160">
        <v>38.800000000000004</v>
      </c>
      <c r="CN160">
        <v>40</v>
      </c>
      <c r="CO160">
        <v>7.37</v>
      </c>
      <c r="CP160">
        <v>2.37</v>
      </c>
      <c r="CQ160">
        <v>4.87</v>
      </c>
    </row>
    <row r="161" spans="1:95">
      <c r="A161" s="223">
        <v>45448</v>
      </c>
      <c r="B161" s="90" t="s">
        <v>98</v>
      </c>
      <c r="C161" s="44">
        <v>156.30000000000001</v>
      </c>
      <c r="D161" s="45">
        <v>154.30000000000001</v>
      </c>
      <c r="E161" s="46">
        <v>155.30000000000001</v>
      </c>
      <c r="F161" s="44">
        <v>170.51</v>
      </c>
      <c r="G161" s="45">
        <v>167.51</v>
      </c>
      <c r="H161" s="46">
        <v>169.01</v>
      </c>
      <c r="I161" s="44">
        <v>115.14</v>
      </c>
      <c r="J161" s="45">
        <v>111.94</v>
      </c>
      <c r="K161" s="46">
        <v>113.53999999999999</v>
      </c>
      <c r="L161" s="45">
        <v>202.36</v>
      </c>
      <c r="M161" s="45">
        <v>194.36</v>
      </c>
      <c r="N161" s="45">
        <v>198.36</v>
      </c>
      <c r="O161" s="44">
        <v>175.26</v>
      </c>
      <c r="P161" s="45">
        <v>173.45999999999998</v>
      </c>
      <c r="Q161" s="46">
        <v>174.35999999999999</v>
      </c>
      <c r="R161" s="45">
        <v>22.95</v>
      </c>
      <c r="S161" s="45">
        <v>22.349999999999998</v>
      </c>
      <c r="T161" s="45">
        <v>22.65</v>
      </c>
      <c r="U161" s="44">
        <v>15.01</v>
      </c>
      <c r="V161" s="45">
        <v>14.41</v>
      </c>
      <c r="W161" s="46">
        <v>14.71</v>
      </c>
      <c r="X161" s="44">
        <v>15.3</v>
      </c>
      <c r="Y161" s="45">
        <v>14.5</v>
      </c>
      <c r="Z161" s="46">
        <v>14.9</v>
      </c>
      <c r="AA161" s="44">
        <v>105.29</v>
      </c>
      <c r="AB161" s="45">
        <v>101.29</v>
      </c>
      <c r="AC161" s="46">
        <v>103.29</v>
      </c>
      <c r="AD161" s="44">
        <v>97.99</v>
      </c>
      <c r="AE161" s="45">
        <v>93.99</v>
      </c>
      <c r="AF161" s="46">
        <v>95.99</v>
      </c>
      <c r="AG161" s="45">
        <v>20.309999999999999</v>
      </c>
      <c r="AH161" s="45">
        <v>19.45</v>
      </c>
      <c r="AI161" s="45">
        <v>19.88</v>
      </c>
      <c r="AJ161" s="47"/>
      <c r="AK161" s="48"/>
      <c r="AL161" s="49"/>
      <c r="AM161" s="45">
        <v>116.17</v>
      </c>
      <c r="AN161" s="45">
        <v>114.51</v>
      </c>
      <c r="AO161" s="45">
        <v>115.34</v>
      </c>
      <c r="AP161" s="44">
        <v>42.28</v>
      </c>
      <c r="AQ161" s="45">
        <v>40.68</v>
      </c>
      <c r="AR161" s="46">
        <v>41.480000000000004</v>
      </c>
      <c r="AS161" s="45">
        <v>43.03</v>
      </c>
      <c r="AT161" s="45">
        <v>41.67</v>
      </c>
      <c r="AU161" s="45">
        <v>42.35</v>
      </c>
      <c r="AV161" s="44">
        <v>21.72</v>
      </c>
      <c r="AW161" s="45">
        <v>21.119999999999997</v>
      </c>
      <c r="AX161" s="46">
        <v>21.419999999999998</v>
      </c>
      <c r="AY161" s="44">
        <v>4.32</v>
      </c>
      <c r="AZ161" s="45">
        <v>4.16</v>
      </c>
      <c r="BA161" s="46">
        <v>4.24</v>
      </c>
      <c r="BB161" s="44">
        <v>2.02</v>
      </c>
      <c r="BC161" s="50">
        <v>1.72</v>
      </c>
      <c r="BD161" s="51">
        <v>1.87</v>
      </c>
      <c r="BE161" s="45">
        <v>0.71</v>
      </c>
      <c r="BF161" s="50">
        <v>0.41</v>
      </c>
      <c r="BG161" s="50">
        <v>0.55999999999999994</v>
      </c>
      <c r="BH161" s="44">
        <v>515.85</v>
      </c>
      <c r="BI161" s="45">
        <v>499.85</v>
      </c>
      <c r="BJ161" s="46">
        <v>507.85</v>
      </c>
      <c r="BK161" s="45">
        <v>43.36</v>
      </c>
      <c r="BL161" s="45">
        <v>42</v>
      </c>
      <c r="BM161" s="45">
        <v>42.68</v>
      </c>
      <c r="BN161" s="52">
        <v>1.08</v>
      </c>
      <c r="BO161" s="50">
        <v>0.84000000000000008</v>
      </c>
      <c r="BP161" s="51">
        <v>0.96000000000000008</v>
      </c>
      <c r="BQ161" s="45">
        <v>9.74</v>
      </c>
      <c r="BR161" s="45">
        <v>7.74</v>
      </c>
      <c r="BS161" s="45">
        <v>8.74</v>
      </c>
      <c r="BT161" s="44">
        <v>11.51</v>
      </c>
      <c r="BU161" s="45">
        <v>11.11</v>
      </c>
      <c r="BV161" s="46">
        <v>11.309999999999999</v>
      </c>
      <c r="BW161" s="44">
        <v>2.8</v>
      </c>
      <c r="BX161" s="50">
        <v>2.5199999999999996</v>
      </c>
      <c r="BY161" s="51">
        <v>2.6599999999999997</v>
      </c>
      <c r="BZ161" s="44">
        <v>9.8000000000000007</v>
      </c>
      <c r="CA161" s="45">
        <v>6.8000000000000007</v>
      </c>
      <c r="CB161" s="46">
        <v>8.3000000000000007</v>
      </c>
      <c r="CC161" s="44">
        <v>6.96</v>
      </c>
      <c r="CD161" s="45">
        <v>6.72</v>
      </c>
      <c r="CE161" s="46">
        <v>6.84</v>
      </c>
      <c r="CF161" s="44">
        <v>2</v>
      </c>
      <c r="CG161" s="45">
        <v>1.5</v>
      </c>
      <c r="CH161" s="46">
        <v>1.75</v>
      </c>
      <c r="CI161" s="44">
        <v>0.45</v>
      </c>
      <c r="CJ161" s="45">
        <v>0.41000000000000003</v>
      </c>
      <c r="CK161" s="46">
        <v>0.43000000000000005</v>
      </c>
      <c r="CL161" s="44">
        <v>40.409999999999997</v>
      </c>
      <c r="CM161">
        <v>38.01</v>
      </c>
      <c r="CN161">
        <v>39.209999999999994</v>
      </c>
      <c r="CO161">
        <v>7.26</v>
      </c>
      <c r="CP161">
        <v>2.2599999999999998</v>
      </c>
      <c r="CQ161">
        <v>4.76</v>
      </c>
    </row>
    <row r="162" spans="1:95">
      <c r="A162" s="223">
        <v>45449</v>
      </c>
      <c r="B162" s="90" t="s">
        <v>99</v>
      </c>
      <c r="C162" s="44">
        <v>156.78</v>
      </c>
      <c r="D162" s="45">
        <v>154.78</v>
      </c>
      <c r="E162" s="46">
        <v>155.78</v>
      </c>
      <c r="F162" s="44">
        <v>171</v>
      </c>
      <c r="G162" s="45">
        <v>168</v>
      </c>
      <c r="H162" s="46">
        <v>169.5</v>
      </c>
      <c r="I162" s="44">
        <v>115.45</v>
      </c>
      <c r="J162" s="45">
        <v>112.25</v>
      </c>
      <c r="K162" s="46">
        <v>113.85</v>
      </c>
      <c r="L162" s="45">
        <v>203.45</v>
      </c>
      <c r="M162" s="45">
        <v>195.45</v>
      </c>
      <c r="N162" s="45">
        <v>199.45</v>
      </c>
      <c r="O162" s="44">
        <v>175.58</v>
      </c>
      <c r="P162" s="45">
        <v>173.78</v>
      </c>
      <c r="Q162" s="46">
        <v>174.68</v>
      </c>
      <c r="R162" s="45">
        <v>23.02</v>
      </c>
      <c r="S162" s="45">
        <v>22.419999999999998</v>
      </c>
      <c r="T162" s="45">
        <v>22.72</v>
      </c>
      <c r="U162" s="44">
        <v>15.04</v>
      </c>
      <c r="V162" s="45">
        <v>14.44</v>
      </c>
      <c r="W162" s="46">
        <v>14.739999999999998</v>
      </c>
      <c r="X162" s="44">
        <v>15.41</v>
      </c>
      <c r="Y162" s="45">
        <v>14.61</v>
      </c>
      <c r="Z162" s="46">
        <v>15.01</v>
      </c>
      <c r="AA162" s="44">
        <v>105.83</v>
      </c>
      <c r="AB162" s="45">
        <v>101.83</v>
      </c>
      <c r="AC162" s="46">
        <v>103.83</v>
      </c>
      <c r="AD162" s="44">
        <v>98.66</v>
      </c>
      <c r="AE162" s="45">
        <v>94.66</v>
      </c>
      <c r="AF162" s="46">
        <v>96.66</v>
      </c>
      <c r="AG162" s="45">
        <v>20.38</v>
      </c>
      <c r="AH162" s="45">
        <v>19.52</v>
      </c>
      <c r="AI162" s="45">
        <v>19.95</v>
      </c>
      <c r="AJ162" s="47"/>
      <c r="AK162" s="48"/>
      <c r="AL162" s="49"/>
      <c r="AM162" s="45">
        <v>116.49</v>
      </c>
      <c r="AN162" s="45">
        <v>114.83</v>
      </c>
      <c r="AO162" s="45">
        <v>115.66</v>
      </c>
      <c r="AP162" s="44">
        <v>42.41</v>
      </c>
      <c r="AQ162" s="45">
        <v>40.809999999999995</v>
      </c>
      <c r="AR162" s="46">
        <v>41.61</v>
      </c>
      <c r="AS162" s="45">
        <v>43.16</v>
      </c>
      <c r="AT162" s="45">
        <v>41.8</v>
      </c>
      <c r="AU162" s="45">
        <v>42.48</v>
      </c>
      <c r="AV162" s="44">
        <v>21.76</v>
      </c>
      <c r="AW162" s="45">
        <v>21.16</v>
      </c>
      <c r="AX162" s="46">
        <v>21.46</v>
      </c>
      <c r="AY162" s="44">
        <v>4.34</v>
      </c>
      <c r="AZ162" s="45">
        <v>4.18</v>
      </c>
      <c r="BA162" s="46">
        <v>4.26</v>
      </c>
      <c r="BB162" s="44">
        <v>2.0299999999999998</v>
      </c>
      <c r="BC162" s="50">
        <v>1.7299999999999998</v>
      </c>
      <c r="BD162" s="51">
        <v>1.88</v>
      </c>
      <c r="BE162" s="45">
        <v>0.71</v>
      </c>
      <c r="BF162" s="50">
        <v>0.41</v>
      </c>
      <c r="BG162" s="50">
        <v>0.55999999999999994</v>
      </c>
      <c r="BH162" s="44">
        <v>517.41999999999996</v>
      </c>
      <c r="BI162" s="45">
        <v>501.41999999999996</v>
      </c>
      <c r="BJ162" s="46">
        <v>509.41999999999996</v>
      </c>
      <c r="BK162" s="45">
        <v>43.48</v>
      </c>
      <c r="BL162" s="45">
        <v>42.12</v>
      </c>
      <c r="BM162" s="45">
        <v>42.8</v>
      </c>
      <c r="BN162" s="52">
        <v>1.08</v>
      </c>
      <c r="BO162" s="50">
        <v>0.84000000000000008</v>
      </c>
      <c r="BP162" s="51">
        <v>0.96000000000000008</v>
      </c>
      <c r="BQ162" s="45">
        <v>9.91</v>
      </c>
      <c r="BR162" s="45">
        <v>7.91</v>
      </c>
      <c r="BS162" s="45">
        <v>8.91</v>
      </c>
      <c r="BT162" s="44">
        <v>11.6</v>
      </c>
      <c r="BU162" s="45">
        <v>11.2</v>
      </c>
      <c r="BV162" s="46">
        <v>11.399999999999999</v>
      </c>
      <c r="BW162" s="44">
        <v>2.81</v>
      </c>
      <c r="BX162" s="50">
        <v>2.5300000000000002</v>
      </c>
      <c r="BY162" s="51">
        <v>2.67</v>
      </c>
      <c r="BZ162" s="44">
        <v>9.74</v>
      </c>
      <c r="CA162" s="45">
        <v>6.74</v>
      </c>
      <c r="CB162" s="46">
        <v>8.24</v>
      </c>
      <c r="CC162" s="44">
        <v>7</v>
      </c>
      <c r="CD162" s="45">
        <v>6.76</v>
      </c>
      <c r="CE162" s="46">
        <v>6.88</v>
      </c>
      <c r="CF162" s="44">
        <v>2</v>
      </c>
      <c r="CG162" s="45">
        <v>1.5</v>
      </c>
      <c r="CH162" s="46">
        <v>1.75</v>
      </c>
      <c r="CI162" s="44">
        <v>0.45</v>
      </c>
      <c r="CJ162" s="45">
        <v>0.41000000000000003</v>
      </c>
      <c r="CK162" s="46">
        <v>0.43000000000000005</v>
      </c>
      <c r="CL162" s="44">
        <v>40.72</v>
      </c>
      <c r="CM162">
        <v>38.32</v>
      </c>
      <c r="CN162">
        <v>39.519999999999996</v>
      </c>
      <c r="CO162">
        <v>7.34</v>
      </c>
      <c r="CP162">
        <v>2.34</v>
      </c>
      <c r="CQ162">
        <v>4.84</v>
      </c>
    </row>
    <row r="163" spans="1:95">
      <c r="A163" s="223">
        <v>45450</v>
      </c>
      <c r="B163" s="90" t="s">
        <v>100</v>
      </c>
      <c r="C163" s="44">
        <v>156.81</v>
      </c>
      <c r="D163" s="45">
        <v>154.81</v>
      </c>
      <c r="E163" s="46">
        <v>155.81</v>
      </c>
      <c r="F163" s="44">
        <v>171.19</v>
      </c>
      <c r="G163" s="45">
        <v>168.19</v>
      </c>
      <c r="H163" s="46">
        <v>169.69</v>
      </c>
      <c r="I163" s="44">
        <v>115.6</v>
      </c>
      <c r="J163" s="45">
        <v>112.39999999999999</v>
      </c>
      <c r="K163" s="46">
        <v>114</v>
      </c>
      <c r="L163" s="45">
        <v>203.3</v>
      </c>
      <c r="M163" s="45">
        <v>195.3</v>
      </c>
      <c r="N163" s="45">
        <v>199.3</v>
      </c>
      <c r="O163" s="44">
        <v>175.91</v>
      </c>
      <c r="P163" s="45">
        <v>174.10999999999999</v>
      </c>
      <c r="Q163" s="46">
        <v>175.01</v>
      </c>
      <c r="R163" s="45">
        <v>23.05</v>
      </c>
      <c r="S163" s="45">
        <v>22.45</v>
      </c>
      <c r="T163" s="45">
        <v>22.75</v>
      </c>
      <c r="U163" s="44">
        <v>15.05</v>
      </c>
      <c r="V163" s="45">
        <v>14.450000000000001</v>
      </c>
      <c r="W163" s="46">
        <v>14.75</v>
      </c>
      <c r="X163" s="44">
        <v>15.41</v>
      </c>
      <c r="Y163" s="45">
        <v>14.61</v>
      </c>
      <c r="Z163" s="46">
        <v>15.01</v>
      </c>
      <c r="AA163" s="44">
        <v>105.91</v>
      </c>
      <c r="AB163" s="45">
        <v>101.91</v>
      </c>
      <c r="AC163" s="46">
        <v>103.91</v>
      </c>
      <c r="AD163" s="44">
        <v>98.54</v>
      </c>
      <c r="AE163" s="45">
        <v>94.54</v>
      </c>
      <c r="AF163" s="46">
        <v>96.54</v>
      </c>
      <c r="AG163" s="45">
        <v>20.38</v>
      </c>
      <c r="AH163" s="45">
        <v>19.52</v>
      </c>
      <c r="AI163" s="45">
        <v>19.95</v>
      </c>
      <c r="AJ163" s="47"/>
      <c r="AK163" s="48"/>
      <c r="AL163" s="49"/>
      <c r="AM163" s="45">
        <v>116.66</v>
      </c>
      <c r="AN163" s="45">
        <v>115</v>
      </c>
      <c r="AO163" s="45">
        <v>115.83</v>
      </c>
      <c r="AP163" s="44">
        <v>42.42</v>
      </c>
      <c r="AQ163" s="45">
        <v>40.82</v>
      </c>
      <c r="AR163" s="46">
        <v>41.620000000000005</v>
      </c>
      <c r="AS163" s="45">
        <v>43.07</v>
      </c>
      <c r="AT163" s="45">
        <v>41.71</v>
      </c>
      <c r="AU163" s="45">
        <v>42.39</v>
      </c>
      <c r="AV163" s="44">
        <v>21.76</v>
      </c>
      <c r="AW163" s="45">
        <v>21.16</v>
      </c>
      <c r="AX163" s="46">
        <v>21.46</v>
      </c>
      <c r="AY163" s="44">
        <v>4.3600000000000003</v>
      </c>
      <c r="AZ163" s="45">
        <v>4.2</v>
      </c>
      <c r="BA163" s="46">
        <v>4.28</v>
      </c>
      <c r="BB163" s="44">
        <v>2.0299999999999998</v>
      </c>
      <c r="BC163" s="50">
        <v>1.7299999999999998</v>
      </c>
      <c r="BD163" s="51">
        <v>1.88</v>
      </c>
      <c r="BE163" s="45">
        <v>0.71</v>
      </c>
      <c r="BF163" s="50">
        <v>0.41</v>
      </c>
      <c r="BG163" s="50">
        <v>0.55999999999999994</v>
      </c>
      <c r="BH163" s="44">
        <v>516.02</v>
      </c>
      <c r="BI163" s="45">
        <v>500.02</v>
      </c>
      <c r="BJ163" s="46">
        <v>508.02</v>
      </c>
      <c r="BK163" s="45">
        <v>43.5</v>
      </c>
      <c r="BL163" s="45">
        <v>42.14</v>
      </c>
      <c r="BM163" s="45">
        <v>42.82</v>
      </c>
      <c r="BN163" s="52">
        <v>1.08</v>
      </c>
      <c r="BO163" s="50">
        <v>0.84000000000000008</v>
      </c>
      <c r="BP163" s="51">
        <v>0.96000000000000008</v>
      </c>
      <c r="BQ163" s="45">
        <v>9.68</v>
      </c>
      <c r="BR163" s="45">
        <v>7.68</v>
      </c>
      <c r="BS163" s="45">
        <v>8.68</v>
      </c>
      <c r="BT163" s="44">
        <v>11.65</v>
      </c>
      <c r="BU163" s="45">
        <v>11.25</v>
      </c>
      <c r="BV163" s="46">
        <v>11.45</v>
      </c>
      <c r="BW163" s="44">
        <v>2.82</v>
      </c>
      <c r="BX163" s="50">
        <v>2.54</v>
      </c>
      <c r="BY163" s="51">
        <v>2.6799999999999997</v>
      </c>
      <c r="BZ163" s="44">
        <v>9.7200000000000006</v>
      </c>
      <c r="CA163" s="45">
        <v>6.7200000000000006</v>
      </c>
      <c r="CB163" s="46">
        <v>8.2200000000000006</v>
      </c>
      <c r="CC163" s="44">
        <v>7.04</v>
      </c>
      <c r="CD163" s="45">
        <v>6.8</v>
      </c>
      <c r="CE163" s="46">
        <v>6.92</v>
      </c>
      <c r="CF163" s="44">
        <v>2</v>
      </c>
      <c r="CG163" s="45">
        <v>1.5</v>
      </c>
      <c r="CH163" s="46">
        <v>1.75</v>
      </c>
      <c r="CI163" s="44">
        <v>0.46</v>
      </c>
      <c r="CJ163" s="45">
        <v>0.42000000000000004</v>
      </c>
      <c r="CK163" s="46">
        <v>0.44000000000000006</v>
      </c>
      <c r="CL163" s="44">
        <v>40.82</v>
      </c>
      <c r="CM163">
        <v>38.42</v>
      </c>
      <c r="CN163">
        <v>39.620000000000005</v>
      </c>
      <c r="CO163">
        <v>7.36</v>
      </c>
      <c r="CP163">
        <v>2.3600000000000003</v>
      </c>
      <c r="CQ163">
        <v>4.8600000000000003</v>
      </c>
    </row>
    <row r="164" spans="1:95">
      <c r="A164" s="223">
        <v>45451</v>
      </c>
      <c r="B164" s="90" t="s">
        <v>307</v>
      </c>
      <c r="C164" s="44"/>
      <c r="D164" s="45"/>
      <c r="E164" s="46"/>
      <c r="F164" s="44"/>
      <c r="G164" s="45"/>
      <c r="H164" s="46"/>
      <c r="I164" s="44"/>
      <c r="J164" s="45"/>
      <c r="K164" s="46"/>
      <c r="L164" s="45"/>
      <c r="M164" s="45"/>
      <c r="N164" s="45"/>
      <c r="O164" s="44"/>
      <c r="P164" s="45"/>
      <c r="Q164" s="46"/>
      <c r="R164" s="45"/>
      <c r="S164" s="45"/>
      <c r="T164" s="45"/>
      <c r="U164" s="44"/>
      <c r="V164" s="45"/>
      <c r="W164" s="46"/>
      <c r="X164" s="44"/>
      <c r="Y164" s="45"/>
      <c r="Z164" s="46"/>
      <c r="AA164" s="44"/>
      <c r="AB164" s="45"/>
      <c r="AC164" s="46"/>
      <c r="AD164" s="44"/>
      <c r="AE164" s="45"/>
      <c r="AF164" s="46"/>
      <c r="AG164" s="45"/>
      <c r="AH164" s="45"/>
      <c r="AI164" s="45"/>
      <c r="AJ164" s="47"/>
      <c r="AK164" s="48"/>
      <c r="AL164" s="49"/>
      <c r="AM164" s="45"/>
      <c r="AN164" s="45"/>
      <c r="AO164" s="45"/>
      <c r="AP164" s="44"/>
      <c r="AQ164" s="45"/>
      <c r="AR164" s="46"/>
      <c r="AS164" s="45"/>
      <c r="AT164" s="45"/>
      <c r="AU164" s="45"/>
      <c r="AV164" s="44"/>
      <c r="AW164" s="45"/>
      <c r="AX164" s="46"/>
      <c r="AY164" s="44"/>
      <c r="AZ164" s="45"/>
      <c r="BA164" s="46"/>
      <c r="BB164" s="44"/>
      <c r="BC164" s="50"/>
      <c r="BD164" s="51"/>
      <c r="BE164" s="45"/>
      <c r="BF164" s="50"/>
      <c r="BG164" s="50"/>
      <c r="BH164" s="44"/>
      <c r="BI164" s="45"/>
      <c r="BJ164" s="46"/>
      <c r="BK164" s="45"/>
      <c r="BL164" s="45"/>
      <c r="BM164" s="45"/>
      <c r="BN164" s="52"/>
      <c r="BO164" s="50"/>
      <c r="BP164" s="51"/>
      <c r="BQ164" s="45"/>
      <c r="BR164" s="45"/>
      <c r="BS164" s="45"/>
      <c r="BT164" s="44"/>
      <c r="BU164" s="45"/>
      <c r="BV164" s="46"/>
      <c r="BW164" s="44"/>
      <c r="BX164" s="50"/>
      <c r="BY164" s="51"/>
      <c r="BZ164" s="44"/>
      <c r="CA164" s="45"/>
      <c r="CB164" s="46"/>
      <c r="CC164" s="44"/>
      <c r="CD164" s="45"/>
      <c r="CE164" s="46"/>
      <c r="CF164" s="44"/>
      <c r="CG164" s="45"/>
      <c r="CH164" s="46"/>
      <c r="CI164" s="44"/>
      <c r="CJ164" s="45"/>
      <c r="CK164" s="46"/>
      <c r="CL164" s="44"/>
    </row>
    <row r="165" spans="1:95">
      <c r="A165" s="223">
        <v>45452</v>
      </c>
      <c r="B165" s="90" t="s">
        <v>308</v>
      </c>
      <c r="C165" s="44"/>
      <c r="D165" s="45"/>
      <c r="E165" s="46"/>
      <c r="F165" s="44"/>
      <c r="G165" s="45"/>
      <c r="H165" s="46"/>
      <c r="I165" s="44"/>
      <c r="J165" s="45"/>
      <c r="K165" s="46"/>
      <c r="L165" s="45"/>
      <c r="M165" s="45"/>
      <c r="N165" s="45"/>
      <c r="O165" s="44"/>
      <c r="P165" s="45"/>
      <c r="Q165" s="46"/>
      <c r="R165" s="45"/>
      <c r="S165" s="45"/>
      <c r="T165" s="45"/>
      <c r="U165" s="44"/>
      <c r="V165" s="45"/>
      <c r="W165" s="46"/>
      <c r="X165" s="44"/>
      <c r="Y165" s="45"/>
      <c r="Z165" s="46"/>
      <c r="AA165" s="44"/>
      <c r="AB165" s="45"/>
      <c r="AC165" s="46"/>
      <c r="AD165" s="44"/>
      <c r="AE165" s="45"/>
      <c r="AF165" s="46"/>
      <c r="AG165" s="45"/>
      <c r="AH165" s="45"/>
      <c r="AI165" s="45"/>
      <c r="AJ165" s="47"/>
      <c r="AK165" s="48"/>
      <c r="AL165" s="49"/>
      <c r="AM165" s="45"/>
      <c r="AN165" s="45"/>
      <c r="AO165" s="45"/>
      <c r="AP165" s="44"/>
      <c r="AQ165" s="45"/>
      <c r="AR165" s="46"/>
      <c r="AS165" s="45"/>
      <c r="AT165" s="45"/>
      <c r="AU165" s="45"/>
      <c r="AV165" s="44"/>
      <c r="AW165" s="45"/>
      <c r="AX165" s="46"/>
      <c r="AY165" s="44"/>
      <c r="AZ165" s="45"/>
      <c r="BA165" s="46"/>
      <c r="BB165" s="44"/>
      <c r="BC165" s="50"/>
      <c r="BD165" s="51"/>
      <c r="BE165" s="45"/>
      <c r="BF165" s="50"/>
      <c r="BG165" s="50"/>
      <c r="BH165" s="44"/>
      <c r="BI165" s="45"/>
      <c r="BJ165" s="46"/>
      <c r="BK165" s="45"/>
      <c r="BL165" s="45"/>
      <c r="BM165" s="45"/>
      <c r="BN165" s="52"/>
      <c r="BO165" s="50"/>
      <c r="BP165" s="51"/>
      <c r="BQ165" s="45"/>
      <c r="BR165" s="45"/>
      <c r="BS165" s="45"/>
      <c r="BT165" s="44"/>
      <c r="BU165" s="45"/>
      <c r="BV165" s="46"/>
      <c r="BW165" s="44"/>
      <c r="BX165" s="50"/>
      <c r="BY165" s="51"/>
      <c r="BZ165" s="44"/>
      <c r="CA165" s="45"/>
      <c r="CB165" s="46"/>
      <c r="CC165" s="44"/>
      <c r="CD165" s="45"/>
      <c r="CE165" s="46"/>
      <c r="CF165" s="44"/>
      <c r="CG165" s="45"/>
      <c r="CH165" s="46"/>
      <c r="CI165" s="44"/>
      <c r="CJ165" s="45"/>
      <c r="CK165" s="46"/>
      <c r="CL165" s="44"/>
    </row>
    <row r="166" spans="1:95">
      <c r="A166" s="223">
        <v>45453</v>
      </c>
      <c r="B166" s="90" t="s">
        <v>96</v>
      </c>
      <c r="C166" s="44">
        <v>158.01</v>
      </c>
      <c r="D166" s="45">
        <v>156.01</v>
      </c>
      <c r="E166" s="46">
        <v>157.01</v>
      </c>
      <c r="F166" s="44">
        <v>170.73</v>
      </c>
      <c r="G166" s="45">
        <v>167.73</v>
      </c>
      <c r="H166" s="46">
        <v>169.23</v>
      </c>
      <c r="I166" s="44">
        <v>115.66</v>
      </c>
      <c r="J166" s="45">
        <v>112.46</v>
      </c>
      <c r="K166" s="46">
        <v>114.06</v>
      </c>
      <c r="L166" s="45">
        <v>203.72</v>
      </c>
      <c r="M166" s="45">
        <v>195.72</v>
      </c>
      <c r="N166" s="45">
        <v>199.72</v>
      </c>
      <c r="O166" s="44">
        <v>175.96</v>
      </c>
      <c r="P166" s="45">
        <v>174.16</v>
      </c>
      <c r="Q166" s="46">
        <v>175.06</v>
      </c>
      <c r="R166" s="45">
        <v>22.98</v>
      </c>
      <c r="S166" s="45">
        <v>22.38</v>
      </c>
      <c r="T166" s="45">
        <v>22.68</v>
      </c>
      <c r="U166" s="44">
        <v>14.93</v>
      </c>
      <c r="V166" s="45">
        <v>14.33</v>
      </c>
      <c r="W166" s="46">
        <v>14.629999999999999</v>
      </c>
      <c r="X166" s="44">
        <v>15.27</v>
      </c>
      <c r="Y166" s="45">
        <v>14.469999999999999</v>
      </c>
      <c r="Z166" s="46">
        <v>14.87</v>
      </c>
      <c r="AA166" s="44">
        <v>105.23</v>
      </c>
      <c r="AB166" s="45">
        <v>101.23</v>
      </c>
      <c r="AC166" s="46">
        <v>103.23</v>
      </c>
      <c r="AD166" s="44">
        <v>97.79</v>
      </c>
      <c r="AE166" s="45">
        <v>93.79</v>
      </c>
      <c r="AF166" s="46">
        <v>95.79</v>
      </c>
      <c r="AG166" s="45">
        <v>20.53</v>
      </c>
      <c r="AH166" s="45">
        <v>19.670000000000002</v>
      </c>
      <c r="AI166" s="45">
        <v>20.100000000000001</v>
      </c>
      <c r="AJ166" s="47"/>
      <c r="AK166" s="48"/>
      <c r="AL166" s="49"/>
      <c r="AM166" s="45">
        <v>116.89</v>
      </c>
      <c r="AN166" s="45">
        <v>115.23</v>
      </c>
      <c r="AO166" s="45">
        <v>116.06</v>
      </c>
      <c r="AP166" s="44">
        <v>42.73</v>
      </c>
      <c r="AQ166" s="45">
        <v>41.129999999999995</v>
      </c>
      <c r="AR166" s="46">
        <v>41.929999999999993</v>
      </c>
      <c r="AS166" s="45">
        <v>43.5</v>
      </c>
      <c r="AT166" s="45">
        <v>42.14</v>
      </c>
      <c r="AU166" s="45">
        <v>42.82</v>
      </c>
      <c r="AV166" s="44">
        <v>21.91</v>
      </c>
      <c r="AW166" s="45">
        <v>21.31</v>
      </c>
      <c r="AX166" s="46">
        <v>21.61</v>
      </c>
      <c r="AY166" s="44">
        <v>4.34</v>
      </c>
      <c r="AZ166" s="45">
        <v>4.18</v>
      </c>
      <c r="BA166" s="46">
        <v>4.26</v>
      </c>
      <c r="BB166" s="44">
        <v>2.04</v>
      </c>
      <c r="BC166" s="50">
        <v>1.74</v>
      </c>
      <c r="BD166" s="51">
        <v>1.8900000000000001</v>
      </c>
      <c r="BE166" s="45">
        <v>0.72</v>
      </c>
      <c r="BF166" s="50">
        <v>0.42</v>
      </c>
      <c r="BG166" s="50">
        <v>0.56999999999999995</v>
      </c>
      <c r="BH166" s="44">
        <v>519.27</v>
      </c>
      <c r="BI166" s="45">
        <v>503.27</v>
      </c>
      <c r="BJ166" s="46">
        <v>511.27</v>
      </c>
      <c r="BK166" s="45">
        <v>43.81</v>
      </c>
      <c r="BL166" s="45">
        <v>42.45</v>
      </c>
      <c r="BM166" s="45">
        <v>43.13</v>
      </c>
      <c r="BN166" s="52">
        <v>1.0900000000000001</v>
      </c>
      <c r="BO166" s="50">
        <v>0.85000000000000009</v>
      </c>
      <c r="BP166" s="51">
        <v>0.97000000000000008</v>
      </c>
      <c r="BQ166" s="45">
        <v>9.5399999999999991</v>
      </c>
      <c r="BR166" s="45">
        <v>7.5399999999999991</v>
      </c>
      <c r="BS166" s="45">
        <v>8.5399999999999991</v>
      </c>
      <c r="BT166" s="44">
        <v>11.59</v>
      </c>
      <c r="BU166" s="45">
        <v>11.19</v>
      </c>
      <c r="BV166" s="46">
        <v>11.39</v>
      </c>
      <c r="BW166" s="44">
        <v>2.84</v>
      </c>
      <c r="BX166" s="50">
        <v>2.5599999999999996</v>
      </c>
      <c r="BY166" s="51">
        <v>2.6999999999999997</v>
      </c>
      <c r="BZ166" s="44">
        <v>9.81</v>
      </c>
      <c r="CA166" s="45">
        <v>6.8100000000000005</v>
      </c>
      <c r="CB166" s="46">
        <v>8.31</v>
      </c>
      <c r="CC166" s="44">
        <v>6.99</v>
      </c>
      <c r="CD166" s="45">
        <v>6.75</v>
      </c>
      <c r="CE166" s="46">
        <v>6.87</v>
      </c>
      <c r="CF166" s="44">
        <v>2.02</v>
      </c>
      <c r="CG166" s="45">
        <v>1.52</v>
      </c>
      <c r="CH166" s="46">
        <v>1.77</v>
      </c>
      <c r="CI166" s="44">
        <v>0.45</v>
      </c>
      <c r="CJ166" s="45">
        <v>0.41000000000000003</v>
      </c>
      <c r="CK166" s="46">
        <v>0.43000000000000005</v>
      </c>
      <c r="CL166" s="44">
        <v>40.47</v>
      </c>
      <c r="CM166">
        <v>38.07</v>
      </c>
      <c r="CN166">
        <v>39.269999999999996</v>
      </c>
      <c r="CO166">
        <v>7.32</v>
      </c>
      <c r="CP166">
        <v>2.3200000000000003</v>
      </c>
      <c r="CQ166">
        <v>4.82</v>
      </c>
    </row>
    <row r="167" spans="1:95">
      <c r="A167" s="223">
        <v>45454</v>
      </c>
      <c r="B167" s="90" t="s">
        <v>97</v>
      </c>
      <c r="C167" s="44">
        <v>158.33000000000001</v>
      </c>
      <c r="D167" s="45">
        <v>156.33000000000001</v>
      </c>
      <c r="E167" s="46">
        <v>157.33000000000001</v>
      </c>
      <c r="F167" s="44">
        <v>170.83</v>
      </c>
      <c r="G167" s="45">
        <v>167.83</v>
      </c>
      <c r="H167" s="46">
        <v>169.33</v>
      </c>
      <c r="I167" s="44">
        <v>115.9</v>
      </c>
      <c r="J167" s="45">
        <v>112.7</v>
      </c>
      <c r="K167" s="46">
        <v>114.30000000000001</v>
      </c>
      <c r="L167" s="45">
        <v>204.27</v>
      </c>
      <c r="M167" s="45">
        <v>196.27</v>
      </c>
      <c r="N167" s="45">
        <v>200.27</v>
      </c>
      <c r="O167" s="44">
        <v>176.26</v>
      </c>
      <c r="P167" s="45">
        <v>174.45999999999998</v>
      </c>
      <c r="Q167" s="46">
        <v>175.35999999999999</v>
      </c>
      <c r="R167" s="45">
        <v>23</v>
      </c>
      <c r="S167" s="45">
        <v>22.4</v>
      </c>
      <c r="T167" s="45">
        <v>22.7</v>
      </c>
      <c r="U167" s="44">
        <v>15.08</v>
      </c>
      <c r="V167" s="45">
        <v>14.48</v>
      </c>
      <c r="W167" s="46">
        <v>14.780000000000001</v>
      </c>
      <c r="X167" s="44">
        <v>15.4</v>
      </c>
      <c r="Y167" s="45">
        <v>14.6</v>
      </c>
      <c r="Z167" s="46">
        <v>15</v>
      </c>
      <c r="AA167" s="44">
        <v>105.9</v>
      </c>
      <c r="AB167" s="45">
        <v>101.9</v>
      </c>
      <c r="AC167" s="46">
        <v>103.9</v>
      </c>
      <c r="AD167" s="44">
        <v>98.41</v>
      </c>
      <c r="AE167" s="45">
        <v>94.41</v>
      </c>
      <c r="AF167" s="46">
        <v>96.41</v>
      </c>
      <c r="AG167" s="45">
        <v>20.57</v>
      </c>
      <c r="AH167" s="45">
        <v>19.71</v>
      </c>
      <c r="AI167" s="45">
        <v>20.14</v>
      </c>
      <c r="AJ167" s="47"/>
      <c r="AK167" s="48"/>
      <c r="AL167" s="49"/>
      <c r="AM167" s="45">
        <v>117.1</v>
      </c>
      <c r="AN167" s="45">
        <v>115.44</v>
      </c>
      <c r="AO167" s="45">
        <v>116.27</v>
      </c>
      <c r="AP167" s="44">
        <v>42.82</v>
      </c>
      <c r="AQ167" s="45">
        <v>41.22</v>
      </c>
      <c r="AR167" s="46">
        <v>42.019999999999996</v>
      </c>
      <c r="AS167" s="45">
        <v>43.58</v>
      </c>
      <c r="AT167" s="45">
        <v>42.22</v>
      </c>
      <c r="AU167" s="45">
        <v>42.9</v>
      </c>
      <c r="AV167" s="44">
        <v>21.94</v>
      </c>
      <c r="AW167" s="45">
        <v>21.34</v>
      </c>
      <c r="AX167" s="46">
        <v>21.64</v>
      </c>
      <c r="AY167" s="44">
        <v>4.3600000000000003</v>
      </c>
      <c r="AZ167" s="45">
        <v>4.2</v>
      </c>
      <c r="BA167" s="46">
        <v>4.28</v>
      </c>
      <c r="BB167" s="44">
        <v>2.04</v>
      </c>
      <c r="BC167" s="50">
        <v>1.74</v>
      </c>
      <c r="BD167" s="51">
        <v>1.8900000000000001</v>
      </c>
      <c r="BE167" s="45">
        <v>0.72</v>
      </c>
      <c r="BF167" s="50">
        <v>0.42</v>
      </c>
      <c r="BG167" s="50">
        <v>0.56999999999999995</v>
      </c>
      <c r="BH167" s="44">
        <v>521.80999999999995</v>
      </c>
      <c r="BI167" s="45">
        <v>505.80999999999995</v>
      </c>
      <c r="BJ167" s="46">
        <v>513.80999999999995</v>
      </c>
      <c r="BK167" s="45">
        <v>43.91</v>
      </c>
      <c r="BL167" s="45">
        <v>42.55</v>
      </c>
      <c r="BM167" s="45">
        <v>43.23</v>
      </c>
      <c r="BN167" s="52">
        <v>1.0900000000000001</v>
      </c>
      <c r="BO167" s="50">
        <v>0.85000000000000009</v>
      </c>
      <c r="BP167" s="51">
        <v>0.97000000000000008</v>
      </c>
      <c r="BQ167" s="45">
        <v>9.5500000000000007</v>
      </c>
      <c r="BR167" s="45">
        <v>7.5500000000000007</v>
      </c>
      <c r="BS167" s="45">
        <v>8.5500000000000007</v>
      </c>
      <c r="BT167" s="44">
        <v>11.63</v>
      </c>
      <c r="BU167" s="45">
        <v>11.23</v>
      </c>
      <c r="BV167" s="46">
        <v>11.43</v>
      </c>
      <c r="BW167" s="44">
        <v>2.84</v>
      </c>
      <c r="BX167" s="50">
        <v>2.5599999999999996</v>
      </c>
      <c r="BY167" s="51">
        <v>2.6999999999999997</v>
      </c>
      <c r="BZ167" s="44">
        <v>9.89</v>
      </c>
      <c r="CA167" s="45">
        <v>6.8900000000000006</v>
      </c>
      <c r="CB167" s="46">
        <v>8.39</v>
      </c>
      <c r="CC167" s="44">
        <v>7</v>
      </c>
      <c r="CD167" s="45">
        <v>6.76</v>
      </c>
      <c r="CE167" s="46">
        <v>6.88</v>
      </c>
      <c r="CF167" s="44">
        <v>2.02</v>
      </c>
      <c r="CG167" s="45">
        <v>1.52</v>
      </c>
      <c r="CH167" s="46">
        <v>1.77</v>
      </c>
      <c r="CI167" s="44">
        <v>0.45</v>
      </c>
      <c r="CJ167" s="45">
        <v>0.41000000000000003</v>
      </c>
      <c r="CK167" s="46">
        <v>0.43000000000000005</v>
      </c>
      <c r="CL167" s="44">
        <v>40.380000000000003</v>
      </c>
      <c r="CM167">
        <v>37.980000000000004</v>
      </c>
      <c r="CN167">
        <v>39.180000000000007</v>
      </c>
      <c r="CO167">
        <v>7.37</v>
      </c>
      <c r="CP167">
        <v>2.37</v>
      </c>
      <c r="CQ167">
        <v>4.87</v>
      </c>
    </row>
    <row r="168" spans="1:95">
      <c r="A168" s="223">
        <v>45455</v>
      </c>
      <c r="B168" s="90" t="s">
        <v>98</v>
      </c>
      <c r="C168" s="92">
        <v>158.21</v>
      </c>
      <c r="D168" s="93">
        <v>156.21</v>
      </c>
      <c r="E168" s="94">
        <v>157.21</v>
      </c>
      <c r="F168" s="92">
        <v>170.28</v>
      </c>
      <c r="G168" s="93">
        <v>167.28</v>
      </c>
      <c r="H168" s="94">
        <v>168.78</v>
      </c>
      <c r="I168" s="92">
        <v>115.87</v>
      </c>
      <c r="J168" s="93">
        <v>112.67</v>
      </c>
      <c r="K168" s="94">
        <v>114.27000000000001</v>
      </c>
      <c r="L168" s="93">
        <v>204.19</v>
      </c>
      <c r="M168" s="93">
        <v>196.19</v>
      </c>
      <c r="N168" s="93">
        <v>200.19</v>
      </c>
      <c r="O168" s="92">
        <v>175.89</v>
      </c>
      <c r="P168" s="93">
        <v>174.08999999999997</v>
      </c>
      <c r="Q168" s="94">
        <v>174.98999999999998</v>
      </c>
      <c r="R168" s="93">
        <v>22.93</v>
      </c>
      <c r="S168" s="93">
        <v>22.33</v>
      </c>
      <c r="T168" s="93">
        <v>22.63</v>
      </c>
      <c r="U168" s="92">
        <v>14.98</v>
      </c>
      <c r="V168" s="93">
        <v>14.38</v>
      </c>
      <c r="W168" s="94">
        <v>14.68</v>
      </c>
      <c r="X168" s="92">
        <v>15.39</v>
      </c>
      <c r="Y168" s="93">
        <v>14.59</v>
      </c>
      <c r="Z168" s="94">
        <v>14.99</v>
      </c>
      <c r="AA168" s="92">
        <v>105.71</v>
      </c>
      <c r="AB168" s="93">
        <v>101.71</v>
      </c>
      <c r="AC168" s="94">
        <v>103.71</v>
      </c>
      <c r="AD168" s="92">
        <v>98.45</v>
      </c>
      <c r="AE168" s="93">
        <v>94.45</v>
      </c>
      <c r="AF168" s="94">
        <v>96.45</v>
      </c>
      <c r="AG168" s="93">
        <v>20.56</v>
      </c>
      <c r="AH168" s="93">
        <v>19.7</v>
      </c>
      <c r="AI168" s="93">
        <v>20.13</v>
      </c>
      <c r="AJ168" s="95"/>
      <c r="AK168" s="96"/>
      <c r="AL168" s="97"/>
      <c r="AM168" s="93">
        <v>117.01</v>
      </c>
      <c r="AN168" s="93">
        <v>115.35000000000001</v>
      </c>
      <c r="AO168" s="93">
        <v>116.18</v>
      </c>
      <c r="AP168" s="92">
        <v>42.79</v>
      </c>
      <c r="AQ168" s="93">
        <v>41.19</v>
      </c>
      <c r="AR168" s="94">
        <v>41.989999999999995</v>
      </c>
      <c r="AS168" s="93">
        <v>43.55</v>
      </c>
      <c r="AT168" s="93">
        <v>42.19</v>
      </c>
      <c r="AU168" s="93">
        <v>42.87</v>
      </c>
      <c r="AV168" s="92">
        <v>21.91</v>
      </c>
      <c r="AW168" s="93">
        <v>21.31</v>
      </c>
      <c r="AX168" s="94">
        <v>21.61</v>
      </c>
      <c r="AY168" s="92">
        <v>4.3600000000000003</v>
      </c>
      <c r="AZ168" s="93">
        <v>4.2</v>
      </c>
      <c r="BA168" s="94">
        <v>4.28</v>
      </c>
      <c r="BB168" s="92">
        <v>2.04</v>
      </c>
      <c r="BC168" s="98">
        <v>1.74</v>
      </c>
      <c r="BD168" s="99">
        <v>1.8900000000000001</v>
      </c>
      <c r="BE168" s="93">
        <v>0.72</v>
      </c>
      <c r="BF168" s="98">
        <v>0.42</v>
      </c>
      <c r="BG168" s="98">
        <v>0.56999999999999995</v>
      </c>
      <c r="BH168" s="92">
        <v>521.59</v>
      </c>
      <c r="BI168" s="93">
        <v>505.59000000000003</v>
      </c>
      <c r="BJ168" s="94">
        <v>513.59</v>
      </c>
      <c r="BK168" s="93">
        <v>43.88</v>
      </c>
      <c r="BL168" s="93">
        <v>42.52</v>
      </c>
      <c r="BM168" s="93">
        <v>43.2</v>
      </c>
      <c r="BN168" s="100">
        <v>1.0900000000000001</v>
      </c>
      <c r="BO168" s="98">
        <v>0.85000000000000009</v>
      </c>
      <c r="BP168" s="99">
        <v>0.97000000000000008</v>
      </c>
      <c r="BQ168" s="93">
        <v>9.4600000000000009</v>
      </c>
      <c r="BR168" s="93">
        <v>7.4600000000000009</v>
      </c>
      <c r="BS168" s="93">
        <v>8.4600000000000009</v>
      </c>
      <c r="BT168" s="92">
        <v>11.61</v>
      </c>
      <c r="BU168" s="93">
        <v>11.209999999999999</v>
      </c>
      <c r="BV168" s="94">
        <v>11.41</v>
      </c>
      <c r="BW168" s="92">
        <v>2.84</v>
      </c>
      <c r="BX168" s="98">
        <v>2.5599999999999996</v>
      </c>
      <c r="BY168" s="99">
        <v>2.6999999999999997</v>
      </c>
      <c r="BZ168" s="92">
        <v>9.9600000000000009</v>
      </c>
      <c r="CA168" s="93">
        <v>6.9600000000000009</v>
      </c>
      <c r="CB168" s="94">
        <v>8.4600000000000009</v>
      </c>
      <c r="CC168" s="92">
        <v>6.95</v>
      </c>
      <c r="CD168" s="93">
        <v>6.71</v>
      </c>
      <c r="CE168" s="94">
        <v>6.83</v>
      </c>
      <c r="CF168" s="92">
        <v>2.0099999999999998</v>
      </c>
      <c r="CG168" s="93">
        <v>1.5099999999999998</v>
      </c>
      <c r="CH168" s="94">
        <v>1.7599999999999998</v>
      </c>
      <c r="CI168" s="92">
        <v>0.45</v>
      </c>
      <c r="CJ168" s="93">
        <v>0.41000000000000003</v>
      </c>
      <c r="CK168" s="94">
        <v>0.43000000000000005</v>
      </c>
      <c r="CL168" s="92">
        <v>40.11</v>
      </c>
      <c r="CM168">
        <v>37.71</v>
      </c>
      <c r="CN168">
        <v>38.909999999999997</v>
      </c>
      <c r="CO168">
        <v>7.37</v>
      </c>
      <c r="CP168">
        <v>2.37</v>
      </c>
      <c r="CQ168">
        <v>4.87</v>
      </c>
    </row>
    <row r="169" spans="1:95">
      <c r="A169" s="223">
        <v>45456</v>
      </c>
      <c r="B169" s="90" t="s">
        <v>99</v>
      </c>
      <c r="C169" s="92">
        <v>157.88999999999999</v>
      </c>
      <c r="D169" s="93">
        <v>155.88999999999999</v>
      </c>
      <c r="E169" s="94">
        <v>156.88999999999999</v>
      </c>
      <c r="F169" s="92">
        <v>171.11</v>
      </c>
      <c r="G169" s="93">
        <v>168.11</v>
      </c>
      <c r="H169" s="94">
        <v>169.61</v>
      </c>
      <c r="I169" s="92">
        <v>115.88</v>
      </c>
      <c r="J169" s="93">
        <v>112.67999999999999</v>
      </c>
      <c r="K169" s="94">
        <v>114.28</v>
      </c>
      <c r="L169" s="93">
        <v>204.74</v>
      </c>
      <c r="M169" s="93">
        <v>196.74</v>
      </c>
      <c r="N169" s="93">
        <v>200.74</v>
      </c>
      <c r="O169" s="92">
        <v>176.31</v>
      </c>
      <c r="P169" s="93">
        <v>174.51</v>
      </c>
      <c r="Q169" s="94">
        <v>175.41</v>
      </c>
      <c r="R169" s="93">
        <v>23.04</v>
      </c>
      <c r="S169" s="93">
        <v>22.439999999999998</v>
      </c>
      <c r="T169" s="93">
        <v>22.74</v>
      </c>
      <c r="U169" s="92">
        <v>15.13</v>
      </c>
      <c r="V169" s="93">
        <v>14.530000000000001</v>
      </c>
      <c r="W169" s="94">
        <v>14.830000000000002</v>
      </c>
      <c r="X169" s="92">
        <v>15.51</v>
      </c>
      <c r="Y169" s="93">
        <v>14.709999999999999</v>
      </c>
      <c r="Z169" s="94">
        <v>15.11</v>
      </c>
      <c r="AA169" s="92">
        <v>106.43</v>
      </c>
      <c r="AB169" s="93">
        <v>102.43</v>
      </c>
      <c r="AC169" s="94">
        <v>104.43</v>
      </c>
      <c r="AD169" s="92">
        <v>98.97</v>
      </c>
      <c r="AE169" s="93">
        <v>94.97</v>
      </c>
      <c r="AF169" s="94">
        <v>96.97</v>
      </c>
      <c r="AG169" s="93">
        <v>20.52</v>
      </c>
      <c r="AH169" s="93">
        <v>19.66</v>
      </c>
      <c r="AI169" s="93">
        <v>20.09</v>
      </c>
      <c r="AJ169" s="95"/>
      <c r="AK169" s="96"/>
      <c r="AL169" s="97"/>
      <c r="AM169" s="93">
        <v>117.16</v>
      </c>
      <c r="AN169" s="93">
        <v>115.5</v>
      </c>
      <c r="AO169" s="93">
        <v>116.33</v>
      </c>
      <c r="AP169" s="92">
        <v>42.69</v>
      </c>
      <c r="AQ169" s="93">
        <v>41.089999999999996</v>
      </c>
      <c r="AR169" s="94">
        <v>41.89</v>
      </c>
      <c r="AS169" s="93">
        <v>43.46</v>
      </c>
      <c r="AT169" s="93">
        <v>42.1</v>
      </c>
      <c r="AU169" s="93">
        <v>42.78</v>
      </c>
      <c r="AV169" s="92">
        <v>21.9</v>
      </c>
      <c r="AW169" s="93">
        <v>21.299999999999997</v>
      </c>
      <c r="AX169" s="94">
        <v>21.599999999999998</v>
      </c>
      <c r="AY169" s="92">
        <v>4.37</v>
      </c>
      <c r="AZ169" s="93">
        <v>4.21</v>
      </c>
      <c r="BA169" s="94">
        <v>4.29</v>
      </c>
      <c r="BB169" s="92">
        <v>2.04</v>
      </c>
      <c r="BC169" s="98">
        <v>1.74</v>
      </c>
      <c r="BD169" s="99">
        <v>1.8900000000000001</v>
      </c>
      <c r="BE169" s="93">
        <v>0.72</v>
      </c>
      <c r="BF169" s="98">
        <v>0.42</v>
      </c>
      <c r="BG169" s="98">
        <v>0.56999999999999995</v>
      </c>
      <c r="BH169" s="92">
        <v>521.04999999999995</v>
      </c>
      <c r="BI169" s="93">
        <v>505.04999999999995</v>
      </c>
      <c r="BJ169" s="94">
        <v>513.04999999999995</v>
      </c>
      <c r="BK169" s="93">
        <v>43.79</v>
      </c>
      <c r="BL169" s="93">
        <v>42.43</v>
      </c>
      <c r="BM169" s="93">
        <v>43.11</v>
      </c>
      <c r="BN169" s="100">
        <v>1.0900000000000001</v>
      </c>
      <c r="BO169" s="98">
        <v>0.85000000000000009</v>
      </c>
      <c r="BP169" s="99">
        <v>0.97000000000000008</v>
      </c>
      <c r="BQ169" s="93">
        <v>9.34</v>
      </c>
      <c r="BR169" s="93">
        <v>7.34</v>
      </c>
      <c r="BS169" s="93">
        <v>8.34</v>
      </c>
      <c r="BT169" s="92">
        <v>11.68</v>
      </c>
      <c r="BU169" s="93">
        <v>11.28</v>
      </c>
      <c r="BV169" s="94">
        <v>11.48</v>
      </c>
      <c r="BW169" s="92">
        <v>2.83</v>
      </c>
      <c r="BX169" s="98">
        <v>2.5499999999999998</v>
      </c>
      <c r="BY169" s="99">
        <v>2.69</v>
      </c>
      <c r="BZ169" s="92">
        <v>10.039999999999999</v>
      </c>
      <c r="CA169" s="93">
        <v>7.0399999999999991</v>
      </c>
      <c r="CB169" s="94">
        <v>8.5399999999999991</v>
      </c>
      <c r="CC169" s="92">
        <v>7</v>
      </c>
      <c r="CD169" s="93">
        <v>6.76</v>
      </c>
      <c r="CE169" s="94">
        <v>6.88</v>
      </c>
      <c r="CF169" s="92">
        <v>2.0099999999999998</v>
      </c>
      <c r="CG169" s="93">
        <v>1.5099999999999998</v>
      </c>
      <c r="CH169" s="94">
        <v>1.7599999999999998</v>
      </c>
      <c r="CI169" s="92">
        <v>0.45</v>
      </c>
      <c r="CJ169" s="93">
        <v>0.41000000000000003</v>
      </c>
      <c r="CK169" s="94">
        <v>0.43000000000000005</v>
      </c>
      <c r="CL169" s="92">
        <v>40.380000000000003</v>
      </c>
      <c r="CM169">
        <v>37.980000000000004</v>
      </c>
      <c r="CN169">
        <v>39.180000000000007</v>
      </c>
      <c r="CO169">
        <v>7.37</v>
      </c>
      <c r="CP169">
        <v>2.37</v>
      </c>
      <c r="CQ169">
        <v>4.87</v>
      </c>
    </row>
    <row r="170" spans="1:95">
      <c r="A170" s="223">
        <v>45457</v>
      </c>
      <c r="B170" s="90" t="s">
        <v>100</v>
      </c>
      <c r="C170" s="92">
        <v>158.31</v>
      </c>
      <c r="D170" s="93">
        <v>156.31</v>
      </c>
      <c r="E170" s="94">
        <v>157.31</v>
      </c>
      <c r="F170" s="92">
        <v>170.44</v>
      </c>
      <c r="G170" s="93">
        <v>167.44</v>
      </c>
      <c r="H170" s="94">
        <v>168.94</v>
      </c>
      <c r="I170" s="92">
        <v>116.03</v>
      </c>
      <c r="J170" s="93">
        <v>112.83</v>
      </c>
      <c r="K170" s="94">
        <v>114.43</v>
      </c>
      <c r="L170" s="93">
        <v>204.62</v>
      </c>
      <c r="M170" s="93">
        <v>196.62</v>
      </c>
      <c r="N170" s="93">
        <v>200.62</v>
      </c>
      <c r="O170" s="92">
        <v>176.8</v>
      </c>
      <c r="P170" s="93">
        <v>175</v>
      </c>
      <c r="Q170" s="94">
        <v>175.9</v>
      </c>
      <c r="R170" s="93">
        <v>22.95</v>
      </c>
      <c r="S170" s="93">
        <v>22.349999999999998</v>
      </c>
      <c r="T170" s="93">
        <v>22.65</v>
      </c>
      <c r="U170" s="92">
        <v>15.06</v>
      </c>
      <c r="V170" s="93">
        <v>14.46</v>
      </c>
      <c r="W170" s="94">
        <v>14.760000000000002</v>
      </c>
      <c r="X170" s="92">
        <v>15.4</v>
      </c>
      <c r="Y170" s="93">
        <v>14.6</v>
      </c>
      <c r="Z170" s="94">
        <v>15</v>
      </c>
      <c r="AA170" s="92">
        <v>106.17</v>
      </c>
      <c r="AB170" s="93">
        <v>102.17</v>
      </c>
      <c r="AC170" s="94">
        <v>104.17</v>
      </c>
      <c r="AD170" s="92">
        <v>98.76</v>
      </c>
      <c r="AE170" s="93">
        <v>94.76</v>
      </c>
      <c r="AF170" s="94">
        <v>96.76</v>
      </c>
      <c r="AG170" s="93">
        <v>20.57</v>
      </c>
      <c r="AH170" s="93">
        <v>19.71</v>
      </c>
      <c r="AI170" s="93">
        <v>20.14</v>
      </c>
      <c r="AJ170" s="95"/>
      <c r="AK170" s="96"/>
      <c r="AL170" s="97"/>
      <c r="AM170" s="93">
        <v>117.24</v>
      </c>
      <c r="AN170" s="93">
        <v>115.58</v>
      </c>
      <c r="AO170" s="93">
        <v>116.41</v>
      </c>
      <c r="AP170" s="92">
        <v>42.82</v>
      </c>
      <c r="AQ170" s="93">
        <v>41.22</v>
      </c>
      <c r="AR170" s="94">
        <v>42.019999999999996</v>
      </c>
      <c r="AS170" s="93">
        <v>43.58</v>
      </c>
      <c r="AT170" s="93">
        <v>42.22</v>
      </c>
      <c r="AU170" s="93">
        <v>42.9</v>
      </c>
      <c r="AV170" s="92">
        <v>21.93</v>
      </c>
      <c r="AW170" s="93">
        <v>21.33</v>
      </c>
      <c r="AX170" s="94">
        <v>21.63</v>
      </c>
      <c r="AY170" s="92">
        <v>4.3600000000000003</v>
      </c>
      <c r="AZ170" s="93">
        <v>4.2</v>
      </c>
      <c r="BA170" s="94">
        <v>4.28</v>
      </c>
      <c r="BB170" s="92">
        <v>2.04</v>
      </c>
      <c r="BC170" s="98">
        <v>1.74</v>
      </c>
      <c r="BD170" s="99">
        <v>1.8900000000000001</v>
      </c>
      <c r="BE170" s="93">
        <v>0.72</v>
      </c>
      <c r="BF170" s="98">
        <v>0.42</v>
      </c>
      <c r="BG170" s="98">
        <v>0.56999999999999995</v>
      </c>
      <c r="BH170" s="92">
        <v>522.25</v>
      </c>
      <c r="BI170" s="93">
        <v>506.25</v>
      </c>
      <c r="BJ170" s="94">
        <v>514.25</v>
      </c>
      <c r="BK170" s="93">
        <v>43.91</v>
      </c>
      <c r="BL170" s="93">
        <v>42.55</v>
      </c>
      <c r="BM170" s="93">
        <v>43.23</v>
      </c>
      <c r="BN170" s="100">
        <v>1.0900000000000001</v>
      </c>
      <c r="BO170" s="98">
        <v>0.85000000000000009</v>
      </c>
      <c r="BP170" s="99">
        <v>0.97000000000000008</v>
      </c>
      <c r="BQ170" s="93">
        <v>9.5299999999999994</v>
      </c>
      <c r="BR170" s="93">
        <v>7.5299999999999994</v>
      </c>
      <c r="BS170" s="93">
        <v>8.5299999999999994</v>
      </c>
      <c r="BT170" s="92">
        <v>11.64</v>
      </c>
      <c r="BU170" s="93">
        <v>11.24</v>
      </c>
      <c r="BV170" s="94">
        <v>11.440000000000001</v>
      </c>
      <c r="BW170" s="92">
        <v>2.85</v>
      </c>
      <c r="BX170" s="98">
        <v>2.5700000000000003</v>
      </c>
      <c r="BY170" s="99">
        <v>2.71</v>
      </c>
      <c r="BZ170" s="92">
        <v>10.02</v>
      </c>
      <c r="CA170" s="93">
        <v>7.02</v>
      </c>
      <c r="CB170" s="94">
        <v>8.52</v>
      </c>
      <c r="CC170" s="92">
        <v>6.96</v>
      </c>
      <c r="CD170" s="93">
        <v>6.72</v>
      </c>
      <c r="CE170" s="94">
        <v>6.84</v>
      </c>
      <c r="CF170" s="92">
        <v>2.0499999999999998</v>
      </c>
      <c r="CG170" s="93">
        <v>1.5499999999999998</v>
      </c>
      <c r="CH170" s="94">
        <v>1.7999999999999998</v>
      </c>
      <c r="CI170" s="92">
        <v>0.45</v>
      </c>
      <c r="CJ170" s="93">
        <v>0.41000000000000003</v>
      </c>
      <c r="CK170" s="94">
        <v>0.43000000000000005</v>
      </c>
      <c r="CL170" s="92">
        <v>40.090000000000003</v>
      </c>
      <c r="CM170">
        <v>37.690000000000005</v>
      </c>
      <c r="CN170">
        <v>38.89</v>
      </c>
      <c r="CO170">
        <v>7.38</v>
      </c>
      <c r="CP170">
        <v>2.38</v>
      </c>
      <c r="CQ170">
        <v>4.88</v>
      </c>
    </row>
    <row r="171" spans="1:95">
      <c r="A171" s="223">
        <v>45458</v>
      </c>
      <c r="B171" s="90" t="s">
        <v>307</v>
      </c>
      <c r="C171" s="92"/>
      <c r="D171" s="93"/>
      <c r="E171" s="94"/>
      <c r="F171" s="92"/>
      <c r="G171" s="93"/>
      <c r="H171" s="94"/>
      <c r="I171" s="92"/>
      <c r="J171" s="93"/>
      <c r="K171" s="94"/>
      <c r="L171" s="93"/>
      <c r="M171" s="93"/>
      <c r="N171" s="93"/>
      <c r="O171" s="92"/>
      <c r="P171" s="93"/>
      <c r="Q171" s="94"/>
      <c r="R171" s="93"/>
      <c r="S171" s="93"/>
      <c r="T171" s="93"/>
      <c r="U171" s="92"/>
      <c r="V171" s="93"/>
      <c r="W171" s="94"/>
      <c r="X171" s="92"/>
      <c r="Y171" s="93"/>
      <c r="Z171" s="94"/>
      <c r="AA171" s="92"/>
      <c r="AB171" s="93"/>
      <c r="AC171" s="94"/>
      <c r="AD171" s="92"/>
      <c r="AE171" s="93"/>
      <c r="AF171" s="94"/>
      <c r="AG171" s="93"/>
      <c r="AH171" s="93"/>
      <c r="AI171" s="93"/>
      <c r="AJ171" s="95"/>
      <c r="AK171" s="96"/>
      <c r="AL171" s="97"/>
      <c r="AM171" s="93"/>
      <c r="AN171" s="93"/>
      <c r="AO171" s="93"/>
      <c r="AP171" s="92"/>
      <c r="AQ171" s="93"/>
      <c r="AR171" s="94"/>
      <c r="AS171" s="93"/>
      <c r="AT171" s="93"/>
      <c r="AU171" s="93"/>
      <c r="AV171" s="92"/>
      <c r="AW171" s="93"/>
      <c r="AX171" s="94"/>
      <c r="AY171" s="92"/>
      <c r="AZ171" s="93"/>
      <c r="BA171" s="94"/>
      <c r="BB171" s="92"/>
      <c r="BC171" s="98"/>
      <c r="BD171" s="99"/>
      <c r="BE171" s="93"/>
      <c r="BF171" s="98"/>
      <c r="BG171" s="98"/>
      <c r="BH171" s="92"/>
      <c r="BI171" s="93"/>
      <c r="BJ171" s="94"/>
      <c r="BK171" s="93"/>
      <c r="BL171" s="93"/>
      <c r="BM171" s="93"/>
      <c r="BN171" s="100"/>
      <c r="BO171" s="98"/>
      <c r="BP171" s="99"/>
      <c r="BQ171" s="93"/>
      <c r="BR171" s="93"/>
      <c r="BS171" s="93"/>
      <c r="BT171" s="92"/>
      <c r="BU171" s="93"/>
      <c r="BV171" s="94"/>
      <c r="BW171" s="92"/>
      <c r="BX171" s="98"/>
      <c r="BY171" s="99"/>
      <c r="BZ171" s="92"/>
      <c r="CA171" s="93"/>
      <c r="CB171" s="94"/>
      <c r="CC171" s="92"/>
      <c r="CD171" s="93"/>
      <c r="CE171" s="94"/>
      <c r="CF171" s="92"/>
      <c r="CG171" s="93"/>
      <c r="CH171" s="94"/>
      <c r="CI171" s="92"/>
      <c r="CJ171" s="93"/>
      <c r="CK171" s="94"/>
      <c r="CL171" s="92"/>
    </row>
    <row r="172" spans="1:95">
      <c r="A172" s="223">
        <v>45459</v>
      </c>
      <c r="B172" s="90" t="s">
        <v>308</v>
      </c>
      <c r="C172" s="92"/>
      <c r="D172" s="93"/>
      <c r="E172" s="94"/>
      <c r="F172" s="92"/>
      <c r="G172" s="93"/>
      <c r="H172" s="94"/>
      <c r="I172" s="92"/>
      <c r="J172" s="93"/>
      <c r="K172" s="94"/>
      <c r="L172" s="93"/>
      <c r="M172" s="93"/>
      <c r="N172" s="93"/>
      <c r="O172" s="92"/>
      <c r="P172" s="93"/>
      <c r="Q172" s="94"/>
      <c r="R172" s="93"/>
      <c r="S172" s="93"/>
      <c r="T172" s="93"/>
      <c r="U172" s="92"/>
      <c r="V172" s="93"/>
      <c r="W172" s="94"/>
      <c r="X172" s="92"/>
      <c r="Y172" s="93"/>
      <c r="Z172" s="94"/>
      <c r="AA172" s="92"/>
      <c r="AB172" s="93"/>
      <c r="AC172" s="94"/>
      <c r="AD172" s="92"/>
      <c r="AE172" s="93"/>
      <c r="AF172" s="94"/>
      <c r="AG172" s="93"/>
      <c r="AH172" s="93"/>
      <c r="AI172" s="93"/>
      <c r="AJ172" s="95"/>
      <c r="AK172" s="96"/>
      <c r="AL172" s="97"/>
      <c r="AM172" s="93"/>
      <c r="AN172" s="93"/>
      <c r="AO172" s="93"/>
      <c r="AP172" s="92"/>
      <c r="AQ172" s="93"/>
      <c r="AR172" s="94"/>
      <c r="AS172" s="93"/>
      <c r="AT172" s="93"/>
      <c r="AU172" s="93"/>
      <c r="AV172" s="92"/>
      <c r="AW172" s="93"/>
      <c r="AX172" s="94"/>
      <c r="AY172" s="92"/>
      <c r="AZ172" s="93"/>
      <c r="BA172" s="94"/>
      <c r="BB172" s="92"/>
      <c r="BC172" s="98"/>
      <c r="BD172" s="99"/>
      <c r="BE172" s="93"/>
      <c r="BF172" s="98"/>
      <c r="BG172" s="98"/>
      <c r="BH172" s="92"/>
      <c r="BI172" s="93"/>
      <c r="BJ172" s="94"/>
      <c r="BK172" s="93"/>
      <c r="BL172" s="93"/>
      <c r="BM172" s="93"/>
      <c r="BN172" s="100"/>
      <c r="BO172" s="98"/>
      <c r="BP172" s="99"/>
      <c r="BQ172" s="93"/>
      <c r="BR172" s="93"/>
      <c r="BS172" s="93"/>
      <c r="BT172" s="92"/>
      <c r="BU172" s="93"/>
      <c r="BV172" s="94"/>
      <c r="BW172" s="92"/>
      <c r="BX172" s="98"/>
      <c r="BY172" s="99"/>
      <c r="BZ172" s="92"/>
      <c r="CA172" s="93"/>
      <c r="CB172" s="94"/>
      <c r="CC172" s="92"/>
      <c r="CD172" s="93"/>
      <c r="CE172" s="94"/>
      <c r="CF172" s="92"/>
      <c r="CG172" s="93"/>
      <c r="CH172" s="94"/>
      <c r="CI172" s="92"/>
      <c r="CJ172" s="93"/>
      <c r="CK172" s="94"/>
      <c r="CL172" s="92"/>
    </row>
    <row r="173" spans="1:95">
      <c r="A173" s="223">
        <v>45460</v>
      </c>
      <c r="B173" s="90" t="s">
        <v>96</v>
      </c>
      <c r="C173" s="92">
        <v>158.53</v>
      </c>
      <c r="D173" s="93">
        <v>156.53</v>
      </c>
      <c r="E173" s="94">
        <v>157.53</v>
      </c>
      <c r="F173" s="92">
        <v>170.14</v>
      </c>
      <c r="G173" s="93">
        <v>167.14</v>
      </c>
      <c r="H173" s="94">
        <v>168.64</v>
      </c>
      <c r="I173" s="92">
        <v>116.29</v>
      </c>
      <c r="J173" s="93">
        <v>113.09</v>
      </c>
      <c r="K173" s="94">
        <v>114.69</v>
      </c>
      <c r="L173" s="93">
        <v>203.87</v>
      </c>
      <c r="M173" s="93">
        <v>195.87</v>
      </c>
      <c r="N173" s="93">
        <v>199.87</v>
      </c>
      <c r="O173" s="92">
        <v>177.74</v>
      </c>
      <c r="P173" s="93">
        <v>175.94</v>
      </c>
      <c r="Q173" s="94">
        <v>176.84</v>
      </c>
      <c r="R173" s="93">
        <v>22.9</v>
      </c>
      <c r="S173" s="93">
        <v>22.299999999999997</v>
      </c>
      <c r="T173" s="93">
        <v>22.599999999999998</v>
      </c>
      <c r="U173" s="92">
        <v>15.07</v>
      </c>
      <c r="V173" s="93">
        <v>14.47</v>
      </c>
      <c r="W173" s="94">
        <v>14.77</v>
      </c>
      <c r="X173" s="92">
        <v>15.37</v>
      </c>
      <c r="Y173" s="93">
        <v>14.569999999999999</v>
      </c>
      <c r="Z173" s="94">
        <v>14.969999999999999</v>
      </c>
      <c r="AA173" s="92">
        <v>106.17</v>
      </c>
      <c r="AB173" s="93">
        <v>102.17</v>
      </c>
      <c r="AC173" s="94">
        <v>104.17</v>
      </c>
      <c r="AD173" s="92">
        <v>98.66</v>
      </c>
      <c r="AE173" s="93">
        <v>94.66</v>
      </c>
      <c r="AF173" s="94">
        <v>96.66</v>
      </c>
      <c r="AG173" s="93">
        <v>20.59</v>
      </c>
      <c r="AH173" s="93">
        <v>19.73</v>
      </c>
      <c r="AI173" s="93">
        <v>20.16</v>
      </c>
      <c r="AJ173" s="95"/>
      <c r="AK173" s="96"/>
      <c r="AL173" s="97"/>
      <c r="AM173" s="93">
        <v>117.3</v>
      </c>
      <c r="AN173" s="93">
        <v>115.64</v>
      </c>
      <c r="AO173" s="93">
        <v>116.47</v>
      </c>
      <c r="AP173" s="92">
        <v>42.88</v>
      </c>
      <c r="AQ173" s="93">
        <v>41.28</v>
      </c>
      <c r="AR173" s="94">
        <v>42.08</v>
      </c>
      <c r="AS173" s="93">
        <v>43.64</v>
      </c>
      <c r="AT173" s="93">
        <v>42.28</v>
      </c>
      <c r="AU173" s="93">
        <v>42.96</v>
      </c>
      <c r="AV173" s="92">
        <v>21.96</v>
      </c>
      <c r="AW173" s="93">
        <v>21.36</v>
      </c>
      <c r="AX173" s="94">
        <v>21.66</v>
      </c>
      <c r="AY173" s="92">
        <v>4.38</v>
      </c>
      <c r="AZ173" s="93">
        <v>4.22</v>
      </c>
      <c r="BA173" s="94">
        <v>4.3</v>
      </c>
      <c r="BB173" s="92">
        <v>2.0499999999999998</v>
      </c>
      <c r="BC173" s="98">
        <v>1.7499999999999998</v>
      </c>
      <c r="BD173" s="99">
        <v>1.9</v>
      </c>
      <c r="BE173" s="93">
        <v>0.72</v>
      </c>
      <c r="BF173" s="98">
        <v>0.42</v>
      </c>
      <c r="BG173" s="98">
        <v>0.56999999999999995</v>
      </c>
      <c r="BH173" s="92">
        <v>522.47</v>
      </c>
      <c r="BI173" s="93">
        <v>506.47</v>
      </c>
      <c r="BJ173" s="94">
        <v>514.47</v>
      </c>
      <c r="BK173" s="93">
        <v>43.97</v>
      </c>
      <c r="BL173" s="93">
        <v>42.61</v>
      </c>
      <c r="BM173" s="93">
        <v>43.29</v>
      </c>
      <c r="BN173" s="100">
        <v>1.08</v>
      </c>
      <c r="BO173" s="98">
        <v>0.84000000000000008</v>
      </c>
      <c r="BP173" s="99">
        <v>0.96000000000000008</v>
      </c>
      <c r="BQ173" s="93">
        <v>9.51</v>
      </c>
      <c r="BR173" s="93">
        <v>7.51</v>
      </c>
      <c r="BS173" s="93">
        <v>8.51</v>
      </c>
      <c r="BT173" s="92">
        <v>11.63</v>
      </c>
      <c r="BU173" s="93">
        <v>11.23</v>
      </c>
      <c r="BV173" s="94">
        <v>11.43</v>
      </c>
      <c r="BW173" s="92">
        <v>2.84</v>
      </c>
      <c r="BX173" s="98">
        <v>2.5599999999999996</v>
      </c>
      <c r="BY173" s="99">
        <v>2.6999999999999997</v>
      </c>
      <c r="BZ173" s="92">
        <v>10.08</v>
      </c>
      <c r="CA173" s="93">
        <v>7.08</v>
      </c>
      <c r="CB173" s="94">
        <v>8.58</v>
      </c>
      <c r="CC173" s="92">
        <v>6.95</v>
      </c>
      <c r="CD173" s="93">
        <v>6.71</v>
      </c>
      <c r="CE173" s="94">
        <v>6.83</v>
      </c>
      <c r="CF173" s="92">
        <v>2.0099999999999998</v>
      </c>
      <c r="CG173" s="93">
        <v>1.5099999999999998</v>
      </c>
      <c r="CH173" s="94">
        <v>1.7599999999999998</v>
      </c>
      <c r="CI173" s="92">
        <v>0.44</v>
      </c>
      <c r="CJ173" s="93">
        <v>0.4</v>
      </c>
      <c r="CK173" s="94">
        <v>0.42000000000000004</v>
      </c>
      <c r="CL173" s="92">
        <v>39.74</v>
      </c>
      <c r="CM173">
        <v>37.340000000000003</v>
      </c>
      <c r="CN173">
        <v>38.540000000000006</v>
      </c>
      <c r="CO173">
        <v>7.34</v>
      </c>
      <c r="CP173">
        <v>2.34</v>
      </c>
      <c r="CQ173">
        <v>4.84</v>
      </c>
    </row>
    <row r="174" spans="1:95">
      <c r="A174" s="223">
        <v>45461</v>
      </c>
      <c r="B174" s="90" t="s">
        <v>97</v>
      </c>
      <c r="C174" s="92">
        <v>158.74</v>
      </c>
      <c r="D174" s="93">
        <v>156.74</v>
      </c>
      <c r="E174" s="94">
        <v>157.74</v>
      </c>
      <c r="F174" s="92">
        <v>170.83</v>
      </c>
      <c r="G174" s="93">
        <v>167.83</v>
      </c>
      <c r="H174" s="94">
        <v>169.33</v>
      </c>
      <c r="I174" s="92">
        <v>116.6</v>
      </c>
      <c r="J174" s="93">
        <v>113.39999999999999</v>
      </c>
      <c r="K174" s="94">
        <v>115</v>
      </c>
      <c r="L174" s="93">
        <v>204.52</v>
      </c>
      <c r="M174" s="93">
        <v>196.52</v>
      </c>
      <c r="N174" s="93">
        <v>200.52</v>
      </c>
      <c r="O174" s="92">
        <v>178.5</v>
      </c>
      <c r="P174" s="93">
        <v>176.7</v>
      </c>
      <c r="Q174" s="94">
        <v>177.6</v>
      </c>
      <c r="R174" s="93">
        <v>23</v>
      </c>
      <c r="S174" s="93">
        <v>22.4</v>
      </c>
      <c r="T174" s="93">
        <v>22.7</v>
      </c>
      <c r="U174" s="92">
        <v>15.09</v>
      </c>
      <c r="V174" s="93">
        <v>14.49</v>
      </c>
      <c r="W174" s="94">
        <v>14.79</v>
      </c>
      <c r="X174" s="92">
        <v>15.45</v>
      </c>
      <c r="Y174" s="93">
        <v>14.649999999999999</v>
      </c>
      <c r="Z174" s="94">
        <v>15.049999999999999</v>
      </c>
      <c r="AA174" s="92">
        <v>106.39</v>
      </c>
      <c r="AB174" s="93">
        <v>102.39</v>
      </c>
      <c r="AC174" s="94">
        <v>104.39</v>
      </c>
      <c r="AD174" s="92">
        <v>98.82</v>
      </c>
      <c r="AE174" s="93">
        <v>94.82</v>
      </c>
      <c r="AF174" s="94">
        <v>96.82</v>
      </c>
      <c r="AG174" s="93">
        <v>20.62</v>
      </c>
      <c r="AH174" s="93">
        <v>19.760000000000002</v>
      </c>
      <c r="AI174" s="93">
        <v>20.190000000000001</v>
      </c>
      <c r="AJ174" s="95"/>
      <c r="AK174" s="96"/>
      <c r="AL174" s="97"/>
      <c r="AM174" s="93">
        <v>117.49</v>
      </c>
      <c r="AN174" s="93">
        <v>115.83</v>
      </c>
      <c r="AO174" s="93">
        <v>116.66</v>
      </c>
      <c r="AP174" s="92">
        <v>42.91</v>
      </c>
      <c r="AQ174" s="93">
        <v>41.309999999999995</v>
      </c>
      <c r="AR174" s="94">
        <v>42.11</v>
      </c>
      <c r="AS174" s="93">
        <v>43.7</v>
      </c>
      <c r="AT174" s="93">
        <v>42.34</v>
      </c>
      <c r="AU174" s="93">
        <v>43.02</v>
      </c>
      <c r="AV174" s="92">
        <v>21.99</v>
      </c>
      <c r="AW174" s="93">
        <v>21.389999999999997</v>
      </c>
      <c r="AX174" s="94">
        <v>21.689999999999998</v>
      </c>
      <c r="AY174" s="92">
        <v>4.37</v>
      </c>
      <c r="AZ174" s="93">
        <v>4.21</v>
      </c>
      <c r="BA174" s="94">
        <v>4.29</v>
      </c>
      <c r="BB174" s="92">
        <v>2.0499999999999998</v>
      </c>
      <c r="BC174" s="98">
        <v>1.7499999999999998</v>
      </c>
      <c r="BD174" s="99">
        <v>1.9</v>
      </c>
      <c r="BE174" s="93">
        <v>0.72</v>
      </c>
      <c r="BF174" s="98">
        <v>0.42</v>
      </c>
      <c r="BG174" s="98">
        <v>0.56999999999999995</v>
      </c>
      <c r="BH174" s="92">
        <v>523.15</v>
      </c>
      <c r="BI174" s="93">
        <v>507.15</v>
      </c>
      <c r="BJ174" s="94">
        <v>515.15</v>
      </c>
      <c r="BK174" s="93">
        <v>44.03</v>
      </c>
      <c r="BL174" s="93">
        <v>42.67</v>
      </c>
      <c r="BM174" s="93">
        <v>43.35</v>
      </c>
      <c r="BN174" s="100">
        <v>1.0900000000000001</v>
      </c>
      <c r="BO174" s="98">
        <v>0.85000000000000009</v>
      </c>
      <c r="BP174" s="99">
        <v>0.97000000000000008</v>
      </c>
      <c r="BQ174" s="93">
        <v>9.51</v>
      </c>
      <c r="BR174" s="93">
        <v>7.51</v>
      </c>
      <c r="BS174" s="93">
        <v>8.51</v>
      </c>
      <c r="BT174" s="92">
        <v>11.64</v>
      </c>
      <c r="BU174" s="93">
        <v>11.24</v>
      </c>
      <c r="BV174" s="94">
        <v>11.440000000000001</v>
      </c>
      <c r="BW174" s="92">
        <v>2.85</v>
      </c>
      <c r="BX174" s="98">
        <v>2.5700000000000003</v>
      </c>
      <c r="BY174" s="99">
        <v>2.71</v>
      </c>
      <c r="BZ174" s="92">
        <v>10.15</v>
      </c>
      <c r="CA174" s="93">
        <v>7.15</v>
      </c>
      <c r="CB174" s="94">
        <v>8.65</v>
      </c>
      <c r="CC174" s="92">
        <v>6.98</v>
      </c>
      <c r="CD174" s="93">
        <v>6.74</v>
      </c>
      <c r="CE174" s="94">
        <v>6.86</v>
      </c>
      <c r="CF174" s="92">
        <v>2.0299999999999998</v>
      </c>
      <c r="CG174" s="93">
        <v>1.5299999999999998</v>
      </c>
      <c r="CH174" s="94">
        <v>1.7799999999999998</v>
      </c>
      <c r="CI174" s="92">
        <v>0.45</v>
      </c>
      <c r="CJ174" s="93">
        <v>0.41000000000000003</v>
      </c>
      <c r="CK174" s="94">
        <v>0.43000000000000005</v>
      </c>
      <c r="CL174" s="92">
        <v>40.18</v>
      </c>
      <c r="CM174">
        <v>37.78</v>
      </c>
      <c r="CN174">
        <v>38.980000000000004</v>
      </c>
      <c r="CO174">
        <v>7.31</v>
      </c>
      <c r="CP174">
        <v>2.3099999999999996</v>
      </c>
      <c r="CQ174">
        <v>4.8099999999999996</v>
      </c>
    </row>
    <row r="175" spans="1:95">
      <c r="A175" s="223">
        <v>45462</v>
      </c>
      <c r="B175" s="90" t="s">
        <v>98</v>
      </c>
      <c r="C175" s="92">
        <v>158.96</v>
      </c>
      <c r="D175" s="93">
        <v>156.96</v>
      </c>
      <c r="E175" s="94">
        <v>157.96</v>
      </c>
      <c r="F175" s="92">
        <v>171.09</v>
      </c>
      <c r="G175" s="93">
        <v>168.09</v>
      </c>
      <c r="H175" s="94">
        <v>169.59</v>
      </c>
      <c r="I175" s="92">
        <v>116.71</v>
      </c>
      <c r="J175" s="93">
        <v>113.50999999999999</v>
      </c>
      <c r="K175" s="94">
        <v>115.10999999999999</v>
      </c>
      <c r="L175" s="93">
        <v>204.67</v>
      </c>
      <c r="M175" s="93">
        <v>196.67</v>
      </c>
      <c r="N175" s="93">
        <v>200.67</v>
      </c>
      <c r="O175" s="92">
        <v>179.51</v>
      </c>
      <c r="P175" s="93">
        <v>177.70999999999998</v>
      </c>
      <c r="Q175" s="94">
        <v>178.60999999999999</v>
      </c>
      <c r="R175" s="93">
        <v>23.03</v>
      </c>
      <c r="S175" s="93">
        <v>22.43</v>
      </c>
      <c r="T175" s="93">
        <v>22.73</v>
      </c>
      <c r="U175" s="92">
        <v>15.22</v>
      </c>
      <c r="V175" s="93">
        <v>14.620000000000001</v>
      </c>
      <c r="W175" s="94">
        <v>14.920000000000002</v>
      </c>
      <c r="X175" s="92">
        <v>15.51</v>
      </c>
      <c r="Y175" s="93">
        <v>14.709999999999999</v>
      </c>
      <c r="Z175" s="94">
        <v>15.11</v>
      </c>
      <c r="AA175" s="92">
        <v>107.2</v>
      </c>
      <c r="AB175" s="93">
        <v>103.2</v>
      </c>
      <c r="AC175" s="94">
        <v>105.2</v>
      </c>
      <c r="AD175" s="92">
        <v>98.94</v>
      </c>
      <c r="AE175" s="93">
        <v>94.94</v>
      </c>
      <c r="AF175" s="94">
        <v>96.94</v>
      </c>
      <c r="AG175" s="93">
        <v>20.66</v>
      </c>
      <c r="AH175" s="93">
        <v>19.8</v>
      </c>
      <c r="AI175" s="93">
        <v>20.23</v>
      </c>
      <c r="AJ175" s="95"/>
      <c r="AK175" s="96"/>
      <c r="AL175" s="97"/>
      <c r="AM175" s="93">
        <v>117.69</v>
      </c>
      <c r="AN175" s="93">
        <v>116.03</v>
      </c>
      <c r="AO175" s="93">
        <v>116.86</v>
      </c>
      <c r="AP175" s="92">
        <v>42.97</v>
      </c>
      <c r="AQ175" s="93">
        <v>41.37</v>
      </c>
      <c r="AR175" s="94">
        <v>42.17</v>
      </c>
      <c r="AS175" s="93">
        <v>43.76</v>
      </c>
      <c r="AT175" s="93">
        <v>42.4</v>
      </c>
      <c r="AU175" s="93">
        <v>43.08</v>
      </c>
      <c r="AV175" s="92">
        <v>22.01</v>
      </c>
      <c r="AW175" s="93">
        <v>21.41</v>
      </c>
      <c r="AX175" s="94">
        <v>21.71</v>
      </c>
      <c r="AY175" s="92">
        <v>4.38</v>
      </c>
      <c r="AZ175" s="93">
        <v>4.22</v>
      </c>
      <c r="BA175" s="94">
        <v>4.3</v>
      </c>
      <c r="BB175" s="92">
        <v>2.0499999999999998</v>
      </c>
      <c r="BC175" s="98">
        <v>1.7499999999999998</v>
      </c>
      <c r="BD175" s="99">
        <v>1.9</v>
      </c>
      <c r="BE175" s="93">
        <v>0.72</v>
      </c>
      <c r="BF175" s="98">
        <v>0.42</v>
      </c>
      <c r="BG175" s="98">
        <v>0.56999999999999995</v>
      </c>
      <c r="BH175" s="92">
        <v>524.04</v>
      </c>
      <c r="BI175" s="93">
        <v>508.03999999999996</v>
      </c>
      <c r="BJ175" s="94">
        <v>516.04</v>
      </c>
      <c r="BK175" s="93">
        <v>44.09</v>
      </c>
      <c r="BL175" s="93">
        <v>42.730000000000004</v>
      </c>
      <c r="BM175" s="93">
        <v>43.410000000000004</v>
      </c>
      <c r="BN175" s="100">
        <v>1.0900000000000001</v>
      </c>
      <c r="BO175" s="98">
        <v>0.85000000000000009</v>
      </c>
      <c r="BP175" s="99">
        <v>0.97000000000000008</v>
      </c>
      <c r="BQ175" s="93">
        <v>9.58</v>
      </c>
      <c r="BR175" s="93">
        <v>7.58</v>
      </c>
      <c r="BS175" s="93">
        <v>8.58</v>
      </c>
      <c r="BT175" s="92">
        <v>11.65</v>
      </c>
      <c r="BU175" s="93">
        <v>11.25</v>
      </c>
      <c r="BV175" s="94">
        <v>11.45</v>
      </c>
      <c r="BW175" s="92">
        <v>2.85</v>
      </c>
      <c r="BX175" s="98">
        <v>2.5700000000000003</v>
      </c>
      <c r="BY175" s="99">
        <v>2.71</v>
      </c>
      <c r="BZ175" s="92">
        <v>10.25</v>
      </c>
      <c r="CA175" s="93">
        <v>7.25</v>
      </c>
      <c r="CB175" s="94">
        <v>8.75</v>
      </c>
      <c r="CC175" s="92">
        <v>6.95</v>
      </c>
      <c r="CD175" s="93">
        <v>6.71</v>
      </c>
      <c r="CE175" s="94">
        <v>6.83</v>
      </c>
      <c r="CF175" s="92">
        <v>2.1</v>
      </c>
      <c r="CG175" s="93">
        <v>1.6</v>
      </c>
      <c r="CH175" s="94">
        <v>1.85</v>
      </c>
      <c r="CI175" s="92">
        <v>0.45</v>
      </c>
      <c r="CJ175" s="93">
        <v>0.41000000000000003</v>
      </c>
      <c r="CK175" s="94">
        <v>0.43000000000000005</v>
      </c>
      <c r="CL175" s="92">
        <v>40.31</v>
      </c>
      <c r="CM175">
        <v>37.910000000000004</v>
      </c>
      <c r="CN175">
        <v>39.11</v>
      </c>
      <c r="CO175">
        <v>7.37</v>
      </c>
      <c r="CP175">
        <v>2.37</v>
      </c>
      <c r="CQ175">
        <v>4.87</v>
      </c>
    </row>
    <row r="176" spans="1:95">
      <c r="A176" s="223">
        <v>45463</v>
      </c>
      <c r="B176" s="90" t="s">
        <v>99</v>
      </c>
      <c r="C176" s="92">
        <v>159.16</v>
      </c>
      <c r="D176" s="93">
        <v>157.16</v>
      </c>
      <c r="E176" s="94">
        <v>158.16</v>
      </c>
      <c r="F176" s="92">
        <v>171.47</v>
      </c>
      <c r="G176" s="93">
        <v>168.47</v>
      </c>
      <c r="H176" s="94">
        <v>169.97</v>
      </c>
      <c r="I176" s="92">
        <v>116.94</v>
      </c>
      <c r="J176" s="93">
        <v>113.74</v>
      </c>
      <c r="K176" s="94">
        <v>115.34</v>
      </c>
      <c r="L176" s="93">
        <v>205.16</v>
      </c>
      <c r="M176" s="93">
        <v>197.16</v>
      </c>
      <c r="N176" s="93">
        <v>201.16</v>
      </c>
      <c r="O176" s="92">
        <v>179.75</v>
      </c>
      <c r="P176" s="93">
        <v>177.95</v>
      </c>
      <c r="Q176" s="94">
        <v>178.85</v>
      </c>
      <c r="R176" s="93">
        <v>23.09</v>
      </c>
      <c r="S176" s="93">
        <v>22.49</v>
      </c>
      <c r="T176" s="93">
        <v>22.79</v>
      </c>
      <c r="U176" s="92">
        <v>15.27</v>
      </c>
      <c r="V176" s="93">
        <v>14.67</v>
      </c>
      <c r="W176" s="94">
        <v>14.969999999999999</v>
      </c>
      <c r="X176" s="92">
        <v>15.53</v>
      </c>
      <c r="Y176" s="93">
        <v>14.729999999999999</v>
      </c>
      <c r="Z176" s="94">
        <v>15.129999999999999</v>
      </c>
      <c r="AA176" s="92">
        <v>107.56</v>
      </c>
      <c r="AB176" s="93">
        <v>103.56</v>
      </c>
      <c r="AC176" s="94">
        <v>105.56</v>
      </c>
      <c r="AD176" s="92">
        <v>99.02</v>
      </c>
      <c r="AE176" s="93">
        <v>95.02</v>
      </c>
      <c r="AF176" s="94">
        <v>97.02</v>
      </c>
      <c r="AG176" s="93">
        <v>20.69</v>
      </c>
      <c r="AH176" s="93">
        <v>19.830000000000002</v>
      </c>
      <c r="AI176" s="93">
        <v>20.260000000000002</v>
      </c>
      <c r="AJ176" s="95"/>
      <c r="AK176" s="96"/>
      <c r="AL176" s="97"/>
      <c r="AM176" s="93">
        <v>117.94</v>
      </c>
      <c r="AN176" s="93">
        <v>116.28</v>
      </c>
      <c r="AO176" s="93">
        <v>117.11</v>
      </c>
      <c r="AP176" s="92">
        <v>43.03</v>
      </c>
      <c r="AQ176" s="93">
        <v>41.43</v>
      </c>
      <c r="AR176" s="94">
        <v>42.230000000000004</v>
      </c>
      <c r="AS176" s="93">
        <v>43.81</v>
      </c>
      <c r="AT176" s="93">
        <v>42.45</v>
      </c>
      <c r="AU176" s="93">
        <v>43.13</v>
      </c>
      <c r="AV176" s="92">
        <v>22.02</v>
      </c>
      <c r="AW176" s="93">
        <v>21.419999999999998</v>
      </c>
      <c r="AX176" s="94">
        <v>21.72</v>
      </c>
      <c r="AY176" s="92">
        <v>4.4000000000000004</v>
      </c>
      <c r="AZ176" s="93">
        <v>4.24</v>
      </c>
      <c r="BA176" s="94">
        <v>4.32</v>
      </c>
      <c r="BB176" s="92">
        <v>2.06</v>
      </c>
      <c r="BC176" s="98">
        <v>1.76</v>
      </c>
      <c r="BD176" s="99">
        <v>1.9100000000000001</v>
      </c>
      <c r="BE176" s="93">
        <v>0.72</v>
      </c>
      <c r="BF176" s="98">
        <v>0.42</v>
      </c>
      <c r="BG176" s="98">
        <v>0.56999999999999995</v>
      </c>
      <c r="BH176" s="92">
        <v>524.86</v>
      </c>
      <c r="BI176" s="93">
        <v>508.86</v>
      </c>
      <c r="BJ176" s="94">
        <v>516.86</v>
      </c>
      <c r="BK176" s="93">
        <v>44.14</v>
      </c>
      <c r="BL176" s="93">
        <v>42.78</v>
      </c>
      <c r="BM176" s="93">
        <v>43.46</v>
      </c>
      <c r="BN176" s="100">
        <v>1.0900000000000001</v>
      </c>
      <c r="BO176" s="98">
        <v>0.85000000000000009</v>
      </c>
      <c r="BP176" s="99">
        <v>0.97000000000000008</v>
      </c>
      <c r="BQ176" s="93">
        <v>9.58</v>
      </c>
      <c r="BR176" s="93">
        <v>7.58</v>
      </c>
      <c r="BS176" s="93">
        <v>8.58</v>
      </c>
      <c r="BT176" s="92">
        <v>11.66</v>
      </c>
      <c r="BU176" s="93">
        <v>11.26</v>
      </c>
      <c r="BV176" s="94">
        <v>11.46</v>
      </c>
      <c r="BW176" s="92">
        <v>2.85</v>
      </c>
      <c r="BX176" s="98">
        <v>2.5700000000000003</v>
      </c>
      <c r="BY176" s="99">
        <v>2.71</v>
      </c>
      <c r="BZ176" s="92">
        <v>10.31</v>
      </c>
      <c r="CA176" s="93">
        <v>7.3100000000000005</v>
      </c>
      <c r="CB176" s="94">
        <v>8.81</v>
      </c>
      <c r="CC176" s="92">
        <v>6.95</v>
      </c>
      <c r="CD176" s="93">
        <v>6.71</v>
      </c>
      <c r="CE176" s="94">
        <v>6.83</v>
      </c>
      <c r="CF176" s="92">
        <v>2.17</v>
      </c>
      <c r="CG176" s="93">
        <v>1.67</v>
      </c>
      <c r="CH176" s="94">
        <v>1.92</v>
      </c>
      <c r="CI176" s="92">
        <v>0.45</v>
      </c>
      <c r="CJ176" s="93">
        <v>0.41000000000000003</v>
      </c>
      <c r="CK176" s="94">
        <v>0.43000000000000005</v>
      </c>
      <c r="CL176" s="92">
        <v>40.520000000000003</v>
      </c>
      <c r="CM176">
        <v>38.120000000000005</v>
      </c>
      <c r="CN176">
        <v>39.320000000000007</v>
      </c>
      <c r="CO176">
        <v>7.37</v>
      </c>
      <c r="CP176">
        <v>2.37</v>
      </c>
      <c r="CQ176">
        <v>4.87</v>
      </c>
    </row>
    <row r="177" spans="1:95">
      <c r="A177" s="223">
        <v>45464</v>
      </c>
      <c r="B177" s="90" t="s">
        <v>100</v>
      </c>
      <c r="C177" s="92">
        <v>160.1</v>
      </c>
      <c r="D177" s="93">
        <v>158.1</v>
      </c>
      <c r="E177" s="94">
        <v>159.1</v>
      </c>
      <c r="F177" s="92">
        <v>171.83</v>
      </c>
      <c r="G177" s="93">
        <v>168.83</v>
      </c>
      <c r="H177" s="94">
        <v>170.33</v>
      </c>
      <c r="I177" s="92">
        <v>117.82</v>
      </c>
      <c r="J177" s="93">
        <v>114.61999999999999</v>
      </c>
      <c r="K177" s="94">
        <v>116.22</v>
      </c>
      <c r="L177" s="93">
        <v>205.37</v>
      </c>
      <c r="M177" s="93">
        <v>197.37</v>
      </c>
      <c r="N177" s="93">
        <v>201.37</v>
      </c>
      <c r="O177" s="92">
        <v>179.26</v>
      </c>
      <c r="P177" s="93">
        <v>177.45999999999998</v>
      </c>
      <c r="Q177" s="94">
        <v>178.35999999999999</v>
      </c>
      <c r="R177" s="93">
        <v>23.13</v>
      </c>
      <c r="S177" s="93">
        <v>22.529999999999998</v>
      </c>
      <c r="T177" s="93">
        <v>22.83</v>
      </c>
      <c r="U177" s="92">
        <v>15.4</v>
      </c>
      <c r="V177" s="93">
        <v>14.8</v>
      </c>
      <c r="W177" s="94">
        <v>15.100000000000001</v>
      </c>
      <c r="X177" s="92">
        <v>15.55</v>
      </c>
      <c r="Y177" s="93">
        <v>14.75</v>
      </c>
      <c r="Z177" s="94">
        <v>15.15</v>
      </c>
      <c r="AA177" s="92">
        <v>107.9</v>
      </c>
      <c r="AB177" s="93">
        <v>103.9</v>
      </c>
      <c r="AC177" s="94">
        <v>105.9</v>
      </c>
      <c r="AD177" s="92">
        <v>99.34</v>
      </c>
      <c r="AE177" s="93">
        <v>95.34</v>
      </c>
      <c r="AF177" s="94">
        <v>97.34</v>
      </c>
      <c r="AG177" s="93">
        <v>20.82</v>
      </c>
      <c r="AH177" s="93">
        <v>19.96</v>
      </c>
      <c r="AI177" s="93">
        <v>20.39</v>
      </c>
      <c r="AJ177" s="95"/>
      <c r="AK177" s="96"/>
      <c r="AL177" s="97"/>
      <c r="AM177" s="93">
        <v>118.31</v>
      </c>
      <c r="AN177" s="93">
        <v>116.65</v>
      </c>
      <c r="AO177" s="93">
        <v>117.48</v>
      </c>
      <c r="AP177" s="92">
        <v>43.28</v>
      </c>
      <c r="AQ177" s="93">
        <v>41.68</v>
      </c>
      <c r="AR177" s="94">
        <v>42.480000000000004</v>
      </c>
      <c r="AS177" s="93">
        <v>44.07</v>
      </c>
      <c r="AT177" s="93">
        <v>42.71</v>
      </c>
      <c r="AU177" s="93">
        <v>43.39</v>
      </c>
      <c r="AV177" s="92">
        <v>22.11</v>
      </c>
      <c r="AW177" s="93">
        <v>21.509999999999998</v>
      </c>
      <c r="AX177" s="94">
        <v>21.81</v>
      </c>
      <c r="AY177" s="92">
        <v>4.42</v>
      </c>
      <c r="AZ177" s="93">
        <v>4.26</v>
      </c>
      <c r="BA177" s="94">
        <v>4.34</v>
      </c>
      <c r="BB177" s="92">
        <v>2.06</v>
      </c>
      <c r="BC177" s="98">
        <v>1.76</v>
      </c>
      <c r="BD177" s="99">
        <v>1.9100000000000001</v>
      </c>
      <c r="BE177" s="93">
        <v>0.73</v>
      </c>
      <c r="BF177" s="98">
        <v>0.43</v>
      </c>
      <c r="BG177" s="98">
        <v>0.57999999999999996</v>
      </c>
      <c r="BH177" s="92">
        <v>527.6</v>
      </c>
      <c r="BI177" s="93">
        <v>511.6</v>
      </c>
      <c r="BJ177" s="94">
        <v>519.6</v>
      </c>
      <c r="BK177" s="93">
        <v>44.4</v>
      </c>
      <c r="BL177" s="93">
        <v>43.04</v>
      </c>
      <c r="BM177" s="93">
        <v>43.72</v>
      </c>
      <c r="BN177" s="100">
        <v>1.0900000000000001</v>
      </c>
      <c r="BO177" s="98">
        <v>0.85000000000000009</v>
      </c>
      <c r="BP177" s="99">
        <v>0.97000000000000008</v>
      </c>
      <c r="BQ177" s="93">
        <v>9.67</v>
      </c>
      <c r="BR177" s="93">
        <v>7.67</v>
      </c>
      <c r="BS177" s="93">
        <v>8.67</v>
      </c>
      <c r="BT177" s="92">
        <v>11.66</v>
      </c>
      <c r="BU177" s="93">
        <v>11.26</v>
      </c>
      <c r="BV177" s="94">
        <v>11.46</v>
      </c>
      <c r="BW177" s="92">
        <v>2.87</v>
      </c>
      <c r="BX177" s="98">
        <v>2.59</v>
      </c>
      <c r="BY177" s="99">
        <v>2.73</v>
      </c>
      <c r="BZ177" s="92">
        <v>10.35</v>
      </c>
      <c r="CA177" s="93">
        <v>7.35</v>
      </c>
      <c r="CB177" s="94">
        <v>8.85</v>
      </c>
      <c r="CC177" s="92">
        <v>6.96</v>
      </c>
      <c r="CD177" s="93">
        <v>6.72</v>
      </c>
      <c r="CE177" s="94">
        <v>6.84</v>
      </c>
      <c r="CF177" s="92">
        <v>2.0699999999999998</v>
      </c>
      <c r="CG177" s="93">
        <v>1.5699999999999998</v>
      </c>
      <c r="CH177" s="94">
        <v>1.8199999999999998</v>
      </c>
      <c r="CI177" s="92">
        <v>0.45</v>
      </c>
      <c r="CJ177" s="93">
        <v>0.41000000000000003</v>
      </c>
      <c r="CK177" s="94">
        <v>0.43000000000000005</v>
      </c>
      <c r="CL177" s="92">
        <v>40.590000000000003</v>
      </c>
      <c r="CM177">
        <v>38.190000000000005</v>
      </c>
      <c r="CN177">
        <v>39.39</v>
      </c>
      <c r="CO177">
        <v>7.37</v>
      </c>
      <c r="CP177">
        <v>2.37</v>
      </c>
      <c r="CQ177">
        <v>4.87</v>
      </c>
    </row>
    <row r="178" spans="1:95">
      <c r="A178" s="223">
        <v>45465</v>
      </c>
      <c r="B178" s="90" t="s">
        <v>307</v>
      </c>
      <c r="C178" s="92"/>
      <c r="D178" s="93"/>
      <c r="E178" s="94"/>
      <c r="F178" s="92"/>
      <c r="G178" s="93"/>
      <c r="H178" s="94"/>
      <c r="I178" s="92"/>
      <c r="J178" s="93"/>
      <c r="K178" s="94"/>
      <c r="L178" s="93"/>
      <c r="M178" s="93"/>
      <c r="N178" s="93"/>
      <c r="O178" s="92"/>
      <c r="P178" s="93"/>
      <c r="Q178" s="94"/>
      <c r="R178" s="93"/>
      <c r="S178" s="93"/>
      <c r="T178" s="93"/>
      <c r="U178" s="92"/>
      <c r="V178" s="93"/>
      <c r="W178" s="94"/>
      <c r="X178" s="92"/>
      <c r="Y178" s="93"/>
      <c r="Z178" s="94"/>
      <c r="AA178" s="92"/>
      <c r="AB178" s="93"/>
      <c r="AC178" s="94"/>
      <c r="AD178" s="92"/>
      <c r="AE178" s="93"/>
      <c r="AF178" s="94"/>
      <c r="AG178" s="93"/>
      <c r="AH178" s="93"/>
      <c r="AI178" s="93"/>
      <c r="AJ178" s="95"/>
      <c r="AK178" s="96"/>
      <c r="AL178" s="97"/>
      <c r="AM178" s="93"/>
      <c r="AN178" s="93"/>
      <c r="AO178" s="93"/>
      <c r="AP178" s="92"/>
      <c r="AQ178" s="93"/>
      <c r="AR178" s="94"/>
      <c r="AS178" s="93"/>
      <c r="AT178" s="93"/>
      <c r="AU178" s="93"/>
      <c r="AV178" s="92"/>
      <c r="AW178" s="93"/>
      <c r="AX178" s="94"/>
      <c r="AY178" s="92"/>
      <c r="AZ178" s="93"/>
      <c r="BA178" s="94"/>
      <c r="BB178" s="92"/>
      <c r="BC178" s="98"/>
      <c r="BD178" s="99"/>
      <c r="BE178" s="93"/>
      <c r="BF178" s="98"/>
      <c r="BG178" s="98"/>
      <c r="BH178" s="92"/>
      <c r="BI178" s="93"/>
      <c r="BJ178" s="94"/>
      <c r="BK178" s="93"/>
      <c r="BL178" s="93"/>
      <c r="BM178" s="93"/>
      <c r="BN178" s="100"/>
      <c r="BO178" s="98"/>
      <c r="BP178" s="99"/>
      <c r="BQ178" s="93"/>
      <c r="BR178" s="93"/>
      <c r="BS178" s="93"/>
      <c r="BT178" s="92"/>
      <c r="BU178" s="93"/>
      <c r="BV178" s="94"/>
      <c r="BW178" s="92"/>
      <c r="BX178" s="98"/>
      <c r="BY178" s="99"/>
      <c r="BZ178" s="92"/>
      <c r="CA178" s="93"/>
      <c r="CB178" s="94"/>
      <c r="CC178" s="92"/>
      <c r="CD178" s="93"/>
      <c r="CE178" s="94"/>
      <c r="CF178" s="92"/>
      <c r="CG178" s="93"/>
      <c r="CH178" s="94"/>
      <c r="CI178" s="92"/>
      <c r="CJ178" s="93"/>
      <c r="CK178" s="94"/>
      <c r="CL178" s="92"/>
    </row>
    <row r="179" spans="1:95">
      <c r="A179" s="223">
        <v>45466</v>
      </c>
      <c r="B179" s="90" t="s">
        <v>308</v>
      </c>
      <c r="C179" s="92"/>
      <c r="D179" s="93"/>
      <c r="E179" s="94"/>
      <c r="F179" s="92"/>
      <c r="G179" s="93"/>
      <c r="H179" s="94"/>
      <c r="I179" s="92"/>
      <c r="J179" s="93"/>
      <c r="K179" s="94"/>
      <c r="L179" s="93"/>
      <c r="M179" s="93"/>
      <c r="N179" s="93"/>
      <c r="O179" s="92"/>
      <c r="P179" s="93"/>
      <c r="Q179" s="94"/>
      <c r="R179" s="93"/>
      <c r="S179" s="93"/>
      <c r="T179" s="93"/>
      <c r="U179" s="92"/>
      <c r="V179" s="93"/>
      <c r="W179" s="94"/>
      <c r="X179" s="92"/>
      <c r="Y179" s="93"/>
      <c r="Z179" s="94"/>
      <c r="AA179" s="92"/>
      <c r="AB179" s="93"/>
      <c r="AC179" s="94"/>
      <c r="AD179" s="92"/>
      <c r="AE179" s="93"/>
      <c r="AF179" s="94"/>
      <c r="AG179" s="93"/>
      <c r="AH179" s="93"/>
      <c r="AI179" s="93"/>
      <c r="AJ179" s="95"/>
      <c r="AK179" s="96"/>
      <c r="AL179" s="97"/>
      <c r="AM179" s="93"/>
      <c r="AN179" s="93"/>
      <c r="AO179" s="93"/>
      <c r="AP179" s="92"/>
      <c r="AQ179" s="93"/>
      <c r="AR179" s="94"/>
      <c r="AS179" s="93"/>
      <c r="AT179" s="93"/>
      <c r="AU179" s="93"/>
      <c r="AV179" s="92"/>
      <c r="AW179" s="93"/>
      <c r="AX179" s="94"/>
      <c r="AY179" s="92"/>
      <c r="AZ179" s="93"/>
      <c r="BA179" s="94"/>
      <c r="BB179" s="92"/>
      <c r="BC179" s="98"/>
      <c r="BD179" s="99"/>
      <c r="BE179" s="93"/>
      <c r="BF179" s="98"/>
      <c r="BG179" s="98"/>
      <c r="BH179" s="92"/>
      <c r="BI179" s="93"/>
      <c r="BJ179" s="94"/>
      <c r="BK179" s="93"/>
      <c r="BL179" s="93"/>
      <c r="BM179" s="93"/>
      <c r="BN179" s="100"/>
      <c r="BO179" s="98"/>
      <c r="BP179" s="99"/>
      <c r="BQ179" s="93"/>
      <c r="BR179" s="93"/>
      <c r="BS179" s="93"/>
      <c r="BT179" s="92"/>
      <c r="BU179" s="93"/>
      <c r="BV179" s="94"/>
      <c r="BW179" s="92"/>
      <c r="BX179" s="98"/>
      <c r="BY179" s="99"/>
      <c r="BZ179" s="92"/>
      <c r="CA179" s="93"/>
      <c r="CB179" s="94"/>
      <c r="CC179" s="92"/>
      <c r="CD179" s="93"/>
      <c r="CE179" s="94"/>
      <c r="CF179" s="92"/>
      <c r="CG179" s="93"/>
      <c r="CH179" s="94"/>
      <c r="CI179" s="92"/>
      <c r="CJ179" s="93"/>
      <c r="CK179" s="94"/>
      <c r="CL179" s="92"/>
    </row>
    <row r="180" spans="1:95">
      <c r="A180" s="223">
        <v>45467</v>
      </c>
      <c r="B180" s="90" t="s">
        <v>96</v>
      </c>
      <c r="C180" s="92">
        <v>160.88</v>
      </c>
      <c r="D180" s="93">
        <v>158.88</v>
      </c>
      <c r="E180" s="94">
        <v>159.88</v>
      </c>
      <c r="F180" s="92">
        <v>172.46</v>
      </c>
      <c r="G180" s="93">
        <v>169.46</v>
      </c>
      <c r="H180" s="94">
        <v>170.96</v>
      </c>
      <c r="I180" s="92">
        <v>118.33</v>
      </c>
      <c r="J180" s="93">
        <v>115.13</v>
      </c>
      <c r="K180" s="94">
        <v>116.72999999999999</v>
      </c>
      <c r="L180" s="93">
        <v>206.17</v>
      </c>
      <c r="M180" s="93">
        <v>198.17</v>
      </c>
      <c r="N180" s="93">
        <v>202.17</v>
      </c>
      <c r="O180" s="92">
        <v>179.74</v>
      </c>
      <c r="P180" s="93">
        <v>177.94</v>
      </c>
      <c r="Q180" s="94">
        <v>178.84</v>
      </c>
      <c r="R180" s="93">
        <v>23.22</v>
      </c>
      <c r="S180" s="93">
        <v>22.619999999999997</v>
      </c>
      <c r="T180" s="93">
        <v>22.919999999999998</v>
      </c>
      <c r="U180" s="92">
        <v>15.42</v>
      </c>
      <c r="V180" s="93">
        <v>14.82</v>
      </c>
      <c r="W180" s="94">
        <v>15.120000000000001</v>
      </c>
      <c r="X180" s="92">
        <v>15.61</v>
      </c>
      <c r="Y180" s="93">
        <v>14.809999999999999</v>
      </c>
      <c r="Z180" s="94">
        <v>15.209999999999999</v>
      </c>
      <c r="AA180" s="92">
        <v>108.16</v>
      </c>
      <c r="AB180" s="93">
        <v>104.16</v>
      </c>
      <c r="AC180" s="94">
        <v>106.16</v>
      </c>
      <c r="AD180" s="92">
        <v>99.8</v>
      </c>
      <c r="AE180" s="93">
        <v>95.8</v>
      </c>
      <c r="AF180" s="94">
        <v>97.8</v>
      </c>
      <c r="AG180" s="93">
        <v>20.92</v>
      </c>
      <c r="AH180" s="93">
        <v>20.060000000000002</v>
      </c>
      <c r="AI180" s="93">
        <v>20.490000000000002</v>
      </c>
      <c r="AJ180" s="95"/>
      <c r="AK180" s="96"/>
      <c r="AL180" s="97"/>
      <c r="AM180" s="93">
        <v>118.8</v>
      </c>
      <c r="AN180" s="93">
        <v>117.14</v>
      </c>
      <c r="AO180" s="93">
        <v>117.97</v>
      </c>
      <c r="AP180" s="92">
        <v>43.36</v>
      </c>
      <c r="AQ180" s="93">
        <v>41.76</v>
      </c>
      <c r="AR180" s="94">
        <v>42.56</v>
      </c>
      <c r="AS180" s="93">
        <v>44.28</v>
      </c>
      <c r="AT180" s="93">
        <v>42.92</v>
      </c>
      <c r="AU180" s="93">
        <v>43.6</v>
      </c>
      <c r="AV180" s="92">
        <v>22.23</v>
      </c>
      <c r="AW180" s="93">
        <v>21.63</v>
      </c>
      <c r="AX180" s="94">
        <v>21.93</v>
      </c>
      <c r="AY180" s="92">
        <v>4.43</v>
      </c>
      <c r="AZ180" s="93">
        <v>4.2699999999999996</v>
      </c>
      <c r="BA180" s="94">
        <v>4.3499999999999996</v>
      </c>
      <c r="BB180" s="92">
        <v>2.0699999999999998</v>
      </c>
      <c r="BC180" s="98">
        <v>1.7699999999999998</v>
      </c>
      <c r="BD180" s="99">
        <v>1.92</v>
      </c>
      <c r="BE180" s="93">
        <v>0.73</v>
      </c>
      <c r="BF180" s="98">
        <v>0.43</v>
      </c>
      <c r="BG180" s="98">
        <v>0.57999999999999996</v>
      </c>
      <c r="BH180" s="92">
        <v>529.97</v>
      </c>
      <c r="BI180" s="93">
        <v>513.97</v>
      </c>
      <c r="BJ180" s="94">
        <v>521.97</v>
      </c>
      <c r="BK180" s="93">
        <v>44.62</v>
      </c>
      <c r="BL180" s="93">
        <v>43.26</v>
      </c>
      <c r="BM180" s="93">
        <v>43.94</v>
      </c>
      <c r="BN180" s="100">
        <v>1.1000000000000001</v>
      </c>
      <c r="BO180" s="98">
        <v>0.8600000000000001</v>
      </c>
      <c r="BP180" s="99">
        <v>0.98000000000000009</v>
      </c>
      <c r="BQ180" s="93">
        <v>9.83</v>
      </c>
      <c r="BR180" s="93">
        <v>7.83</v>
      </c>
      <c r="BS180" s="93">
        <v>8.83</v>
      </c>
      <c r="BT180" s="92">
        <v>11.71</v>
      </c>
      <c r="BU180" s="93">
        <v>11.31</v>
      </c>
      <c r="BV180" s="94">
        <v>11.510000000000002</v>
      </c>
      <c r="BW180" s="92">
        <v>2.88</v>
      </c>
      <c r="BX180" s="98">
        <v>2.5999999999999996</v>
      </c>
      <c r="BY180" s="99">
        <v>2.7399999999999998</v>
      </c>
      <c r="BZ180" s="92">
        <v>10.38</v>
      </c>
      <c r="CA180" s="93">
        <v>7.3800000000000008</v>
      </c>
      <c r="CB180" s="94">
        <v>8.8800000000000008</v>
      </c>
      <c r="CC180" s="92">
        <v>6.97</v>
      </c>
      <c r="CD180" s="93">
        <v>6.7299999999999995</v>
      </c>
      <c r="CE180" s="94">
        <v>6.85</v>
      </c>
      <c r="CF180" s="92">
        <v>2.0499999999999998</v>
      </c>
      <c r="CG180" s="93">
        <v>1.5499999999999998</v>
      </c>
      <c r="CH180" s="94">
        <v>1.7999999999999998</v>
      </c>
      <c r="CI180" s="92">
        <v>0.45</v>
      </c>
      <c r="CJ180" s="93">
        <v>0.41000000000000003</v>
      </c>
      <c r="CK180" s="94">
        <v>0.43000000000000005</v>
      </c>
      <c r="CL180" s="92">
        <v>40.74</v>
      </c>
      <c r="CM180">
        <v>38.340000000000003</v>
      </c>
      <c r="CN180">
        <v>39.540000000000006</v>
      </c>
      <c r="CO180">
        <v>7.39</v>
      </c>
      <c r="CP180">
        <v>2.3899999999999997</v>
      </c>
      <c r="CQ180">
        <v>4.8899999999999997</v>
      </c>
    </row>
    <row r="181" spans="1:95">
      <c r="A181" s="223">
        <v>45468</v>
      </c>
      <c r="B181" s="90" t="s">
        <v>97</v>
      </c>
      <c r="C181" s="92">
        <v>160.56</v>
      </c>
      <c r="D181" s="93">
        <v>158.56</v>
      </c>
      <c r="E181" s="94">
        <v>159.56</v>
      </c>
      <c r="F181" s="92">
        <v>172.79</v>
      </c>
      <c r="G181" s="93">
        <v>169.79</v>
      </c>
      <c r="H181" s="94">
        <v>171.29</v>
      </c>
      <c r="I181" s="92">
        <v>118.44</v>
      </c>
      <c r="J181" s="93">
        <v>115.24</v>
      </c>
      <c r="K181" s="94">
        <v>116.84</v>
      </c>
      <c r="L181" s="93">
        <v>206.47</v>
      </c>
      <c r="M181" s="93">
        <v>198.47</v>
      </c>
      <c r="N181" s="93">
        <v>202.47</v>
      </c>
      <c r="O181" s="92">
        <v>179.74</v>
      </c>
      <c r="P181" s="93">
        <v>177.94</v>
      </c>
      <c r="Q181" s="94">
        <v>178.84</v>
      </c>
      <c r="R181" s="93">
        <v>23.26</v>
      </c>
      <c r="S181" s="93">
        <v>22.66</v>
      </c>
      <c r="T181" s="93">
        <v>22.96</v>
      </c>
      <c r="U181" s="92">
        <v>15.43</v>
      </c>
      <c r="V181" s="93">
        <v>14.83</v>
      </c>
      <c r="W181" s="94">
        <v>15.129999999999999</v>
      </c>
      <c r="X181" s="92">
        <v>15.62</v>
      </c>
      <c r="Y181" s="93">
        <v>14.819999999999999</v>
      </c>
      <c r="Z181" s="94">
        <v>15.219999999999999</v>
      </c>
      <c r="AA181" s="92">
        <v>108.17</v>
      </c>
      <c r="AB181" s="93">
        <v>104.17</v>
      </c>
      <c r="AC181" s="94">
        <v>106.17</v>
      </c>
      <c r="AD181" s="92">
        <v>99.65</v>
      </c>
      <c r="AE181" s="93">
        <v>95.65</v>
      </c>
      <c r="AF181" s="94">
        <v>97.65</v>
      </c>
      <c r="AG181" s="93">
        <v>20.87</v>
      </c>
      <c r="AH181" s="93">
        <v>20.010000000000002</v>
      </c>
      <c r="AI181" s="93">
        <v>20.440000000000001</v>
      </c>
      <c r="AJ181" s="95"/>
      <c r="AK181" s="96"/>
      <c r="AL181" s="97"/>
      <c r="AM181" s="93">
        <v>118.81</v>
      </c>
      <c r="AN181" s="93">
        <v>117.15</v>
      </c>
      <c r="AO181" s="93">
        <v>117.98</v>
      </c>
      <c r="AP181" s="92">
        <v>43.39</v>
      </c>
      <c r="AQ181" s="93">
        <v>41.79</v>
      </c>
      <c r="AR181" s="94">
        <v>42.59</v>
      </c>
      <c r="AS181" s="93">
        <v>44.05</v>
      </c>
      <c r="AT181" s="93">
        <v>42.69</v>
      </c>
      <c r="AU181" s="93">
        <v>43.37</v>
      </c>
      <c r="AV181" s="92">
        <v>22.21</v>
      </c>
      <c r="AW181" s="93">
        <v>21.61</v>
      </c>
      <c r="AX181" s="94">
        <v>21.91</v>
      </c>
      <c r="AY181" s="92">
        <v>4.4400000000000004</v>
      </c>
      <c r="AZ181" s="93">
        <v>4.28</v>
      </c>
      <c r="BA181" s="94">
        <v>4.3600000000000003</v>
      </c>
      <c r="BB181" s="92">
        <v>2.0699999999999998</v>
      </c>
      <c r="BC181" s="98">
        <v>1.7699999999999998</v>
      </c>
      <c r="BD181" s="99">
        <v>1.92</v>
      </c>
      <c r="BE181" s="93">
        <v>0.72</v>
      </c>
      <c r="BF181" s="98">
        <v>0.42</v>
      </c>
      <c r="BG181" s="98">
        <v>0.56999999999999995</v>
      </c>
      <c r="BH181" s="92">
        <v>529.27</v>
      </c>
      <c r="BI181" s="93">
        <v>513.27</v>
      </c>
      <c r="BJ181" s="94">
        <v>521.27</v>
      </c>
      <c r="BK181" s="93">
        <v>44.53</v>
      </c>
      <c r="BL181" s="93">
        <v>43.17</v>
      </c>
      <c r="BM181" s="93">
        <v>43.85</v>
      </c>
      <c r="BN181" s="100">
        <v>1.1000000000000001</v>
      </c>
      <c r="BO181" s="98">
        <v>0.8600000000000001</v>
      </c>
      <c r="BP181" s="99">
        <v>0.98000000000000009</v>
      </c>
      <c r="BQ181" s="93">
        <v>9.89</v>
      </c>
      <c r="BR181" s="93">
        <v>7.8900000000000006</v>
      </c>
      <c r="BS181" s="93">
        <v>8.89</v>
      </c>
      <c r="BT181" s="92">
        <v>11.73</v>
      </c>
      <c r="BU181" s="93">
        <v>11.33</v>
      </c>
      <c r="BV181" s="94">
        <v>11.530000000000001</v>
      </c>
      <c r="BW181" s="92">
        <v>2.87</v>
      </c>
      <c r="BX181" s="98">
        <v>2.59</v>
      </c>
      <c r="BY181" s="99">
        <v>2.73</v>
      </c>
      <c r="BZ181" s="92">
        <v>10.31</v>
      </c>
      <c r="CA181" s="93">
        <v>7.3100000000000005</v>
      </c>
      <c r="CB181" s="94">
        <v>8.81</v>
      </c>
      <c r="CC181" s="92">
        <v>7.01</v>
      </c>
      <c r="CD181" s="93">
        <v>6.77</v>
      </c>
      <c r="CE181" s="94">
        <v>6.89</v>
      </c>
      <c r="CF181" s="92">
        <v>2.0699999999999998</v>
      </c>
      <c r="CG181" s="93">
        <v>1.5699999999999998</v>
      </c>
      <c r="CH181" s="94">
        <v>1.8199999999999998</v>
      </c>
      <c r="CI181" s="92">
        <v>0.45</v>
      </c>
      <c r="CJ181" s="93">
        <v>0.41000000000000003</v>
      </c>
      <c r="CK181" s="94">
        <v>0.43000000000000005</v>
      </c>
      <c r="CL181" s="92">
        <v>41.12</v>
      </c>
      <c r="CM181">
        <v>38.72</v>
      </c>
      <c r="CN181">
        <v>39.92</v>
      </c>
      <c r="CO181">
        <v>7.35</v>
      </c>
      <c r="CP181">
        <v>2.3499999999999996</v>
      </c>
      <c r="CQ181">
        <v>4.8499999999999996</v>
      </c>
    </row>
    <row r="182" spans="1:95">
      <c r="A182" s="223">
        <v>45469</v>
      </c>
      <c r="B182" s="90" t="s">
        <v>98</v>
      </c>
      <c r="C182" s="92">
        <v>160.78</v>
      </c>
      <c r="D182" s="93">
        <v>158.78</v>
      </c>
      <c r="E182" s="94">
        <v>159.78</v>
      </c>
      <c r="F182" s="92">
        <v>172.58</v>
      </c>
      <c r="G182" s="93">
        <v>169.58</v>
      </c>
      <c r="H182" s="94">
        <v>171.08</v>
      </c>
      <c r="I182" s="92">
        <v>118.52</v>
      </c>
      <c r="J182" s="93">
        <v>115.32</v>
      </c>
      <c r="K182" s="94">
        <v>116.91999999999999</v>
      </c>
      <c r="L182" s="93">
        <v>206.7</v>
      </c>
      <c r="M182" s="93">
        <v>198.7</v>
      </c>
      <c r="N182" s="93">
        <v>202.7</v>
      </c>
      <c r="O182" s="92">
        <v>179.31</v>
      </c>
      <c r="P182" s="93">
        <v>177.51</v>
      </c>
      <c r="Q182" s="94">
        <v>178.41</v>
      </c>
      <c r="R182" s="93">
        <v>23.24</v>
      </c>
      <c r="S182" s="93">
        <v>22.639999999999997</v>
      </c>
      <c r="T182" s="93">
        <v>22.939999999999998</v>
      </c>
      <c r="U182" s="92">
        <v>15.33</v>
      </c>
      <c r="V182" s="93">
        <v>14.73</v>
      </c>
      <c r="W182" s="94">
        <v>15.030000000000001</v>
      </c>
      <c r="X182" s="92">
        <v>15.6</v>
      </c>
      <c r="Y182" s="93">
        <v>14.799999999999999</v>
      </c>
      <c r="Z182" s="94">
        <v>15.2</v>
      </c>
      <c r="AA182" s="92">
        <v>108.09</v>
      </c>
      <c r="AB182" s="93">
        <v>104.09</v>
      </c>
      <c r="AC182" s="94">
        <v>106.09</v>
      </c>
      <c r="AD182" s="92">
        <v>99.75</v>
      </c>
      <c r="AE182" s="93">
        <v>95.75</v>
      </c>
      <c r="AF182" s="94">
        <v>97.75</v>
      </c>
      <c r="AG182" s="93">
        <v>20.89</v>
      </c>
      <c r="AH182" s="93">
        <v>20.03</v>
      </c>
      <c r="AI182" s="93">
        <v>20.46</v>
      </c>
      <c r="AJ182" s="95"/>
      <c r="AK182" s="96"/>
      <c r="AL182" s="97"/>
      <c r="AM182" s="93">
        <v>118.77</v>
      </c>
      <c r="AN182" s="93">
        <v>117.11</v>
      </c>
      <c r="AO182" s="93">
        <v>117.94</v>
      </c>
      <c r="AP182" s="92">
        <v>43.45</v>
      </c>
      <c r="AQ182" s="93">
        <v>41.85</v>
      </c>
      <c r="AR182" s="94">
        <v>42.650000000000006</v>
      </c>
      <c r="AS182" s="93">
        <v>44.25</v>
      </c>
      <c r="AT182" s="93">
        <v>42.89</v>
      </c>
      <c r="AU182" s="93">
        <v>43.57</v>
      </c>
      <c r="AV182" s="92">
        <v>22.22</v>
      </c>
      <c r="AW182" s="93">
        <v>21.619999999999997</v>
      </c>
      <c r="AX182" s="94">
        <v>21.919999999999998</v>
      </c>
      <c r="AY182" s="92">
        <v>4.42</v>
      </c>
      <c r="AZ182" s="93">
        <v>4.26</v>
      </c>
      <c r="BA182" s="94">
        <v>4.34</v>
      </c>
      <c r="BB182" s="92">
        <v>2.0699999999999998</v>
      </c>
      <c r="BC182" s="98">
        <v>1.7699999999999998</v>
      </c>
      <c r="BD182" s="99">
        <v>1.92</v>
      </c>
      <c r="BE182" s="93">
        <v>0.73</v>
      </c>
      <c r="BF182" s="98">
        <v>0.43</v>
      </c>
      <c r="BG182" s="98">
        <v>0.57999999999999996</v>
      </c>
      <c r="BH182" s="92">
        <v>528.12</v>
      </c>
      <c r="BI182" s="93">
        <v>512.12</v>
      </c>
      <c r="BJ182" s="94">
        <v>520.12</v>
      </c>
      <c r="BK182" s="93">
        <v>44.59</v>
      </c>
      <c r="BL182" s="93">
        <v>43.230000000000004</v>
      </c>
      <c r="BM182" s="93">
        <v>43.910000000000004</v>
      </c>
      <c r="BN182" s="100">
        <v>1.1000000000000001</v>
      </c>
      <c r="BO182" s="98">
        <v>0.8600000000000001</v>
      </c>
      <c r="BP182" s="99">
        <v>0.98000000000000009</v>
      </c>
      <c r="BQ182" s="93">
        <v>9.81</v>
      </c>
      <c r="BR182" s="93">
        <v>7.8100000000000005</v>
      </c>
      <c r="BS182" s="93">
        <v>8.81</v>
      </c>
      <c r="BT182" s="92">
        <v>11.7</v>
      </c>
      <c r="BU182" s="93">
        <v>11.299999999999999</v>
      </c>
      <c r="BV182" s="94">
        <v>11.5</v>
      </c>
      <c r="BW182" s="92">
        <v>2.88</v>
      </c>
      <c r="BX182" s="98">
        <v>2.5999999999999996</v>
      </c>
      <c r="BY182" s="99">
        <v>2.7399999999999998</v>
      </c>
      <c r="BZ182" s="92">
        <v>10.25</v>
      </c>
      <c r="CA182" s="93">
        <v>7.25</v>
      </c>
      <c r="CB182" s="94">
        <v>8.75</v>
      </c>
      <c r="CC182" s="92">
        <v>7.02</v>
      </c>
      <c r="CD182" s="93">
        <v>6.7799999999999994</v>
      </c>
      <c r="CE182" s="94">
        <v>6.8999999999999995</v>
      </c>
      <c r="CF182" s="92">
        <v>2.08</v>
      </c>
      <c r="CG182" s="93">
        <v>1.58</v>
      </c>
      <c r="CH182" s="94">
        <v>1.83</v>
      </c>
      <c r="CI182" s="92">
        <v>0.45</v>
      </c>
      <c r="CJ182" s="93">
        <v>0.41000000000000003</v>
      </c>
      <c r="CK182" s="94">
        <v>0.43000000000000005</v>
      </c>
      <c r="CL182" s="92">
        <v>41.01</v>
      </c>
      <c r="CM182">
        <v>38.61</v>
      </c>
      <c r="CN182">
        <v>39.81</v>
      </c>
      <c r="CO182">
        <v>7.35</v>
      </c>
      <c r="CP182">
        <v>2.3499999999999996</v>
      </c>
      <c r="CQ182">
        <v>4.8499999999999996</v>
      </c>
    </row>
    <row r="183" spans="1:95">
      <c r="A183" s="223">
        <v>45470</v>
      </c>
      <c r="B183" s="90" t="s">
        <v>99</v>
      </c>
      <c r="C183" s="92">
        <v>161.78</v>
      </c>
      <c r="D183" s="93">
        <v>159.78</v>
      </c>
      <c r="E183" s="94">
        <v>160.78</v>
      </c>
      <c r="F183" s="92">
        <v>173.15</v>
      </c>
      <c r="G183" s="93">
        <v>170.15</v>
      </c>
      <c r="H183" s="94">
        <v>171.65</v>
      </c>
      <c r="I183" s="92">
        <v>118.87</v>
      </c>
      <c r="J183" s="93">
        <v>115.67</v>
      </c>
      <c r="K183" s="94">
        <v>117.27000000000001</v>
      </c>
      <c r="L183" s="93">
        <v>206.79</v>
      </c>
      <c r="M183" s="93">
        <v>198.79</v>
      </c>
      <c r="N183" s="93">
        <v>202.79</v>
      </c>
      <c r="O183" s="92">
        <v>179.98</v>
      </c>
      <c r="P183" s="93">
        <v>178.17999999999998</v>
      </c>
      <c r="Q183" s="94">
        <v>179.07999999999998</v>
      </c>
      <c r="R183" s="93">
        <v>23.31</v>
      </c>
      <c r="S183" s="93">
        <v>22.709999999999997</v>
      </c>
      <c r="T183" s="93">
        <v>23.009999999999998</v>
      </c>
      <c r="U183" s="92">
        <v>15.33</v>
      </c>
      <c r="V183" s="93">
        <v>14.73</v>
      </c>
      <c r="W183" s="94">
        <v>15.030000000000001</v>
      </c>
      <c r="X183" s="92">
        <v>15.59</v>
      </c>
      <c r="Y183" s="93">
        <v>14.79</v>
      </c>
      <c r="Z183" s="94">
        <v>15.19</v>
      </c>
      <c r="AA183" s="92">
        <v>108.76</v>
      </c>
      <c r="AB183" s="93">
        <v>104.76</v>
      </c>
      <c r="AC183" s="94">
        <v>106.76</v>
      </c>
      <c r="AD183" s="92">
        <v>99.61</v>
      </c>
      <c r="AE183" s="93">
        <v>95.61</v>
      </c>
      <c r="AF183" s="94">
        <v>97.61</v>
      </c>
      <c r="AG183" s="93">
        <v>21.02</v>
      </c>
      <c r="AH183" s="93">
        <v>20.16</v>
      </c>
      <c r="AI183" s="93">
        <v>20.59</v>
      </c>
      <c r="AJ183" s="95"/>
      <c r="AK183" s="96"/>
      <c r="AL183" s="97"/>
      <c r="AM183" s="93">
        <v>119.12</v>
      </c>
      <c r="AN183" s="93">
        <v>117.46000000000001</v>
      </c>
      <c r="AO183" s="93">
        <v>118.29</v>
      </c>
      <c r="AP183" s="92">
        <v>43.73</v>
      </c>
      <c r="AQ183" s="93">
        <v>42.129999999999995</v>
      </c>
      <c r="AR183" s="94">
        <v>42.929999999999993</v>
      </c>
      <c r="AS183" s="93">
        <v>44.53</v>
      </c>
      <c r="AT183" s="93">
        <v>43.17</v>
      </c>
      <c r="AU183" s="93">
        <v>43.85</v>
      </c>
      <c r="AV183" s="92">
        <v>22.31</v>
      </c>
      <c r="AW183" s="93">
        <v>21.709999999999997</v>
      </c>
      <c r="AX183" s="94">
        <v>22.009999999999998</v>
      </c>
      <c r="AY183" s="92">
        <v>4.43</v>
      </c>
      <c r="AZ183" s="93">
        <v>4.2699999999999996</v>
      </c>
      <c r="BA183" s="94">
        <v>4.3499999999999996</v>
      </c>
      <c r="BB183" s="92">
        <v>2.08</v>
      </c>
      <c r="BC183" s="98">
        <v>1.78</v>
      </c>
      <c r="BD183" s="99">
        <v>1.9300000000000002</v>
      </c>
      <c r="BE183" s="93">
        <v>0.73</v>
      </c>
      <c r="BF183" s="98">
        <v>0.43</v>
      </c>
      <c r="BG183" s="98">
        <v>0.57999999999999996</v>
      </c>
      <c r="BH183" s="92">
        <v>532.91</v>
      </c>
      <c r="BI183" s="93">
        <v>516.91</v>
      </c>
      <c r="BJ183" s="94">
        <v>524.91</v>
      </c>
      <c r="BK183" s="93">
        <v>44.86</v>
      </c>
      <c r="BL183" s="93">
        <v>43.5</v>
      </c>
      <c r="BM183" s="93">
        <v>44.18</v>
      </c>
      <c r="BN183" s="100">
        <v>1.1000000000000001</v>
      </c>
      <c r="BO183" s="98">
        <v>0.8600000000000001</v>
      </c>
      <c r="BP183" s="99">
        <v>0.98000000000000009</v>
      </c>
      <c r="BQ183" s="93">
        <v>9.77</v>
      </c>
      <c r="BR183" s="93">
        <v>7.77</v>
      </c>
      <c r="BS183" s="93">
        <v>8.77</v>
      </c>
      <c r="BT183" s="92">
        <v>11.77</v>
      </c>
      <c r="BU183" s="93">
        <v>11.37</v>
      </c>
      <c r="BV183" s="94">
        <v>11.57</v>
      </c>
      <c r="BW183" s="92">
        <v>2.89</v>
      </c>
      <c r="BX183" s="98">
        <v>2.6100000000000003</v>
      </c>
      <c r="BY183" s="99">
        <v>2.75</v>
      </c>
      <c r="BZ183" s="92">
        <v>10.35</v>
      </c>
      <c r="CA183" s="93">
        <v>7.35</v>
      </c>
      <c r="CB183" s="94">
        <v>8.85</v>
      </c>
      <c r="CC183" s="92">
        <v>7.02</v>
      </c>
      <c r="CD183" s="93">
        <v>6.7799999999999994</v>
      </c>
      <c r="CE183" s="94">
        <v>6.8999999999999995</v>
      </c>
      <c r="CF183" s="92">
        <v>2.0699999999999998</v>
      </c>
      <c r="CG183" s="93">
        <v>1.5699999999999998</v>
      </c>
      <c r="CH183" s="94">
        <v>1.8199999999999998</v>
      </c>
      <c r="CI183" s="92">
        <v>0.45</v>
      </c>
      <c r="CJ183" s="93">
        <v>0.41000000000000003</v>
      </c>
      <c r="CK183" s="94">
        <v>0.43000000000000005</v>
      </c>
      <c r="CL183" s="92">
        <v>41</v>
      </c>
      <c r="CM183">
        <v>38.6</v>
      </c>
      <c r="CN183">
        <v>39.799999999999997</v>
      </c>
      <c r="CO183">
        <v>7.41</v>
      </c>
      <c r="CP183">
        <v>2.41</v>
      </c>
      <c r="CQ183">
        <v>4.91</v>
      </c>
    </row>
    <row r="184" spans="1:95">
      <c r="A184" s="223">
        <v>45471</v>
      </c>
      <c r="B184" s="90" t="s">
        <v>100</v>
      </c>
      <c r="C184" s="92">
        <v>162.07</v>
      </c>
      <c r="D184" s="93">
        <v>160.07</v>
      </c>
      <c r="E184" s="94">
        <v>161.07</v>
      </c>
      <c r="F184" s="92">
        <v>173.83</v>
      </c>
      <c r="G184" s="93">
        <v>170.83</v>
      </c>
      <c r="H184" s="94">
        <v>172.33</v>
      </c>
      <c r="I184" s="92">
        <v>119.02</v>
      </c>
      <c r="J184" s="93">
        <v>115.82</v>
      </c>
      <c r="K184" s="94">
        <v>117.41999999999999</v>
      </c>
      <c r="L184" s="93">
        <v>207.48</v>
      </c>
      <c r="M184" s="93">
        <v>199.48</v>
      </c>
      <c r="N184" s="93">
        <v>203.48</v>
      </c>
      <c r="O184" s="92">
        <v>179.97</v>
      </c>
      <c r="P184" s="93">
        <v>178.17</v>
      </c>
      <c r="Q184" s="94">
        <v>179.07</v>
      </c>
      <c r="R184" s="93">
        <v>23.4</v>
      </c>
      <c r="S184" s="93">
        <v>22.799999999999997</v>
      </c>
      <c r="T184" s="93">
        <v>23.099999999999998</v>
      </c>
      <c r="U184" s="92">
        <v>15.38</v>
      </c>
      <c r="V184" s="93">
        <v>14.780000000000001</v>
      </c>
      <c r="W184" s="94">
        <v>15.080000000000002</v>
      </c>
      <c r="X184" s="92">
        <v>15.54</v>
      </c>
      <c r="Y184" s="93">
        <v>14.739999999999998</v>
      </c>
      <c r="Z184" s="94">
        <v>15.139999999999999</v>
      </c>
      <c r="AA184" s="92">
        <v>109</v>
      </c>
      <c r="AB184" s="93">
        <v>105</v>
      </c>
      <c r="AC184" s="94">
        <v>107</v>
      </c>
      <c r="AD184" s="92">
        <v>99.82</v>
      </c>
      <c r="AE184" s="93">
        <v>95.82</v>
      </c>
      <c r="AF184" s="94">
        <v>97.82</v>
      </c>
      <c r="AG184" s="93">
        <v>21.06</v>
      </c>
      <c r="AH184" s="93">
        <v>20.2</v>
      </c>
      <c r="AI184" s="93">
        <v>20.63</v>
      </c>
      <c r="AJ184" s="95"/>
      <c r="AK184" s="96"/>
      <c r="AL184" s="97"/>
      <c r="AM184" s="93">
        <v>119.32</v>
      </c>
      <c r="AN184" s="93">
        <v>117.66</v>
      </c>
      <c r="AO184" s="93">
        <v>118.49</v>
      </c>
      <c r="AP184" s="92">
        <v>43.82</v>
      </c>
      <c r="AQ184" s="93">
        <v>42.22</v>
      </c>
      <c r="AR184" s="94">
        <v>43.019999999999996</v>
      </c>
      <c r="AS184" s="93">
        <v>44.6</v>
      </c>
      <c r="AT184" s="93">
        <v>43.24</v>
      </c>
      <c r="AU184" s="93">
        <v>43.92</v>
      </c>
      <c r="AV184" s="92">
        <v>22.34</v>
      </c>
      <c r="AW184" s="93">
        <v>21.74</v>
      </c>
      <c r="AX184" s="94">
        <v>22.04</v>
      </c>
      <c r="AY184" s="92">
        <v>4.4400000000000004</v>
      </c>
      <c r="AZ184" s="93">
        <v>4.28</v>
      </c>
      <c r="BA184" s="94">
        <v>4.3600000000000003</v>
      </c>
      <c r="BB184" s="92">
        <v>2.09</v>
      </c>
      <c r="BC184" s="98">
        <v>1.7899999999999998</v>
      </c>
      <c r="BD184" s="99">
        <v>1.94</v>
      </c>
      <c r="BE184" s="93">
        <v>0.73</v>
      </c>
      <c r="BF184" s="98">
        <v>0.43</v>
      </c>
      <c r="BG184" s="98">
        <v>0.57999999999999996</v>
      </c>
      <c r="BH184" s="92">
        <v>534.03</v>
      </c>
      <c r="BI184" s="93">
        <v>518.03</v>
      </c>
      <c r="BJ184" s="94">
        <v>526.03</v>
      </c>
      <c r="BK184" s="93">
        <v>44.94</v>
      </c>
      <c r="BL184" s="93">
        <v>43.58</v>
      </c>
      <c r="BM184" s="93">
        <v>44.26</v>
      </c>
      <c r="BN184" s="100">
        <v>1.1100000000000001</v>
      </c>
      <c r="BO184" s="98">
        <v>0.87000000000000011</v>
      </c>
      <c r="BP184" s="99">
        <v>0.9900000000000001</v>
      </c>
      <c r="BQ184" s="93">
        <v>9.7200000000000006</v>
      </c>
      <c r="BR184" s="93">
        <v>7.7200000000000006</v>
      </c>
      <c r="BS184" s="93">
        <v>8.7200000000000006</v>
      </c>
      <c r="BT184" s="92">
        <v>11.84</v>
      </c>
      <c r="BU184" s="93">
        <v>11.44</v>
      </c>
      <c r="BV184" s="94">
        <v>11.64</v>
      </c>
      <c r="BW184" s="92">
        <v>2.9</v>
      </c>
      <c r="BX184" s="98">
        <v>2.62</v>
      </c>
      <c r="BY184" s="99">
        <v>2.76</v>
      </c>
      <c r="BZ184" s="92">
        <v>10.220000000000001</v>
      </c>
      <c r="CA184" s="93">
        <v>7.2200000000000006</v>
      </c>
      <c r="CB184" s="94">
        <v>8.7200000000000006</v>
      </c>
      <c r="CC184" s="92">
        <v>6.99</v>
      </c>
      <c r="CD184" s="93">
        <v>6.75</v>
      </c>
      <c r="CE184" s="94">
        <v>6.87</v>
      </c>
      <c r="CF184" s="92">
        <v>2.15</v>
      </c>
      <c r="CG184" s="93">
        <v>1.65</v>
      </c>
      <c r="CH184" s="94">
        <v>1.9</v>
      </c>
      <c r="CI184" s="92">
        <v>0.45</v>
      </c>
      <c r="CJ184" s="93">
        <v>0.41000000000000003</v>
      </c>
      <c r="CK184" s="94">
        <v>0.43000000000000005</v>
      </c>
      <c r="CL184" s="92">
        <v>41.15</v>
      </c>
      <c r="CM184">
        <v>38.75</v>
      </c>
      <c r="CN184">
        <v>39.950000000000003</v>
      </c>
      <c r="CO184">
        <v>7.4</v>
      </c>
      <c r="CP184">
        <v>2.4000000000000004</v>
      </c>
      <c r="CQ184">
        <v>4.9000000000000004</v>
      </c>
    </row>
    <row r="185" spans="1:95">
      <c r="A185" s="223">
        <v>45472</v>
      </c>
      <c r="B185" s="90" t="s">
        <v>307</v>
      </c>
      <c r="C185" s="92"/>
      <c r="D185" s="93"/>
      <c r="E185" s="94"/>
      <c r="F185" s="92"/>
      <c r="G185" s="93"/>
      <c r="H185" s="94"/>
      <c r="I185" s="92"/>
      <c r="J185" s="93"/>
      <c r="K185" s="94"/>
      <c r="L185" s="93"/>
      <c r="M185" s="93"/>
      <c r="N185" s="93"/>
      <c r="O185" s="92"/>
      <c r="P185" s="93"/>
      <c r="Q185" s="94"/>
      <c r="R185" s="93"/>
      <c r="S185" s="93"/>
      <c r="T185" s="93"/>
      <c r="U185" s="92"/>
      <c r="V185" s="93"/>
      <c r="W185" s="94"/>
      <c r="X185" s="92"/>
      <c r="Y185" s="93"/>
      <c r="Z185" s="94"/>
      <c r="AA185" s="92"/>
      <c r="AB185" s="93"/>
      <c r="AC185" s="94"/>
      <c r="AD185" s="92"/>
      <c r="AE185" s="93"/>
      <c r="AF185" s="94"/>
      <c r="AG185" s="93"/>
      <c r="AH185" s="93"/>
      <c r="AI185" s="93"/>
      <c r="AJ185" s="95"/>
      <c r="AK185" s="96"/>
      <c r="AL185" s="97"/>
      <c r="AM185" s="93"/>
      <c r="AN185" s="93"/>
      <c r="AO185" s="93"/>
      <c r="AP185" s="92"/>
      <c r="AQ185" s="93"/>
      <c r="AR185" s="94"/>
      <c r="AS185" s="93"/>
      <c r="AT185" s="93"/>
      <c r="AU185" s="93"/>
      <c r="AV185" s="92"/>
      <c r="AW185" s="93"/>
      <c r="AX185" s="94"/>
      <c r="AY185" s="92"/>
      <c r="AZ185" s="93"/>
      <c r="BA185" s="94"/>
      <c r="BB185" s="92"/>
      <c r="BC185" s="98"/>
      <c r="BD185" s="99"/>
      <c r="BE185" s="93"/>
      <c r="BF185" s="98"/>
      <c r="BG185" s="98"/>
      <c r="BH185" s="92"/>
      <c r="BI185" s="93"/>
      <c r="BJ185" s="94"/>
      <c r="BK185" s="93"/>
      <c r="BL185" s="93"/>
      <c r="BM185" s="93"/>
      <c r="BN185" s="100"/>
      <c r="BO185" s="98"/>
      <c r="BP185" s="99"/>
      <c r="BQ185" s="93"/>
      <c r="BR185" s="93"/>
      <c r="BS185" s="93"/>
      <c r="BT185" s="92"/>
      <c r="BU185" s="93"/>
      <c r="BV185" s="94"/>
      <c r="BW185" s="92"/>
      <c r="BX185" s="98"/>
      <c r="BY185" s="99"/>
      <c r="BZ185" s="92"/>
      <c r="CA185" s="93"/>
      <c r="CB185" s="94"/>
      <c r="CC185" s="92"/>
      <c r="CD185" s="93"/>
      <c r="CE185" s="94"/>
      <c r="CF185" s="92"/>
      <c r="CG185" s="93"/>
      <c r="CH185" s="94"/>
      <c r="CI185" s="92"/>
      <c r="CJ185" s="93"/>
      <c r="CK185" s="94"/>
      <c r="CL185" s="92"/>
    </row>
    <row r="186" spans="1:95">
      <c r="A186" s="223">
        <v>45473</v>
      </c>
      <c r="B186" s="90" t="s">
        <v>308</v>
      </c>
      <c r="C186" s="92"/>
      <c r="D186" s="93"/>
      <c r="E186" s="94"/>
      <c r="F186" s="92"/>
      <c r="G186" s="93"/>
      <c r="H186" s="94"/>
      <c r="I186" s="92"/>
      <c r="J186" s="93"/>
      <c r="K186" s="94"/>
      <c r="L186" s="93"/>
      <c r="M186" s="93"/>
      <c r="N186" s="93"/>
      <c r="O186" s="92"/>
      <c r="P186" s="93"/>
      <c r="Q186" s="94"/>
      <c r="R186" s="93"/>
      <c r="S186" s="93"/>
      <c r="T186" s="93"/>
      <c r="U186" s="92"/>
      <c r="V186" s="93"/>
      <c r="W186" s="94"/>
      <c r="X186" s="92"/>
      <c r="Y186" s="93"/>
      <c r="Z186" s="94"/>
      <c r="AA186" s="92"/>
      <c r="AB186" s="93"/>
      <c r="AC186" s="94"/>
      <c r="AD186" s="92"/>
      <c r="AE186" s="93"/>
      <c r="AF186" s="94"/>
      <c r="AG186" s="93"/>
      <c r="AH186" s="93"/>
      <c r="AI186" s="93"/>
      <c r="AJ186" s="95"/>
      <c r="AK186" s="96"/>
      <c r="AL186" s="97"/>
      <c r="AM186" s="93"/>
      <c r="AN186" s="93"/>
      <c r="AO186" s="93"/>
      <c r="AP186" s="92"/>
      <c r="AQ186" s="93"/>
      <c r="AR186" s="94"/>
      <c r="AS186" s="93"/>
      <c r="AT186" s="93"/>
      <c r="AU186" s="93"/>
      <c r="AV186" s="92"/>
      <c r="AW186" s="93"/>
      <c r="AX186" s="94"/>
      <c r="AY186" s="92"/>
      <c r="AZ186" s="93"/>
      <c r="BA186" s="94"/>
      <c r="BB186" s="92"/>
      <c r="BC186" s="98"/>
      <c r="BD186" s="99"/>
      <c r="BE186" s="93"/>
      <c r="BF186" s="98"/>
      <c r="BG186" s="98"/>
      <c r="BH186" s="92"/>
      <c r="BI186" s="93"/>
      <c r="BJ186" s="94"/>
      <c r="BK186" s="93"/>
      <c r="BL186" s="93"/>
      <c r="BM186" s="93"/>
      <c r="BN186" s="100"/>
      <c r="BO186" s="98"/>
      <c r="BP186" s="99"/>
      <c r="BQ186" s="93"/>
      <c r="BR186" s="93"/>
      <c r="BS186" s="93"/>
      <c r="BT186" s="92"/>
      <c r="BU186" s="93"/>
      <c r="BV186" s="94"/>
      <c r="BW186" s="92"/>
      <c r="BX186" s="98"/>
      <c r="BY186" s="99"/>
      <c r="BZ186" s="92"/>
      <c r="CA186" s="93"/>
      <c r="CB186" s="94"/>
      <c r="CC186" s="92"/>
      <c r="CD186" s="93"/>
      <c r="CE186" s="94"/>
      <c r="CF186" s="92"/>
      <c r="CG186" s="93"/>
      <c r="CH186" s="94"/>
      <c r="CI186" s="92"/>
      <c r="CJ186" s="93"/>
      <c r="CK186" s="94"/>
      <c r="CL186" s="92"/>
    </row>
    <row r="187" spans="1:95">
      <c r="A187" s="223">
        <v>45474</v>
      </c>
      <c r="B187" s="90" t="s">
        <v>96</v>
      </c>
      <c r="C187" s="44">
        <v>162.22999999999999</v>
      </c>
      <c r="D187" s="45">
        <v>160.22999999999999</v>
      </c>
      <c r="E187" s="46">
        <v>161.22999999999999</v>
      </c>
      <c r="F187" s="44">
        <v>174.76</v>
      </c>
      <c r="G187" s="45">
        <v>171.76</v>
      </c>
      <c r="H187" s="46">
        <v>173.26</v>
      </c>
      <c r="I187" s="44">
        <v>119.51</v>
      </c>
      <c r="J187" s="45">
        <v>116.31</v>
      </c>
      <c r="K187" s="46">
        <v>117.91</v>
      </c>
      <c r="L187" s="45">
        <v>207.97</v>
      </c>
      <c r="M187" s="45">
        <v>199.97</v>
      </c>
      <c r="N187" s="45">
        <v>203.97</v>
      </c>
      <c r="O187" s="44">
        <v>180.08</v>
      </c>
      <c r="P187" s="45">
        <v>178.28</v>
      </c>
      <c r="Q187" s="46">
        <v>179.18</v>
      </c>
      <c r="R187" s="45">
        <v>23.53</v>
      </c>
      <c r="S187" s="45">
        <v>22.93</v>
      </c>
      <c r="T187" s="45">
        <v>23.23</v>
      </c>
      <c r="U187" s="44">
        <v>15.41</v>
      </c>
      <c r="V187" s="45">
        <v>14.81</v>
      </c>
      <c r="W187" s="46">
        <v>15.11</v>
      </c>
      <c r="X187" s="44">
        <v>15.65</v>
      </c>
      <c r="Y187" s="45">
        <v>14.85</v>
      </c>
      <c r="Z187" s="46">
        <v>15.25</v>
      </c>
      <c r="AA187" s="44">
        <v>109.48</v>
      </c>
      <c r="AB187" s="45">
        <v>105.48</v>
      </c>
      <c r="AC187" s="46">
        <v>107.48</v>
      </c>
      <c r="AD187" s="44">
        <v>100.32</v>
      </c>
      <c r="AE187" s="45">
        <v>96.32</v>
      </c>
      <c r="AF187" s="46">
        <v>98.32</v>
      </c>
      <c r="AG187" s="45">
        <v>21.08</v>
      </c>
      <c r="AH187" s="45">
        <v>20.22</v>
      </c>
      <c r="AI187" s="45">
        <v>20.65</v>
      </c>
      <c r="AJ187" s="47" t="s">
        <v>137</v>
      </c>
      <c r="AK187" s="48"/>
      <c r="AL187" s="49"/>
      <c r="AM187" s="45">
        <v>119.81</v>
      </c>
      <c r="AN187" s="45">
        <v>118.15</v>
      </c>
      <c r="AO187" s="45">
        <v>118.98</v>
      </c>
      <c r="AP187" s="44">
        <v>43.84</v>
      </c>
      <c r="AQ187" s="45">
        <v>42.24</v>
      </c>
      <c r="AR187" s="46">
        <v>43.040000000000006</v>
      </c>
      <c r="AS187" s="45">
        <v>44.65</v>
      </c>
      <c r="AT187" s="45">
        <v>43.29</v>
      </c>
      <c r="AU187" s="45">
        <v>43.97</v>
      </c>
      <c r="AV187" s="44">
        <v>22.38</v>
      </c>
      <c r="AW187" s="45">
        <v>21.779999999999998</v>
      </c>
      <c r="AX187" s="46">
        <v>22.08</v>
      </c>
      <c r="AY187" s="44">
        <v>4.46</v>
      </c>
      <c r="AZ187" s="45">
        <v>4.3</v>
      </c>
      <c r="BA187" s="46">
        <v>4.38</v>
      </c>
      <c r="BB187" s="44">
        <v>2.09</v>
      </c>
      <c r="BC187" s="50">
        <v>1.7899999999999998</v>
      </c>
      <c r="BD187" s="51">
        <v>1.94</v>
      </c>
      <c r="BE187" s="45">
        <v>0.73</v>
      </c>
      <c r="BF187" s="50">
        <v>0.43</v>
      </c>
      <c r="BG187" s="50">
        <v>0.57999999999999996</v>
      </c>
      <c r="BH187" s="44">
        <v>534.54999999999995</v>
      </c>
      <c r="BI187" s="45">
        <v>518.54999999999995</v>
      </c>
      <c r="BJ187" s="46">
        <v>526.54999999999995</v>
      </c>
      <c r="BK187" s="45">
        <v>44.97</v>
      </c>
      <c r="BL187" s="45">
        <v>43.61</v>
      </c>
      <c r="BM187" s="45">
        <v>44.29</v>
      </c>
      <c r="BN187" s="52">
        <v>1.1100000000000001</v>
      </c>
      <c r="BO187" s="50">
        <v>0.87000000000000011</v>
      </c>
      <c r="BP187" s="51">
        <v>0.9900000000000001</v>
      </c>
      <c r="BQ187" s="45">
        <v>9.82</v>
      </c>
      <c r="BR187" s="45">
        <v>7.82</v>
      </c>
      <c r="BS187" s="45">
        <v>8.82</v>
      </c>
      <c r="BT187" s="44">
        <v>11.87</v>
      </c>
      <c r="BU187" s="45">
        <v>11.469999999999999</v>
      </c>
      <c r="BV187" s="46">
        <v>11.669999999999998</v>
      </c>
      <c r="BW187" s="44">
        <v>2.91</v>
      </c>
      <c r="BX187" s="50">
        <v>2.63</v>
      </c>
      <c r="BY187" s="51">
        <v>2.77</v>
      </c>
      <c r="BZ187" s="44">
        <v>10.43</v>
      </c>
      <c r="CA187" s="45">
        <v>7.43</v>
      </c>
      <c r="CB187" s="46">
        <v>8.93</v>
      </c>
      <c r="CC187" s="44">
        <v>7.05</v>
      </c>
      <c r="CD187" s="45">
        <v>6.81</v>
      </c>
      <c r="CE187" s="46">
        <v>6.93</v>
      </c>
      <c r="CF187" s="44">
        <v>2.13</v>
      </c>
      <c r="CG187" s="45">
        <v>1.63</v>
      </c>
      <c r="CH187" s="46">
        <v>1.88</v>
      </c>
      <c r="CI187" s="44">
        <v>0.46</v>
      </c>
      <c r="CJ187" s="45">
        <v>0.42000000000000004</v>
      </c>
      <c r="CK187" s="46">
        <v>0.44000000000000006</v>
      </c>
      <c r="CL187" s="44">
        <v>41.36</v>
      </c>
      <c r="CM187">
        <v>38.96</v>
      </c>
      <c r="CN187">
        <v>40.159999999999997</v>
      </c>
      <c r="CO187">
        <v>7.41</v>
      </c>
      <c r="CP187">
        <v>2.41</v>
      </c>
      <c r="CQ187">
        <v>4.91</v>
      </c>
    </row>
    <row r="188" spans="1:95">
      <c r="A188" s="223">
        <v>45475</v>
      </c>
      <c r="B188" s="90" t="s">
        <v>97</v>
      </c>
      <c r="C188" s="44">
        <v>162.71</v>
      </c>
      <c r="D188" s="45">
        <v>160.71</v>
      </c>
      <c r="E188" s="46">
        <v>161.71</v>
      </c>
      <c r="F188" s="44">
        <v>175.01</v>
      </c>
      <c r="G188" s="45">
        <v>172.01</v>
      </c>
      <c r="H188" s="46">
        <v>173.51</v>
      </c>
      <c r="I188" s="44">
        <v>119.28</v>
      </c>
      <c r="J188" s="45">
        <v>116.08</v>
      </c>
      <c r="K188" s="46">
        <v>117.68</v>
      </c>
      <c r="L188" s="45">
        <v>208.39</v>
      </c>
      <c r="M188" s="45">
        <v>200.39</v>
      </c>
      <c r="N188" s="45">
        <v>204.39</v>
      </c>
      <c r="O188" s="44">
        <v>179.78</v>
      </c>
      <c r="P188" s="45">
        <v>177.98</v>
      </c>
      <c r="Q188" s="46">
        <v>178.88</v>
      </c>
      <c r="R188" s="45">
        <v>23.56</v>
      </c>
      <c r="S188" s="45">
        <v>22.959999999999997</v>
      </c>
      <c r="T188" s="45">
        <v>23.259999999999998</v>
      </c>
      <c r="U188" s="44">
        <v>15.47</v>
      </c>
      <c r="V188" s="45">
        <v>14.870000000000001</v>
      </c>
      <c r="W188" s="46">
        <v>15.170000000000002</v>
      </c>
      <c r="X188" s="44">
        <v>15.61</v>
      </c>
      <c r="Y188" s="45">
        <v>14.809999999999999</v>
      </c>
      <c r="Z188" s="46">
        <v>15.209999999999999</v>
      </c>
      <c r="AA188" s="44">
        <v>109.49</v>
      </c>
      <c r="AB188" s="45">
        <v>105.49</v>
      </c>
      <c r="AC188" s="46">
        <v>107.49</v>
      </c>
      <c r="AD188" s="44">
        <v>99.95</v>
      </c>
      <c r="AE188" s="45">
        <v>95.95</v>
      </c>
      <c r="AF188" s="46">
        <v>97.95</v>
      </c>
      <c r="AG188" s="45">
        <v>21.13</v>
      </c>
      <c r="AH188" s="45">
        <v>20.27</v>
      </c>
      <c r="AI188" s="45">
        <v>20.7</v>
      </c>
      <c r="AJ188" s="47" t="s">
        <v>138</v>
      </c>
      <c r="AK188" s="48"/>
      <c r="AL188" s="49"/>
      <c r="AM188" s="45">
        <v>119.88</v>
      </c>
      <c r="AN188" s="45">
        <v>118.22</v>
      </c>
      <c r="AO188" s="45">
        <v>119.05</v>
      </c>
      <c r="AP188" s="44">
        <v>43.97</v>
      </c>
      <c r="AQ188" s="45">
        <v>42.37</v>
      </c>
      <c r="AR188" s="46">
        <v>43.17</v>
      </c>
      <c r="AS188" s="45">
        <v>44.78</v>
      </c>
      <c r="AT188" s="45">
        <v>43.42</v>
      </c>
      <c r="AU188" s="45">
        <v>44.1</v>
      </c>
      <c r="AV188" s="44">
        <v>22.44</v>
      </c>
      <c r="AW188" s="45">
        <v>21.84</v>
      </c>
      <c r="AX188" s="46">
        <v>22.14</v>
      </c>
      <c r="AY188" s="44">
        <v>4.47</v>
      </c>
      <c r="AZ188" s="45">
        <v>4.3099999999999996</v>
      </c>
      <c r="BA188" s="46">
        <v>4.3899999999999997</v>
      </c>
      <c r="BB188" s="44">
        <v>2.1</v>
      </c>
      <c r="BC188" s="50">
        <v>1.8</v>
      </c>
      <c r="BD188" s="51">
        <v>1.9500000000000002</v>
      </c>
      <c r="BE188" s="45">
        <v>0.73</v>
      </c>
      <c r="BF188" s="50">
        <v>0.43</v>
      </c>
      <c r="BG188" s="50">
        <v>0.57999999999999996</v>
      </c>
      <c r="BH188" s="44">
        <v>536.46</v>
      </c>
      <c r="BI188" s="45">
        <v>520.46</v>
      </c>
      <c r="BJ188" s="46">
        <v>528.46</v>
      </c>
      <c r="BK188" s="45">
        <v>45.12</v>
      </c>
      <c r="BL188" s="45">
        <v>43.76</v>
      </c>
      <c r="BM188" s="45">
        <v>44.44</v>
      </c>
      <c r="BN188" s="52">
        <v>1.1100000000000001</v>
      </c>
      <c r="BO188" s="50">
        <v>0.87000000000000011</v>
      </c>
      <c r="BP188" s="51">
        <v>0.9900000000000001</v>
      </c>
      <c r="BQ188" s="45">
        <v>9.8000000000000007</v>
      </c>
      <c r="BR188" s="45">
        <v>7.8000000000000007</v>
      </c>
      <c r="BS188" s="45">
        <v>8.8000000000000007</v>
      </c>
      <c r="BT188" s="44">
        <v>11.88</v>
      </c>
      <c r="BU188" s="45">
        <v>11.48</v>
      </c>
      <c r="BV188" s="46">
        <v>11.68</v>
      </c>
      <c r="BW188" s="44">
        <v>2.92</v>
      </c>
      <c r="BX188" s="50">
        <v>2.6399999999999997</v>
      </c>
      <c r="BY188" s="51">
        <v>2.78</v>
      </c>
      <c r="BZ188" s="44">
        <v>10.3</v>
      </c>
      <c r="CA188" s="45">
        <v>7.3000000000000007</v>
      </c>
      <c r="CB188" s="46">
        <v>8.8000000000000007</v>
      </c>
      <c r="CC188" s="44">
        <v>7.02</v>
      </c>
      <c r="CD188" s="45">
        <v>6.7799999999999994</v>
      </c>
      <c r="CE188" s="46">
        <v>6.8999999999999995</v>
      </c>
      <c r="CF188" s="44">
        <v>2.11</v>
      </c>
      <c r="CG188" s="45">
        <v>1.6099999999999999</v>
      </c>
      <c r="CH188" s="46">
        <v>1.8599999999999999</v>
      </c>
      <c r="CI188" s="44">
        <v>0.46</v>
      </c>
      <c r="CJ188" s="45">
        <v>0.42000000000000004</v>
      </c>
      <c r="CK188" s="46">
        <v>0.44000000000000006</v>
      </c>
      <c r="CL188" s="44">
        <v>41.44</v>
      </c>
      <c r="CM188">
        <v>39.04</v>
      </c>
      <c r="CN188">
        <v>40.239999999999995</v>
      </c>
      <c r="CO188">
        <v>7.46</v>
      </c>
      <c r="CP188">
        <v>2.46</v>
      </c>
      <c r="CQ188">
        <v>4.96</v>
      </c>
    </row>
    <row r="189" spans="1:95">
      <c r="A189" s="223">
        <v>45476</v>
      </c>
      <c r="B189" s="90" t="s">
        <v>98</v>
      </c>
      <c r="C189" s="44">
        <v>162.61000000000001</v>
      </c>
      <c r="D189" s="45">
        <v>160.61000000000001</v>
      </c>
      <c r="E189" s="46">
        <v>161.61000000000001</v>
      </c>
      <c r="F189" s="44">
        <v>175.23</v>
      </c>
      <c r="G189" s="45">
        <v>172.23</v>
      </c>
      <c r="H189" s="46">
        <v>173.73</v>
      </c>
      <c r="I189" s="44">
        <v>119.77</v>
      </c>
      <c r="J189" s="45">
        <v>116.57</v>
      </c>
      <c r="K189" s="46">
        <v>118.16999999999999</v>
      </c>
      <c r="L189" s="45">
        <v>209.12</v>
      </c>
      <c r="M189" s="45">
        <v>201.12</v>
      </c>
      <c r="N189" s="45">
        <v>205.12</v>
      </c>
      <c r="O189" s="44">
        <v>179.67</v>
      </c>
      <c r="P189" s="45">
        <v>177.86999999999998</v>
      </c>
      <c r="Q189" s="46">
        <v>178.76999999999998</v>
      </c>
      <c r="R189" s="45">
        <v>23.59</v>
      </c>
      <c r="S189" s="45">
        <v>22.99</v>
      </c>
      <c r="T189" s="45">
        <v>23.29</v>
      </c>
      <c r="U189" s="44">
        <v>15.46</v>
      </c>
      <c r="V189" s="45">
        <v>14.860000000000001</v>
      </c>
      <c r="W189" s="46">
        <v>15.16</v>
      </c>
      <c r="X189" s="44">
        <v>15.69</v>
      </c>
      <c r="Y189" s="45">
        <v>14.889999999999999</v>
      </c>
      <c r="Z189" s="46">
        <v>15.29</v>
      </c>
      <c r="AA189" s="44">
        <v>109.83</v>
      </c>
      <c r="AB189" s="45">
        <v>105.83</v>
      </c>
      <c r="AC189" s="46">
        <v>107.83</v>
      </c>
      <c r="AD189" s="44">
        <v>100.34</v>
      </c>
      <c r="AE189" s="45">
        <v>96.34</v>
      </c>
      <c r="AF189" s="46">
        <v>98.34</v>
      </c>
      <c r="AG189" s="45">
        <v>21.11</v>
      </c>
      <c r="AH189" s="45">
        <v>20.25</v>
      </c>
      <c r="AI189" s="45">
        <v>20.68</v>
      </c>
      <c r="AJ189" s="47"/>
      <c r="AK189" s="48"/>
      <c r="AL189" s="49"/>
      <c r="AM189" s="45">
        <v>119.98</v>
      </c>
      <c r="AN189" s="45">
        <v>118.32000000000001</v>
      </c>
      <c r="AO189" s="45">
        <v>119.15</v>
      </c>
      <c r="AP189" s="44">
        <v>43.95</v>
      </c>
      <c r="AQ189" s="45">
        <v>42.35</v>
      </c>
      <c r="AR189" s="46">
        <v>43.150000000000006</v>
      </c>
      <c r="AS189" s="45">
        <v>44.75</v>
      </c>
      <c r="AT189" s="45">
        <v>43.39</v>
      </c>
      <c r="AU189" s="45">
        <v>44.07</v>
      </c>
      <c r="AV189" s="44">
        <v>22.41</v>
      </c>
      <c r="AW189" s="45">
        <v>21.81</v>
      </c>
      <c r="AX189" s="46">
        <v>22.11</v>
      </c>
      <c r="AY189" s="44">
        <v>4.4800000000000004</v>
      </c>
      <c r="AZ189" s="45">
        <v>4.32</v>
      </c>
      <c r="BA189" s="46">
        <v>4.4000000000000004</v>
      </c>
      <c r="BB189" s="44">
        <v>2.1</v>
      </c>
      <c r="BC189" s="50">
        <v>1.8</v>
      </c>
      <c r="BD189" s="51">
        <v>1.9500000000000002</v>
      </c>
      <c r="BE189" s="45">
        <v>0.73</v>
      </c>
      <c r="BF189" s="50">
        <v>0.43</v>
      </c>
      <c r="BG189" s="50">
        <v>0.57999999999999996</v>
      </c>
      <c r="BH189" s="44">
        <v>536.30999999999995</v>
      </c>
      <c r="BI189" s="45">
        <v>520.30999999999995</v>
      </c>
      <c r="BJ189" s="46">
        <v>528.30999999999995</v>
      </c>
      <c r="BK189" s="45">
        <v>45.09</v>
      </c>
      <c r="BL189" s="45">
        <v>43.730000000000004</v>
      </c>
      <c r="BM189" s="45">
        <v>44.410000000000004</v>
      </c>
      <c r="BN189" s="52">
        <v>1.1100000000000001</v>
      </c>
      <c r="BO189" s="50">
        <v>0.87000000000000011</v>
      </c>
      <c r="BP189" s="51">
        <v>0.9900000000000001</v>
      </c>
      <c r="BQ189" s="45">
        <v>9.86</v>
      </c>
      <c r="BR189" s="45">
        <v>7.8599999999999994</v>
      </c>
      <c r="BS189" s="45">
        <v>8.86</v>
      </c>
      <c r="BT189" s="44">
        <v>11.86</v>
      </c>
      <c r="BU189" s="45">
        <v>11.459999999999999</v>
      </c>
      <c r="BV189" s="46">
        <v>11.66</v>
      </c>
      <c r="BW189" s="44">
        <v>2.91</v>
      </c>
      <c r="BX189" s="50">
        <v>2.63</v>
      </c>
      <c r="BY189" s="51">
        <v>2.77</v>
      </c>
      <c r="BZ189" s="44">
        <v>10.18</v>
      </c>
      <c r="CA189" s="45">
        <v>7.18</v>
      </c>
      <c r="CB189" s="46">
        <v>8.68</v>
      </c>
      <c r="CC189" s="44">
        <v>7.02</v>
      </c>
      <c r="CD189" s="45">
        <v>6.7799999999999994</v>
      </c>
      <c r="CE189" s="46">
        <v>6.8999999999999995</v>
      </c>
      <c r="CF189" s="44">
        <v>2.09</v>
      </c>
      <c r="CG189" s="45">
        <v>1.5899999999999999</v>
      </c>
      <c r="CH189" s="46">
        <v>1.8399999999999999</v>
      </c>
      <c r="CI189" s="44">
        <v>0.46</v>
      </c>
      <c r="CJ189" s="45">
        <v>0.42000000000000004</v>
      </c>
      <c r="CK189" s="46">
        <v>0.44000000000000006</v>
      </c>
      <c r="CL189" s="44">
        <v>41.53</v>
      </c>
      <c r="CM189">
        <v>39.130000000000003</v>
      </c>
      <c r="CN189">
        <v>40.33</v>
      </c>
      <c r="CO189">
        <v>7.48</v>
      </c>
      <c r="CP189">
        <v>2.4800000000000004</v>
      </c>
      <c r="CQ189">
        <v>4.9800000000000004</v>
      </c>
    </row>
    <row r="190" spans="1:95">
      <c r="A190" s="223">
        <v>45477</v>
      </c>
      <c r="B190" s="90" t="s">
        <v>99</v>
      </c>
      <c r="C190" s="44">
        <v>162.47</v>
      </c>
      <c r="D190" s="45">
        <v>160.47</v>
      </c>
      <c r="E190" s="46">
        <v>161.47</v>
      </c>
      <c r="F190" s="44">
        <v>175.74</v>
      </c>
      <c r="G190" s="45">
        <v>172.74</v>
      </c>
      <c r="H190" s="46">
        <v>174.24</v>
      </c>
      <c r="I190" s="44">
        <v>120.07</v>
      </c>
      <c r="J190" s="45">
        <v>116.86999999999999</v>
      </c>
      <c r="K190" s="46">
        <v>118.47</v>
      </c>
      <c r="L190" s="45">
        <v>209.86</v>
      </c>
      <c r="M190" s="45">
        <v>201.86</v>
      </c>
      <c r="N190" s="45">
        <v>205.86</v>
      </c>
      <c r="O190" s="44">
        <v>180.07</v>
      </c>
      <c r="P190" s="45">
        <v>178.26999999999998</v>
      </c>
      <c r="Q190" s="46">
        <v>179.17</v>
      </c>
      <c r="R190" s="45">
        <v>23.66</v>
      </c>
      <c r="S190" s="45">
        <v>23.06</v>
      </c>
      <c r="T190" s="45">
        <v>23.36</v>
      </c>
      <c r="U190" s="44">
        <v>15.61</v>
      </c>
      <c r="V190" s="45">
        <v>15.01</v>
      </c>
      <c r="W190" s="46">
        <v>15.309999999999999</v>
      </c>
      <c r="X190" s="44">
        <v>15.79</v>
      </c>
      <c r="Y190" s="45">
        <v>14.989999999999998</v>
      </c>
      <c r="Z190" s="46">
        <v>15.389999999999999</v>
      </c>
      <c r="AA190" s="44">
        <v>110.41</v>
      </c>
      <c r="AB190" s="45">
        <v>106.41</v>
      </c>
      <c r="AC190" s="46">
        <v>108.41</v>
      </c>
      <c r="AD190" s="44">
        <v>100.69</v>
      </c>
      <c r="AE190" s="45">
        <v>96.69</v>
      </c>
      <c r="AF190" s="46">
        <v>98.69</v>
      </c>
      <c r="AG190" s="45">
        <v>21.1</v>
      </c>
      <c r="AH190" s="45">
        <v>20.240000000000002</v>
      </c>
      <c r="AI190" s="45">
        <v>20.67</v>
      </c>
      <c r="AJ190" s="47"/>
      <c r="AK190" s="48"/>
      <c r="AL190" s="49"/>
      <c r="AM190" s="45">
        <v>120.22</v>
      </c>
      <c r="AN190" s="45">
        <v>118.56</v>
      </c>
      <c r="AO190" s="45">
        <v>119.39</v>
      </c>
      <c r="AP190" s="44">
        <v>43.92</v>
      </c>
      <c r="AQ190" s="45">
        <v>42.32</v>
      </c>
      <c r="AR190" s="46">
        <v>43.120000000000005</v>
      </c>
      <c r="AS190" s="45">
        <v>44.71</v>
      </c>
      <c r="AT190" s="45">
        <v>43.35</v>
      </c>
      <c r="AU190" s="45">
        <v>44.03</v>
      </c>
      <c r="AV190" s="44">
        <v>22.42</v>
      </c>
      <c r="AW190" s="45">
        <v>21.82</v>
      </c>
      <c r="AX190" s="46">
        <v>22.12</v>
      </c>
      <c r="AY190" s="44">
        <v>4.49</v>
      </c>
      <c r="AZ190" s="45">
        <v>4.33</v>
      </c>
      <c r="BA190" s="46">
        <v>4.41</v>
      </c>
      <c r="BB190" s="44">
        <v>2.1</v>
      </c>
      <c r="BC190" s="50">
        <v>1.8</v>
      </c>
      <c r="BD190" s="51">
        <v>1.9500000000000002</v>
      </c>
      <c r="BE190" s="45">
        <v>0.73</v>
      </c>
      <c r="BF190" s="50">
        <v>0.43</v>
      </c>
      <c r="BG190" s="50">
        <v>0.57999999999999996</v>
      </c>
      <c r="BH190" s="44">
        <v>534.48</v>
      </c>
      <c r="BI190" s="45">
        <v>518.48</v>
      </c>
      <c r="BJ190" s="46">
        <v>526.48</v>
      </c>
      <c r="BK190" s="45">
        <v>45.04</v>
      </c>
      <c r="BL190" s="45">
        <v>43.68</v>
      </c>
      <c r="BM190" s="45">
        <v>44.36</v>
      </c>
      <c r="BN190" s="52">
        <v>1.1000000000000001</v>
      </c>
      <c r="BO190" s="50">
        <v>0.8600000000000001</v>
      </c>
      <c r="BP190" s="51">
        <v>0.98000000000000009</v>
      </c>
      <c r="BQ190" s="45">
        <v>9.8800000000000008</v>
      </c>
      <c r="BR190" s="45">
        <v>7.8800000000000008</v>
      </c>
      <c r="BS190" s="45">
        <v>8.8800000000000008</v>
      </c>
      <c r="BT190" s="44">
        <v>11.9</v>
      </c>
      <c r="BU190" s="45">
        <v>11.5</v>
      </c>
      <c r="BV190" s="46">
        <v>11.7</v>
      </c>
      <c r="BW190" s="44">
        <v>2.91</v>
      </c>
      <c r="BX190" s="50">
        <v>2.63</v>
      </c>
      <c r="BY190" s="51">
        <v>2.77</v>
      </c>
      <c r="BZ190" s="44">
        <v>10.26</v>
      </c>
      <c r="CA190" s="45">
        <v>7.26</v>
      </c>
      <c r="CB190" s="46">
        <v>8.76</v>
      </c>
      <c r="CC190" s="44">
        <v>7.06</v>
      </c>
      <c r="CD190" s="45">
        <v>6.8199999999999994</v>
      </c>
      <c r="CE190" s="46">
        <v>6.9399999999999995</v>
      </c>
      <c r="CF190" s="44">
        <v>2.08</v>
      </c>
      <c r="CG190" s="45">
        <v>1.58</v>
      </c>
      <c r="CH190" s="46">
        <v>1.83</v>
      </c>
      <c r="CI190" s="44">
        <v>0.46</v>
      </c>
      <c r="CJ190" s="45">
        <v>0.42000000000000004</v>
      </c>
      <c r="CK190" s="46">
        <v>0.44000000000000006</v>
      </c>
      <c r="CL190" s="44">
        <v>41.72</v>
      </c>
      <c r="CM190">
        <v>39.32</v>
      </c>
      <c r="CN190">
        <v>40.519999999999996</v>
      </c>
      <c r="CO190">
        <v>7.46</v>
      </c>
      <c r="CP190">
        <v>2.46</v>
      </c>
      <c r="CQ190">
        <v>4.96</v>
      </c>
    </row>
    <row r="191" spans="1:95">
      <c r="A191" s="223">
        <v>45478</v>
      </c>
      <c r="B191" s="90" t="s">
        <v>100</v>
      </c>
      <c r="C191" s="44">
        <v>162.16999999999999</v>
      </c>
      <c r="D191" s="45">
        <v>160.16999999999999</v>
      </c>
      <c r="E191" s="46">
        <v>161.16999999999999</v>
      </c>
      <c r="F191" s="44">
        <v>175.82</v>
      </c>
      <c r="G191" s="45">
        <v>172.82</v>
      </c>
      <c r="H191" s="46">
        <v>174.32</v>
      </c>
      <c r="I191" s="44">
        <v>120.05</v>
      </c>
      <c r="J191" s="45">
        <v>116.85</v>
      </c>
      <c r="K191" s="46">
        <v>118.44999999999999</v>
      </c>
      <c r="L191" s="45">
        <v>209.73</v>
      </c>
      <c r="M191" s="45">
        <v>201.73</v>
      </c>
      <c r="N191" s="45">
        <v>205.73</v>
      </c>
      <c r="O191" s="44">
        <v>179.96</v>
      </c>
      <c r="P191" s="45">
        <v>178.16</v>
      </c>
      <c r="Q191" s="46">
        <v>179.06</v>
      </c>
      <c r="R191" s="45">
        <v>23.67</v>
      </c>
      <c r="S191" s="45">
        <v>23.07</v>
      </c>
      <c r="T191" s="45">
        <v>23.37</v>
      </c>
      <c r="U191" s="44">
        <v>15.55</v>
      </c>
      <c r="V191" s="45">
        <v>14.950000000000001</v>
      </c>
      <c r="W191" s="46">
        <v>15.25</v>
      </c>
      <c r="X191" s="44">
        <v>15.76</v>
      </c>
      <c r="Y191" s="45">
        <v>14.959999999999999</v>
      </c>
      <c r="Z191" s="46">
        <v>15.36</v>
      </c>
      <c r="AA191" s="44">
        <v>110.5</v>
      </c>
      <c r="AB191" s="45">
        <v>106.5</v>
      </c>
      <c r="AC191" s="46">
        <v>108.5</v>
      </c>
      <c r="AD191" s="44">
        <v>100.62</v>
      </c>
      <c r="AE191" s="45">
        <v>96.62</v>
      </c>
      <c r="AF191" s="46">
        <v>98.62</v>
      </c>
      <c r="AG191" s="45">
        <v>21.07</v>
      </c>
      <c r="AH191" s="45">
        <v>20.21</v>
      </c>
      <c r="AI191" s="45">
        <v>20.64</v>
      </c>
      <c r="AJ191" s="47"/>
      <c r="AK191" s="48"/>
      <c r="AL191" s="49"/>
      <c r="AM191" s="45">
        <v>120.14</v>
      </c>
      <c r="AN191" s="45">
        <v>118.48</v>
      </c>
      <c r="AO191" s="45">
        <v>119.31</v>
      </c>
      <c r="AP191" s="44">
        <v>43.84</v>
      </c>
      <c r="AQ191" s="45">
        <v>42.24</v>
      </c>
      <c r="AR191" s="46">
        <v>43.040000000000006</v>
      </c>
      <c r="AS191" s="45">
        <v>44.63</v>
      </c>
      <c r="AT191" s="45">
        <v>43.27</v>
      </c>
      <c r="AU191" s="45">
        <v>43.95</v>
      </c>
      <c r="AV191" s="44">
        <v>22.4</v>
      </c>
      <c r="AW191" s="45">
        <v>21.799999999999997</v>
      </c>
      <c r="AX191" s="46">
        <v>22.099999999999998</v>
      </c>
      <c r="AY191" s="44">
        <v>4.49</v>
      </c>
      <c r="AZ191" s="45">
        <v>4.33</v>
      </c>
      <c r="BA191" s="46">
        <v>4.41</v>
      </c>
      <c r="BB191" s="44">
        <v>2.09</v>
      </c>
      <c r="BC191" s="50">
        <v>1.7899999999999998</v>
      </c>
      <c r="BD191" s="51">
        <v>1.94</v>
      </c>
      <c r="BE191" s="45">
        <v>0.73</v>
      </c>
      <c r="BF191" s="50">
        <v>0.43</v>
      </c>
      <c r="BG191" s="50">
        <v>0.57999999999999996</v>
      </c>
      <c r="BH191" s="44">
        <v>535.39</v>
      </c>
      <c r="BI191" s="45">
        <v>519.39</v>
      </c>
      <c r="BJ191" s="46">
        <v>527.39</v>
      </c>
      <c r="BK191" s="45">
        <v>44.97</v>
      </c>
      <c r="BL191" s="45">
        <v>43.61</v>
      </c>
      <c r="BM191" s="45">
        <v>44.29</v>
      </c>
      <c r="BN191" s="52">
        <v>1.1100000000000001</v>
      </c>
      <c r="BO191" s="50">
        <v>0.87000000000000011</v>
      </c>
      <c r="BP191" s="51">
        <v>0.9900000000000001</v>
      </c>
      <c r="BQ191" s="45">
        <v>9.92</v>
      </c>
      <c r="BR191" s="45">
        <v>7.92</v>
      </c>
      <c r="BS191" s="45">
        <v>8.92</v>
      </c>
      <c r="BT191" s="44">
        <v>11.92</v>
      </c>
      <c r="BU191" s="45">
        <v>11.52</v>
      </c>
      <c r="BV191" s="46">
        <v>11.719999999999999</v>
      </c>
      <c r="BW191" s="44">
        <v>2.91</v>
      </c>
      <c r="BX191" s="50">
        <v>2.63</v>
      </c>
      <c r="BY191" s="51">
        <v>2.77</v>
      </c>
      <c r="BZ191" s="44">
        <v>10.33</v>
      </c>
      <c r="CA191" s="45">
        <v>7.33</v>
      </c>
      <c r="CB191" s="46">
        <v>8.83</v>
      </c>
      <c r="CC191" s="44">
        <v>7.06</v>
      </c>
      <c r="CD191" s="45">
        <v>6.8199999999999994</v>
      </c>
      <c r="CE191" s="46">
        <v>6.9399999999999995</v>
      </c>
      <c r="CF191" s="44">
        <v>2.06</v>
      </c>
      <c r="CG191" s="45">
        <v>1.56</v>
      </c>
      <c r="CH191" s="46">
        <v>1.81</v>
      </c>
      <c r="CI191" s="44">
        <v>0.46</v>
      </c>
      <c r="CJ191" s="45">
        <v>0.42000000000000004</v>
      </c>
      <c r="CK191" s="46">
        <v>0.44000000000000006</v>
      </c>
      <c r="CL191" s="44">
        <v>41.93</v>
      </c>
      <c r="CM191">
        <v>39.53</v>
      </c>
      <c r="CN191">
        <v>40.730000000000004</v>
      </c>
      <c r="CO191">
        <v>7.46</v>
      </c>
      <c r="CP191">
        <v>2.46</v>
      </c>
      <c r="CQ191">
        <v>4.96</v>
      </c>
    </row>
    <row r="192" spans="1:95">
      <c r="A192" s="223">
        <v>45479</v>
      </c>
      <c r="B192" s="90" t="s">
        <v>307</v>
      </c>
      <c r="C192" s="44"/>
      <c r="D192" s="45"/>
      <c r="E192" s="46"/>
      <c r="F192" s="44"/>
      <c r="G192" s="45"/>
      <c r="H192" s="46"/>
      <c r="I192" s="44"/>
      <c r="J192" s="45"/>
      <c r="K192" s="46"/>
      <c r="L192" s="45"/>
      <c r="M192" s="45"/>
      <c r="N192" s="45"/>
      <c r="O192" s="44"/>
      <c r="P192" s="45"/>
      <c r="Q192" s="46"/>
      <c r="R192" s="45"/>
      <c r="S192" s="45"/>
      <c r="T192" s="45"/>
      <c r="U192" s="44"/>
      <c r="V192" s="45"/>
      <c r="W192" s="46"/>
      <c r="X192" s="44"/>
      <c r="Y192" s="45"/>
      <c r="Z192" s="46"/>
      <c r="AA192" s="44"/>
      <c r="AB192" s="45"/>
      <c r="AC192" s="46"/>
      <c r="AD192" s="44"/>
      <c r="AE192" s="45"/>
      <c r="AF192" s="46"/>
      <c r="AG192" s="45"/>
      <c r="AH192" s="45"/>
      <c r="AI192" s="45"/>
      <c r="AJ192" s="47"/>
      <c r="AK192" s="48"/>
      <c r="AL192" s="49"/>
      <c r="AM192" s="45"/>
      <c r="AN192" s="45"/>
      <c r="AO192" s="45"/>
      <c r="AP192" s="44"/>
      <c r="AQ192" s="45"/>
      <c r="AR192" s="46"/>
      <c r="AS192" s="45"/>
      <c r="AT192" s="45"/>
      <c r="AU192" s="45"/>
      <c r="AV192" s="44"/>
      <c r="AW192" s="45"/>
      <c r="AX192" s="46"/>
      <c r="AY192" s="44"/>
      <c r="AZ192" s="45"/>
      <c r="BA192" s="46"/>
      <c r="BB192" s="44"/>
      <c r="BC192" s="50"/>
      <c r="BD192" s="51"/>
      <c r="BE192" s="45"/>
      <c r="BF192" s="50"/>
      <c r="BG192" s="50"/>
      <c r="BH192" s="44"/>
      <c r="BI192" s="45"/>
      <c r="BJ192" s="46"/>
      <c r="BK192" s="45"/>
      <c r="BL192" s="45"/>
      <c r="BM192" s="45"/>
      <c r="BN192" s="52"/>
      <c r="BO192" s="50"/>
      <c r="BP192" s="51"/>
      <c r="BQ192" s="45"/>
      <c r="BR192" s="45"/>
      <c r="BS192" s="45"/>
      <c r="BT192" s="44"/>
      <c r="BU192" s="45"/>
      <c r="BV192" s="46"/>
      <c r="BW192" s="44"/>
      <c r="BX192" s="50"/>
      <c r="BY192" s="51"/>
      <c r="BZ192" s="44"/>
      <c r="CA192" s="45"/>
      <c r="CB192" s="46"/>
      <c r="CC192" s="44"/>
      <c r="CD192" s="45"/>
      <c r="CE192" s="46"/>
      <c r="CF192" s="44"/>
      <c r="CG192" s="45"/>
      <c r="CH192" s="46"/>
      <c r="CI192" s="44"/>
      <c r="CJ192" s="45"/>
      <c r="CK192" s="46"/>
      <c r="CL192" s="44"/>
    </row>
    <row r="193" spans="1:95">
      <c r="A193" s="223">
        <v>45480</v>
      </c>
      <c r="B193" s="90" t="s">
        <v>308</v>
      </c>
      <c r="C193" s="44"/>
      <c r="D193" s="45"/>
      <c r="E193" s="46"/>
      <c r="F193" s="44"/>
      <c r="G193" s="45"/>
      <c r="H193" s="46"/>
      <c r="I193" s="44"/>
      <c r="J193" s="45"/>
      <c r="K193" s="46"/>
      <c r="L193" s="45"/>
      <c r="M193" s="45"/>
      <c r="N193" s="45"/>
      <c r="O193" s="44"/>
      <c r="P193" s="45"/>
      <c r="Q193" s="46"/>
      <c r="R193" s="45"/>
      <c r="S193" s="45"/>
      <c r="T193" s="45"/>
      <c r="U193" s="44"/>
      <c r="V193" s="45"/>
      <c r="W193" s="46"/>
      <c r="X193" s="44"/>
      <c r="Y193" s="45"/>
      <c r="Z193" s="46"/>
      <c r="AA193" s="44"/>
      <c r="AB193" s="45"/>
      <c r="AC193" s="46"/>
      <c r="AD193" s="44"/>
      <c r="AE193" s="45"/>
      <c r="AF193" s="46"/>
      <c r="AG193" s="45"/>
      <c r="AH193" s="45"/>
      <c r="AI193" s="45"/>
      <c r="AJ193" s="47"/>
      <c r="AK193" s="48"/>
      <c r="AL193" s="49"/>
      <c r="AM193" s="45"/>
      <c r="AN193" s="45"/>
      <c r="AO193" s="45"/>
      <c r="AP193" s="44"/>
      <c r="AQ193" s="45"/>
      <c r="AR193" s="46"/>
      <c r="AS193" s="45"/>
      <c r="AT193" s="45"/>
      <c r="AU193" s="45"/>
      <c r="AV193" s="44"/>
      <c r="AW193" s="45"/>
      <c r="AX193" s="46"/>
      <c r="AY193" s="44"/>
      <c r="AZ193" s="45"/>
      <c r="BA193" s="46"/>
      <c r="BB193" s="44"/>
      <c r="BC193" s="50"/>
      <c r="BD193" s="51"/>
      <c r="BE193" s="45"/>
      <c r="BF193" s="50"/>
      <c r="BG193" s="50"/>
      <c r="BH193" s="44"/>
      <c r="BI193" s="45"/>
      <c r="BJ193" s="46"/>
      <c r="BK193" s="45"/>
      <c r="BL193" s="45"/>
      <c r="BM193" s="45"/>
      <c r="BN193" s="52"/>
      <c r="BO193" s="50"/>
      <c r="BP193" s="51"/>
      <c r="BQ193" s="45"/>
      <c r="BR193" s="45"/>
      <c r="BS193" s="45"/>
      <c r="BT193" s="44"/>
      <c r="BU193" s="45"/>
      <c r="BV193" s="46"/>
      <c r="BW193" s="44"/>
      <c r="BX193" s="50"/>
      <c r="BY193" s="51"/>
      <c r="BZ193" s="44"/>
      <c r="CA193" s="45"/>
      <c r="CB193" s="46"/>
      <c r="CC193" s="44"/>
      <c r="CD193" s="45"/>
      <c r="CE193" s="46"/>
      <c r="CF193" s="44"/>
      <c r="CG193" s="45"/>
      <c r="CH193" s="46"/>
      <c r="CI193" s="44"/>
      <c r="CJ193" s="45"/>
      <c r="CK193" s="46"/>
      <c r="CL193" s="44"/>
    </row>
    <row r="194" spans="1:95">
      <c r="A194" s="223">
        <v>45481</v>
      </c>
      <c r="B194" s="90" t="s">
        <v>96</v>
      </c>
      <c r="C194" s="44">
        <v>161.77000000000001</v>
      </c>
      <c r="D194" s="45">
        <v>159.77000000000001</v>
      </c>
      <c r="E194" s="46">
        <v>160.77000000000001</v>
      </c>
      <c r="F194" s="44">
        <v>175.47</v>
      </c>
      <c r="G194" s="45">
        <v>172.47</v>
      </c>
      <c r="H194" s="46">
        <v>173.97</v>
      </c>
      <c r="I194" s="44">
        <v>119.43</v>
      </c>
      <c r="J194" s="45">
        <v>116.23</v>
      </c>
      <c r="K194" s="46">
        <v>117.83000000000001</v>
      </c>
      <c r="L194" s="45">
        <v>209.85</v>
      </c>
      <c r="M194" s="45">
        <v>201.85</v>
      </c>
      <c r="N194" s="45">
        <v>205.85</v>
      </c>
      <c r="O194" s="44">
        <v>180.37</v>
      </c>
      <c r="P194" s="45">
        <v>178.57</v>
      </c>
      <c r="Q194" s="46">
        <v>179.47</v>
      </c>
      <c r="R194" s="45">
        <v>23.62</v>
      </c>
      <c r="S194" s="45">
        <v>23.02</v>
      </c>
      <c r="T194" s="45">
        <v>23.32</v>
      </c>
      <c r="U194" s="44">
        <v>15.51</v>
      </c>
      <c r="V194" s="45">
        <v>14.91</v>
      </c>
      <c r="W194" s="46">
        <v>15.21</v>
      </c>
      <c r="X194" s="44">
        <v>15.69</v>
      </c>
      <c r="Y194" s="45">
        <v>14.889999999999999</v>
      </c>
      <c r="Z194" s="46">
        <v>15.29</v>
      </c>
      <c r="AA194" s="44">
        <v>110.39</v>
      </c>
      <c r="AB194" s="45">
        <v>106.39</v>
      </c>
      <c r="AC194" s="46">
        <v>108.39</v>
      </c>
      <c r="AD194" s="44">
        <v>100.66</v>
      </c>
      <c r="AE194" s="45">
        <v>96.66</v>
      </c>
      <c r="AF194" s="46">
        <v>98.66</v>
      </c>
      <c r="AG194" s="45">
        <v>21.01</v>
      </c>
      <c r="AH194" s="45">
        <v>20.150000000000002</v>
      </c>
      <c r="AI194" s="45">
        <v>20.580000000000002</v>
      </c>
      <c r="AJ194" s="47"/>
      <c r="AK194" s="48"/>
      <c r="AL194" s="49"/>
      <c r="AM194" s="45">
        <v>120</v>
      </c>
      <c r="AN194" s="45">
        <v>118.34</v>
      </c>
      <c r="AO194" s="45">
        <v>119.17</v>
      </c>
      <c r="AP194" s="44">
        <v>43.73</v>
      </c>
      <c r="AQ194" s="45">
        <v>42.129999999999995</v>
      </c>
      <c r="AR194" s="46">
        <v>42.929999999999993</v>
      </c>
      <c r="AS194" s="45">
        <v>44.52</v>
      </c>
      <c r="AT194" s="45">
        <v>43.160000000000004</v>
      </c>
      <c r="AU194" s="45">
        <v>43.84</v>
      </c>
      <c r="AV194" s="44">
        <v>22.35</v>
      </c>
      <c r="AW194" s="45">
        <v>21.75</v>
      </c>
      <c r="AX194" s="46">
        <v>22.05</v>
      </c>
      <c r="AY194" s="44">
        <v>4.49</v>
      </c>
      <c r="AZ194" s="45">
        <v>4.33</v>
      </c>
      <c r="BA194" s="46">
        <v>4.41</v>
      </c>
      <c r="BB194" s="44">
        <v>2.08</v>
      </c>
      <c r="BC194" s="50">
        <v>1.78</v>
      </c>
      <c r="BD194" s="51">
        <v>1.9300000000000002</v>
      </c>
      <c r="BE194" s="45">
        <v>0.73</v>
      </c>
      <c r="BF194" s="50">
        <v>0.43</v>
      </c>
      <c r="BG194" s="50">
        <v>0.57999999999999996</v>
      </c>
      <c r="BH194" s="44">
        <v>534.41999999999996</v>
      </c>
      <c r="BI194" s="45">
        <v>518.41999999999996</v>
      </c>
      <c r="BJ194" s="46">
        <v>526.41999999999996</v>
      </c>
      <c r="BK194" s="45">
        <v>44.86</v>
      </c>
      <c r="BL194" s="45">
        <v>43.5</v>
      </c>
      <c r="BM194" s="45">
        <v>44.18</v>
      </c>
      <c r="BN194" s="52">
        <v>1.1100000000000001</v>
      </c>
      <c r="BO194" s="50">
        <v>0.87000000000000011</v>
      </c>
      <c r="BP194" s="51">
        <v>0.9900000000000001</v>
      </c>
      <c r="BQ194" s="45">
        <v>9.8800000000000008</v>
      </c>
      <c r="BR194" s="45">
        <v>7.8800000000000008</v>
      </c>
      <c r="BS194" s="45">
        <v>8.8800000000000008</v>
      </c>
      <c r="BT194" s="44">
        <v>11.86</v>
      </c>
      <c r="BU194" s="45">
        <v>11.459999999999999</v>
      </c>
      <c r="BV194" s="46">
        <v>11.66</v>
      </c>
      <c r="BW194" s="44">
        <v>2.91</v>
      </c>
      <c r="BX194" s="50">
        <v>2.63</v>
      </c>
      <c r="BY194" s="51">
        <v>2.77</v>
      </c>
      <c r="BZ194" s="44">
        <v>10.34</v>
      </c>
      <c r="CA194" s="45">
        <v>7.34</v>
      </c>
      <c r="CB194" s="46">
        <v>8.84</v>
      </c>
      <c r="CC194" s="44">
        <v>7.03</v>
      </c>
      <c r="CD194" s="45">
        <v>6.79</v>
      </c>
      <c r="CE194" s="46">
        <v>6.91</v>
      </c>
      <c r="CF194" s="44">
        <v>2.08</v>
      </c>
      <c r="CG194" s="45">
        <v>1.58</v>
      </c>
      <c r="CH194" s="46">
        <v>1.83</v>
      </c>
      <c r="CI194" s="44">
        <v>0.46</v>
      </c>
      <c r="CJ194" s="45">
        <v>0.42000000000000004</v>
      </c>
      <c r="CK194" s="46">
        <v>0.44000000000000006</v>
      </c>
      <c r="CL194" s="44">
        <v>41.84</v>
      </c>
      <c r="CM194">
        <v>39.440000000000005</v>
      </c>
      <c r="CN194">
        <v>40.64</v>
      </c>
      <c r="CO194">
        <v>7.44</v>
      </c>
      <c r="CP194">
        <v>2.4400000000000004</v>
      </c>
      <c r="CQ194">
        <v>4.9400000000000004</v>
      </c>
    </row>
    <row r="195" spans="1:95">
      <c r="A195" s="223">
        <v>45482</v>
      </c>
      <c r="B195" s="90" t="s">
        <v>97</v>
      </c>
      <c r="C195" s="44">
        <v>161.94999999999999</v>
      </c>
      <c r="D195" s="45">
        <v>159.94999999999999</v>
      </c>
      <c r="E195" s="46">
        <v>160.94999999999999</v>
      </c>
      <c r="F195" s="44">
        <v>175.76</v>
      </c>
      <c r="G195" s="45">
        <v>172.76</v>
      </c>
      <c r="H195" s="46">
        <v>174.26</v>
      </c>
      <c r="I195" s="44">
        <v>119.61</v>
      </c>
      <c r="J195" s="45">
        <v>116.41</v>
      </c>
      <c r="K195" s="46">
        <v>118.00999999999999</v>
      </c>
      <c r="L195" s="45">
        <v>210.16</v>
      </c>
      <c r="M195" s="45">
        <v>202.16</v>
      </c>
      <c r="N195" s="45">
        <v>206.16</v>
      </c>
      <c r="O195" s="44">
        <v>180.05</v>
      </c>
      <c r="P195" s="45">
        <v>178.25</v>
      </c>
      <c r="Q195" s="46">
        <v>179.15</v>
      </c>
      <c r="R195" s="45">
        <v>23.66</v>
      </c>
      <c r="S195" s="45">
        <v>23.06</v>
      </c>
      <c r="T195" s="45">
        <v>23.36</v>
      </c>
      <c r="U195" s="44">
        <v>15.46</v>
      </c>
      <c r="V195" s="45">
        <v>14.860000000000001</v>
      </c>
      <c r="W195" s="46">
        <v>15.16</v>
      </c>
      <c r="X195" s="44">
        <v>15.61</v>
      </c>
      <c r="Y195" s="45">
        <v>14.809999999999999</v>
      </c>
      <c r="Z195" s="46">
        <v>15.209999999999999</v>
      </c>
      <c r="AA195" s="44">
        <v>110.38</v>
      </c>
      <c r="AB195" s="45">
        <v>106.38</v>
      </c>
      <c r="AC195" s="46">
        <v>108.38</v>
      </c>
      <c r="AD195" s="44">
        <v>100.57</v>
      </c>
      <c r="AE195" s="45">
        <v>96.57</v>
      </c>
      <c r="AF195" s="46">
        <v>98.57</v>
      </c>
      <c r="AG195" s="45">
        <v>21.04</v>
      </c>
      <c r="AH195" s="45">
        <v>20.18</v>
      </c>
      <c r="AI195" s="45">
        <v>20.61</v>
      </c>
      <c r="AJ195" s="47"/>
      <c r="AK195" s="48"/>
      <c r="AL195" s="49"/>
      <c r="AM195" s="45">
        <v>120.04</v>
      </c>
      <c r="AN195" s="45">
        <v>118.38000000000001</v>
      </c>
      <c r="AO195" s="45">
        <v>119.21000000000001</v>
      </c>
      <c r="AP195" s="44">
        <v>43.78</v>
      </c>
      <c r="AQ195" s="45">
        <v>42.18</v>
      </c>
      <c r="AR195" s="46">
        <v>42.980000000000004</v>
      </c>
      <c r="AS195" s="45">
        <v>44.57</v>
      </c>
      <c r="AT195" s="45">
        <v>43.21</v>
      </c>
      <c r="AU195" s="45">
        <v>43.89</v>
      </c>
      <c r="AV195" s="44">
        <v>22.38</v>
      </c>
      <c r="AW195" s="45">
        <v>21.779999999999998</v>
      </c>
      <c r="AX195" s="46">
        <v>22.08</v>
      </c>
      <c r="AY195" s="44">
        <v>4.49</v>
      </c>
      <c r="AZ195" s="45">
        <v>4.33</v>
      </c>
      <c r="BA195" s="46">
        <v>4.41</v>
      </c>
      <c r="BB195" s="44">
        <v>2.09</v>
      </c>
      <c r="BC195" s="50">
        <v>1.7899999999999998</v>
      </c>
      <c r="BD195" s="51">
        <v>1.94</v>
      </c>
      <c r="BE195" s="45">
        <v>0.73</v>
      </c>
      <c r="BF195" s="50">
        <v>0.43</v>
      </c>
      <c r="BG195" s="50">
        <v>0.57999999999999996</v>
      </c>
      <c r="BH195" s="44">
        <v>535.01</v>
      </c>
      <c r="BI195" s="45">
        <v>519.01</v>
      </c>
      <c r="BJ195" s="46">
        <v>527.01</v>
      </c>
      <c r="BK195" s="45">
        <v>44.9</v>
      </c>
      <c r="BL195" s="45">
        <v>43.54</v>
      </c>
      <c r="BM195" s="45">
        <v>44.22</v>
      </c>
      <c r="BN195" s="52">
        <v>1.1100000000000001</v>
      </c>
      <c r="BO195" s="50">
        <v>0.87000000000000011</v>
      </c>
      <c r="BP195" s="51">
        <v>0.9900000000000001</v>
      </c>
      <c r="BQ195" s="45">
        <v>9.94</v>
      </c>
      <c r="BR195" s="45">
        <v>7.9399999999999995</v>
      </c>
      <c r="BS195" s="45">
        <v>8.94</v>
      </c>
      <c r="BT195" s="44">
        <v>11.84</v>
      </c>
      <c r="BU195" s="45">
        <v>11.44</v>
      </c>
      <c r="BV195" s="46">
        <v>11.64</v>
      </c>
      <c r="BW195" s="44">
        <v>2.91</v>
      </c>
      <c r="BX195" s="50">
        <v>2.63</v>
      </c>
      <c r="BY195" s="51">
        <v>2.77</v>
      </c>
      <c r="BZ195" s="44">
        <v>10.38</v>
      </c>
      <c r="CA195" s="45">
        <v>7.3800000000000008</v>
      </c>
      <c r="CB195" s="46">
        <v>8.8800000000000008</v>
      </c>
      <c r="CC195" s="44">
        <v>7.04</v>
      </c>
      <c r="CD195" s="45">
        <v>6.8</v>
      </c>
      <c r="CE195" s="46">
        <v>6.92</v>
      </c>
      <c r="CF195" s="44">
        <v>2.1</v>
      </c>
      <c r="CG195" s="45">
        <v>1.6</v>
      </c>
      <c r="CH195" s="46">
        <v>1.85</v>
      </c>
      <c r="CI195" s="44">
        <v>0.46</v>
      </c>
      <c r="CJ195" s="45">
        <v>0.42000000000000004</v>
      </c>
      <c r="CK195" s="46">
        <v>0.44000000000000006</v>
      </c>
      <c r="CL195" s="44">
        <v>42.05</v>
      </c>
      <c r="CM195">
        <v>39.65</v>
      </c>
      <c r="CN195">
        <v>40.849999999999994</v>
      </c>
      <c r="CO195">
        <v>7.43</v>
      </c>
      <c r="CP195">
        <v>2.4299999999999997</v>
      </c>
      <c r="CQ195">
        <v>4.93</v>
      </c>
    </row>
    <row r="196" spans="1:95">
      <c r="A196" s="223">
        <v>45483</v>
      </c>
      <c r="B196" s="90" t="s">
        <v>98</v>
      </c>
      <c r="C196" s="44">
        <v>162.55000000000001</v>
      </c>
      <c r="D196" s="45">
        <v>160.55000000000001</v>
      </c>
      <c r="E196" s="46">
        <v>161.55000000000001</v>
      </c>
      <c r="F196" s="44">
        <v>176.2</v>
      </c>
      <c r="G196" s="45">
        <v>173.2</v>
      </c>
      <c r="H196" s="46">
        <v>174.7</v>
      </c>
      <c r="I196" s="44">
        <v>120.09</v>
      </c>
      <c r="J196" s="45">
        <v>116.89</v>
      </c>
      <c r="K196" s="46">
        <v>118.49000000000001</v>
      </c>
      <c r="L196" s="45">
        <v>210.57</v>
      </c>
      <c r="M196" s="45">
        <v>202.57</v>
      </c>
      <c r="N196" s="45">
        <v>206.57</v>
      </c>
      <c r="O196" s="44">
        <v>180.78</v>
      </c>
      <c r="P196" s="45">
        <v>178.98</v>
      </c>
      <c r="Q196" s="46">
        <v>179.88</v>
      </c>
      <c r="R196" s="45">
        <v>23.72</v>
      </c>
      <c r="S196" s="45">
        <v>23.119999999999997</v>
      </c>
      <c r="T196" s="45">
        <v>23.419999999999998</v>
      </c>
      <c r="U196" s="44">
        <v>15.54</v>
      </c>
      <c r="V196" s="45">
        <v>14.94</v>
      </c>
      <c r="W196" s="46">
        <v>15.239999999999998</v>
      </c>
      <c r="X196" s="44">
        <v>15.72</v>
      </c>
      <c r="Y196" s="45">
        <v>14.92</v>
      </c>
      <c r="Z196" s="46">
        <v>15.32</v>
      </c>
      <c r="AA196" s="44">
        <v>110.77</v>
      </c>
      <c r="AB196" s="45">
        <v>106.77</v>
      </c>
      <c r="AC196" s="46">
        <v>108.77</v>
      </c>
      <c r="AD196" s="44">
        <v>100.98</v>
      </c>
      <c r="AE196" s="45">
        <v>96.98</v>
      </c>
      <c r="AF196" s="46">
        <v>98.98</v>
      </c>
      <c r="AG196" s="45">
        <v>21.11</v>
      </c>
      <c r="AH196" s="45">
        <v>20.25</v>
      </c>
      <c r="AI196" s="45">
        <v>20.68</v>
      </c>
      <c r="AJ196" s="47"/>
      <c r="AK196" s="48"/>
      <c r="AL196" s="49"/>
      <c r="AM196" s="45">
        <v>120.42</v>
      </c>
      <c r="AN196" s="45">
        <v>118.76</v>
      </c>
      <c r="AO196" s="45">
        <v>119.59</v>
      </c>
      <c r="AP196" s="44">
        <v>43.94</v>
      </c>
      <c r="AQ196" s="45">
        <v>42.339999999999996</v>
      </c>
      <c r="AR196" s="46">
        <v>43.14</v>
      </c>
      <c r="AS196" s="45">
        <v>44.74</v>
      </c>
      <c r="AT196" s="45">
        <v>43.38</v>
      </c>
      <c r="AU196" s="45">
        <v>44.06</v>
      </c>
      <c r="AV196" s="44">
        <v>22.46</v>
      </c>
      <c r="AW196" s="45">
        <v>21.86</v>
      </c>
      <c r="AX196" s="46">
        <v>22.16</v>
      </c>
      <c r="AY196" s="44">
        <v>4.5199999999999996</v>
      </c>
      <c r="AZ196" s="45">
        <v>4.3599999999999994</v>
      </c>
      <c r="BA196" s="46">
        <v>4.4399999999999995</v>
      </c>
      <c r="BB196" s="44">
        <v>2.09</v>
      </c>
      <c r="BC196" s="50">
        <v>1.7899999999999998</v>
      </c>
      <c r="BD196" s="51">
        <v>1.94</v>
      </c>
      <c r="BE196" s="45">
        <v>0.73</v>
      </c>
      <c r="BF196" s="50">
        <v>0.43</v>
      </c>
      <c r="BG196" s="50">
        <v>0.57999999999999996</v>
      </c>
      <c r="BH196" s="44">
        <v>536.98</v>
      </c>
      <c r="BI196" s="45">
        <v>520.98</v>
      </c>
      <c r="BJ196" s="46">
        <v>528.98</v>
      </c>
      <c r="BK196" s="45">
        <v>45.06</v>
      </c>
      <c r="BL196" s="45">
        <v>43.7</v>
      </c>
      <c r="BM196" s="45">
        <v>44.38</v>
      </c>
      <c r="BN196" s="52">
        <v>1.1200000000000001</v>
      </c>
      <c r="BO196" s="50">
        <v>0.88000000000000012</v>
      </c>
      <c r="BP196" s="51">
        <v>1</v>
      </c>
      <c r="BQ196" s="45">
        <v>10.02</v>
      </c>
      <c r="BR196" s="45">
        <v>8.02</v>
      </c>
      <c r="BS196" s="45">
        <v>9.02</v>
      </c>
      <c r="BT196" s="44">
        <v>11.87</v>
      </c>
      <c r="BU196" s="45">
        <v>11.469999999999999</v>
      </c>
      <c r="BV196" s="46">
        <v>11.669999999999998</v>
      </c>
      <c r="BW196" s="44">
        <v>2.92</v>
      </c>
      <c r="BX196" s="50">
        <v>2.6399999999999997</v>
      </c>
      <c r="BY196" s="51">
        <v>2.78</v>
      </c>
      <c r="BZ196" s="44">
        <v>10.39</v>
      </c>
      <c r="CA196" s="45">
        <v>7.3900000000000006</v>
      </c>
      <c r="CB196" s="46">
        <v>8.89</v>
      </c>
      <c r="CC196" s="44">
        <v>7.04</v>
      </c>
      <c r="CD196" s="45">
        <v>6.8</v>
      </c>
      <c r="CE196" s="46">
        <v>6.92</v>
      </c>
      <c r="CF196" s="44">
        <v>2.1</v>
      </c>
      <c r="CG196" s="45">
        <v>1.6</v>
      </c>
      <c r="CH196" s="46">
        <v>1.85</v>
      </c>
      <c r="CI196" s="44">
        <v>0.46</v>
      </c>
      <c r="CJ196" s="45">
        <v>0.42000000000000004</v>
      </c>
      <c r="CK196" s="46">
        <v>0.44000000000000006</v>
      </c>
      <c r="CL196" s="44">
        <v>42.27</v>
      </c>
      <c r="CM196">
        <v>39.870000000000005</v>
      </c>
      <c r="CN196">
        <v>41.070000000000007</v>
      </c>
      <c r="CO196">
        <v>7.42</v>
      </c>
      <c r="CP196">
        <v>2.42</v>
      </c>
      <c r="CQ196">
        <v>4.92</v>
      </c>
    </row>
    <row r="197" spans="1:95">
      <c r="A197" s="223">
        <v>45484</v>
      </c>
      <c r="B197" s="90" t="s">
        <v>99</v>
      </c>
      <c r="C197" s="44">
        <v>162.72999999999999</v>
      </c>
      <c r="D197" s="45">
        <v>160.72999999999999</v>
      </c>
      <c r="E197" s="46">
        <v>161.72999999999999</v>
      </c>
      <c r="F197" s="44">
        <v>176.7</v>
      </c>
      <c r="G197" s="45">
        <v>173.7</v>
      </c>
      <c r="H197" s="46">
        <v>175.2</v>
      </c>
      <c r="I197" s="44">
        <v>120.33</v>
      </c>
      <c r="J197" s="45">
        <v>117.13</v>
      </c>
      <c r="K197" s="46">
        <v>118.72999999999999</v>
      </c>
      <c r="L197" s="45">
        <v>211.94</v>
      </c>
      <c r="M197" s="45">
        <v>203.94</v>
      </c>
      <c r="N197" s="45">
        <v>207.94</v>
      </c>
      <c r="O197" s="44">
        <v>180.7</v>
      </c>
      <c r="P197" s="45">
        <v>178.89999999999998</v>
      </c>
      <c r="Q197" s="46">
        <v>179.79999999999998</v>
      </c>
      <c r="R197" s="45">
        <v>23.79</v>
      </c>
      <c r="S197" s="45">
        <v>23.189999999999998</v>
      </c>
      <c r="T197" s="45">
        <v>23.49</v>
      </c>
      <c r="U197" s="44">
        <v>15.39</v>
      </c>
      <c r="V197" s="45">
        <v>14.790000000000001</v>
      </c>
      <c r="W197" s="46">
        <v>15.09</v>
      </c>
      <c r="X197" s="44">
        <v>15.73</v>
      </c>
      <c r="Y197" s="45">
        <v>14.93</v>
      </c>
      <c r="Z197" s="46">
        <v>15.33</v>
      </c>
      <c r="AA197" s="44">
        <v>111.1</v>
      </c>
      <c r="AB197" s="45">
        <v>107.1</v>
      </c>
      <c r="AC197" s="46">
        <v>109.1</v>
      </c>
      <c r="AD197" s="44">
        <v>100.46</v>
      </c>
      <c r="AE197" s="45">
        <v>96.46</v>
      </c>
      <c r="AF197" s="46">
        <v>98.46</v>
      </c>
      <c r="AG197" s="45">
        <v>21.14</v>
      </c>
      <c r="AH197" s="45">
        <v>20.28</v>
      </c>
      <c r="AI197" s="45">
        <v>20.71</v>
      </c>
      <c r="AJ197" s="47"/>
      <c r="AK197" s="48"/>
      <c r="AL197" s="49"/>
      <c r="AM197" s="45">
        <v>120.76</v>
      </c>
      <c r="AN197" s="45">
        <v>119.10000000000001</v>
      </c>
      <c r="AO197" s="45">
        <v>119.93</v>
      </c>
      <c r="AP197" s="44">
        <v>43.99</v>
      </c>
      <c r="AQ197" s="45">
        <v>42.39</v>
      </c>
      <c r="AR197" s="46">
        <v>43.19</v>
      </c>
      <c r="AS197" s="45">
        <v>44.78</v>
      </c>
      <c r="AT197" s="45">
        <v>43.42</v>
      </c>
      <c r="AU197" s="45">
        <v>44.1</v>
      </c>
      <c r="AV197" s="44">
        <v>22.48</v>
      </c>
      <c r="AW197" s="45">
        <v>21.88</v>
      </c>
      <c r="AX197" s="46">
        <v>22.18</v>
      </c>
      <c r="AY197" s="44">
        <v>4.54</v>
      </c>
      <c r="AZ197" s="45">
        <v>4.38</v>
      </c>
      <c r="BA197" s="46">
        <v>4.46</v>
      </c>
      <c r="BB197" s="44">
        <v>2.1</v>
      </c>
      <c r="BC197" s="50">
        <v>1.8</v>
      </c>
      <c r="BD197" s="51">
        <v>1.9500000000000002</v>
      </c>
      <c r="BE197" s="45">
        <v>0.73</v>
      </c>
      <c r="BF197" s="50">
        <v>0.43</v>
      </c>
      <c r="BG197" s="50">
        <v>0.57999999999999996</v>
      </c>
      <c r="BH197" s="44">
        <v>537.57000000000005</v>
      </c>
      <c r="BI197" s="45">
        <v>521.57000000000005</v>
      </c>
      <c r="BJ197" s="46">
        <v>529.57000000000005</v>
      </c>
      <c r="BK197" s="45">
        <v>45.11</v>
      </c>
      <c r="BL197" s="45">
        <v>43.75</v>
      </c>
      <c r="BM197" s="45">
        <v>44.43</v>
      </c>
      <c r="BN197" s="52">
        <v>1.1200000000000001</v>
      </c>
      <c r="BO197" s="50">
        <v>0.88000000000000012</v>
      </c>
      <c r="BP197" s="51">
        <v>1</v>
      </c>
      <c r="BQ197" s="45">
        <v>10.07</v>
      </c>
      <c r="BR197" s="45">
        <v>8.07</v>
      </c>
      <c r="BS197" s="45">
        <v>9.07</v>
      </c>
      <c r="BT197" s="44">
        <v>11.92</v>
      </c>
      <c r="BU197" s="45">
        <v>11.52</v>
      </c>
      <c r="BV197" s="46">
        <v>11.719999999999999</v>
      </c>
      <c r="BW197" s="44">
        <v>2.93</v>
      </c>
      <c r="BX197" s="50">
        <v>2.6500000000000004</v>
      </c>
      <c r="BY197" s="51">
        <v>2.79</v>
      </c>
      <c r="BZ197" s="44">
        <v>10.43</v>
      </c>
      <c r="CA197" s="45">
        <v>7.43</v>
      </c>
      <c r="CB197" s="46">
        <v>8.93</v>
      </c>
      <c r="CC197" s="44">
        <v>7.02</v>
      </c>
      <c r="CD197" s="45">
        <v>6.7799999999999994</v>
      </c>
      <c r="CE197" s="46">
        <v>6.8999999999999995</v>
      </c>
      <c r="CF197" s="44">
        <v>2.08</v>
      </c>
      <c r="CG197" s="45">
        <v>1.58</v>
      </c>
      <c r="CH197" s="46">
        <v>1.83</v>
      </c>
      <c r="CI197" s="44">
        <v>0.46</v>
      </c>
      <c r="CJ197" s="45">
        <v>0.42000000000000004</v>
      </c>
      <c r="CK197" s="46">
        <v>0.44000000000000006</v>
      </c>
      <c r="CL197" s="44">
        <v>42.33</v>
      </c>
      <c r="CM197">
        <v>39.93</v>
      </c>
      <c r="CN197">
        <v>41.129999999999995</v>
      </c>
      <c r="CO197">
        <v>7.43</v>
      </c>
      <c r="CP197">
        <v>2.4299999999999997</v>
      </c>
      <c r="CQ197">
        <v>4.93</v>
      </c>
    </row>
    <row r="198" spans="1:95">
      <c r="A198" s="223">
        <v>45485</v>
      </c>
      <c r="B198" s="90" t="s">
        <v>100</v>
      </c>
      <c r="C198" s="44">
        <v>160.11000000000001</v>
      </c>
      <c r="D198" s="45">
        <v>158.11000000000001</v>
      </c>
      <c r="E198" s="46">
        <v>159.11000000000001</v>
      </c>
      <c r="F198" s="44">
        <v>174.44</v>
      </c>
      <c r="G198" s="45">
        <v>171.44</v>
      </c>
      <c r="H198" s="46">
        <v>172.94</v>
      </c>
      <c r="I198" s="44">
        <v>118.32</v>
      </c>
      <c r="J198" s="45">
        <v>115.11999999999999</v>
      </c>
      <c r="K198" s="46">
        <v>116.72</v>
      </c>
      <c r="L198" s="45">
        <v>209.47</v>
      </c>
      <c r="M198" s="45">
        <v>201.47</v>
      </c>
      <c r="N198" s="45">
        <v>205.47</v>
      </c>
      <c r="O198" s="44">
        <v>178.42</v>
      </c>
      <c r="P198" s="45">
        <v>176.61999999999998</v>
      </c>
      <c r="Q198" s="46">
        <v>177.51999999999998</v>
      </c>
      <c r="R198" s="45">
        <v>23.48</v>
      </c>
      <c r="S198" s="45">
        <v>22.88</v>
      </c>
      <c r="T198" s="45">
        <v>23.18</v>
      </c>
      <c r="U198" s="44">
        <v>15.12</v>
      </c>
      <c r="V198" s="45">
        <v>14.52</v>
      </c>
      <c r="W198" s="46">
        <v>14.82</v>
      </c>
      <c r="X198" s="44">
        <v>15.53</v>
      </c>
      <c r="Y198" s="45">
        <v>14.729999999999999</v>
      </c>
      <c r="Z198" s="46">
        <v>15.129999999999999</v>
      </c>
      <c r="AA198" s="44">
        <v>109.59</v>
      </c>
      <c r="AB198" s="45">
        <v>105.59</v>
      </c>
      <c r="AC198" s="46">
        <v>107.59</v>
      </c>
      <c r="AD198" s="44">
        <v>98.8</v>
      </c>
      <c r="AE198" s="45">
        <v>94.8</v>
      </c>
      <c r="AF198" s="46">
        <v>96.8</v>
      </c>
      <c r="AG198" s="45">
        <v>20.81</v>
      </c>
      <c r="AH198" s="45">
        <v>19.95</v>
      </c>
      <c r="AI198" s="45">
        <v>20.38</v>
      </c>
      <c r="AJ198" s="47"/>
      <c r="AK198" s="48"/>
      <c r="AL198" s="49"/>
      <c r="AM198" s="45">
        <v>119.24</v>
      </c>
      <c r="AN198" s="45">
        <v>117.58</v>
      </c>
      <c r="AO198" s="45">
        <v>118.41</v>
      </c>
      <c r="AP198" s="44">
        <v>43.29</v>
      </c>
      <c r="AQ198" s="45">
        <v>41.69</v>
      </c>
      <c r="AR198" s="46">
        <v>42.489999999999995</v>
      </c>
      <c r="AS198" s="45">
        <v>44.07</v>
      </c>
      <c r="AT198" s="45">
        <v>42.71</v>
      </c>
      <c r="AU198" s="45">
        <v>43.39</v>
      </c>
      <c r="AV198" s="44">
        <v>22.19</v>
      </c>
      <c r="AW198" s="45">
        <v>21.59</v>
      </c>
      <c r="AX198" s="46">
        <v>21.89</v>
      </c>
      <c r="AY198" s="44">
        <v>4.49</v>
      </c>
      <c r="AZ198" s="45">
        <v>4.33</v>
      </c>
      <c r="BA198" s="46">
        <v>4.41</v>
      </c>
      <c r="BB198" s="44">
        <v>2.0699999999999998</v>
      </c>
      <c r="BC198" s="50">
        <v>1.7699999999999998</v>
      </c>
      <c r="BD198" s="51">
        <v>1.92</v>
      </c>
      <c r="BE198" s="45">
        <v>0.72</v>
      </c>
      <c r="BF198" s="50">
        <v>0.42</v>
      </c>
      <c r="BG198" s="50">
        <v>0.56999999999999995</v>
      </c>
      <c r="BH198" s="44">
        <v>529.5</v>
      </c>
      <c r="BI198" s="45">
        <v>513.5</v>
      </c>
      <c r="BJ198" s="46">
        <v>521.5</v>
      </c>
      <c r="BK198" s="45">
        <v>44.4</v>
      </c>
      <c r="BL198" s="45">
        <v>43.04</v>
      </c>
      <c r="BM198" s="45">
        <v>43.72</v>
      </c>
      <c r="BN198" s="52">
        <v>1.1100000000000001</v>
      </c>
      <c r="BO198" s="50">
        <v>0.87000000000000011</v>
      </c>
      <c r="BP198" s="51">
        <v>0.9900000000000001</v>
      </c>
      <c r="BQ198" s="45">
        <v>9.9600000000000009</v>
      </c>
      <c r="BR198" s="45">
        <v>7.9600000000000009</v>
      </c>
      <c r="BS198" s="45">
        <v>8.9600000000000009</v>
      </c>
      <c r="BT198" s="44">
        <v>11.79</v>
      </c>
      <c r="BU198" s="45">
        <v>11.389999999999999</v>
      </c>
      <c r="BV198" s="46">
        <v>11.59</v>
      </c>
      <c r="BW198" s="44">
        <v>2.89</v>
      </c>
      <c r="BX198" s="50">
        <v>2.6100000000000003</v>
      </c>
      <c r="BY198" s="51">
        <v>2.75</v>
      </c>
      <c r="BZ198" s="44">
        <v>10.34</v>
      </c>
      <c r="CA198" s="45">
        <v>7.34</v>
      </c>
      <c r="CB198" s="46">
        <v>8.84</v>
      </c>
      <c r="CC198" s="44">
        <v>6.95</v>
      </c>
      <c r="CD198" s="45">
        <v>6.71</v>
      </c>
      <c r="CE198" s="46">
        <v>6.83</v>
      </c>
      <c r="CF198" s="44">
        <v>2.0699999999999998</v>
      </c>
      <c r="CG198" s="45">
        <v>1.5699999999999998</v>
      </c>
      <c r="CH198" s="46">
        <v>1.8199999999999998</v>
      </c>
      <c r="CI198" s="44">
        <v>0.46</v>
      </c>
      <c r="CJ198" s="45">
        <v>0.42000000000000004</v>
      </c>
      <c r="CK198" s="46">
        <v>0.44000000000000006</v>
      </c>
      <c r="CL198" s="44">
        <v>41.75</v>
      </c>
      <c r="CM198">
        <v>39.35</v>
      </c>
      <c r="CN198">
        <v>40.549999999999997</v>
      </c>
      <c r="CO198">
        <v>7.34</v>
      </c>
      <c r="CP198">
        <v>2.34</v>
      </c>
      <c r="CQ198">
        <v>4.84</v>
      </c>
    </row>
    <row r="199" spans="1:95">
      <c r="A199" s="223">
        <v>45486</v>
      </c>
      <c r="B199" s="90" t="s">
        <v>307</v>
      </c>
      <c r="C199" s="44"/>
      <c r="D199" s="45"/>
      <c r="E199" s="46"/>
      <c r="F199" s="44"/>
      <c r="G199" s="45"/>
      <c r="H199" s="46"/>
      <c r="I199" s="44"/>
      <c r="J199" s="45"/>
      <c r="K199" s="46"/>
      <c r="L199" s="45"/>
      <c r="M199" s="45"/>
      <c r="N199" s="45"/>
      <c r="O199" s="44"/>
      <c r="P199" s="45"/>
      <c r="Q199" s="46"/>
      <c r="R199" s="45"/>
      <c r="S199" s="45"/>
      <c r="T199" s="45"/>
      <c r="U199" s="44"/>
      <c r="V199" s="45"/>
      <c r="W199" s="46"/>
      <c r="X199" s="44"/>
      <c r="Y199" s="45"/>
      <c r="Z199" s="46"/>
      <c r="AA199" s="44"/>
      <c r="AB199" s="45"/>
      <c r="AC199" s="46"/>
      <c r="AD199" s="44"/>
      <c r="AE199" s="45"/>
      <c r="AF199" s="46"/>
      <c r="AG199" s="45"/>
      <c r="AH199" s="45"/>
      <c r="AI199" s="45"/>
      <c r="AJ199" s="47"/>
      <c r="AK199" s="48"/>
      <c r="AL199" s="49"/>
      <c r="AM199" s="45"/>
      <c r="AN199" s="45"/>
      <c r="AO199" s="45"/>
      <c r="AP199" s="44"/>
      <c r="AQ199" s="45"/>
      <c r="AR199" s="46"/>
      <c r="AS199" s="45"/>
      <c r="AT199" s="45"/>
      <c r="AU199" s="45"/>
      <c r="AV199" s="44"/>
      <c r="AW199" s="45"/>
      <c r="AX199" s="46"/>
      <c r="AY199" s="44"/>
      <c r="AZ199" s="45"/>
      <c r="BA199" s="46"/>
      <c r="BB199" s="44"/>
      <c r="BC199" s="50"/>
      <c r="BD199" s="51"/>
      <c r="BE199" s="45"/>
      <c r="BF199" s="50"/>
      <c r="BG199" s="50"/>
      <c r="BH199" s="44"/>
      <c r="BI199" s="45"/>
      <c r="BJ199" s="46"/>
      <c r="BK199" s="45"/>
      <c r="BL199" s="45"/>
      <c r="BM199" s="45"/>
      <c r="BN199" s="52"/>
      <c r="BO199" s="50"/>
      <c r="BP199" s="51"/>
      <c r="BQ199" s="45"/>
      <c r="BR199" s="45"/>
      <c r="BS199" s="45"/>
      <c r="BT199" s="44"/>
      <c r="BU199" s="45"/>
      <c r="BV199" s="46"/>
      <c r="BW199" s="44"/>
      <c r="BX199" s="50"/>
      <c r="BY199" s="51"/>
      <c r="BZ199" s="44"/>
      <c r="CA199" s="45"/>
      <c r="CB199" s="46"/>
      <c r="CC199" s="44"/>
      <c r="CD199" s="45"/>
      <c r="CE199" s="46"/>
      <c r="CF199" s="44"/>
      <c r="CG199" s="45"/>
      <c r="CH199" s="46"/>
      <c r="CI199" s="44"/>
      <c r="CJ199" s="45"/>
      <c r="CK199" s="46"/>
      <c r="CL199" s="44"/>
    </row>
    <row r="200" spans="1:95">
      <c r="A200" s="223">
        <v>45487</v>
      </c>
      <c r="B200" s="90" t="s">
        <v>308</v>
      </c>
      <c r="C200" s="44"/>
      <c r="D200" s="45"/>
      <c r="E200" s="46"/>
      <c r="F200" s="44"/>
      <c r="G200" s="45"/>
      <c r="H200" s="46"/>
      <c r="I200" s="44"/>
      <c r="J200" s="45"/>
      <c r="K200" s="46"/>
      <c r="L200" s="45"/>
      <c r="M200" s="45"/>
      <c r="N200" s="45"/>
      <c r="O200" s="44"/>
      <c r="P200" s="45"/>
      <c r="Q200" s="46"/>
      <c r="R200" s="45"/>
      <c r="S200" s="45"/>
      <c r="T200" s="45"/>
      <c r="U200" s="44"/>
      <c r="V200" s="45"/>
      <c r="W200" s="46"/>
      <c r="X200" s="44"/>
      <c r="Y200" s="45"/>
      <c r="Z200" s="46"/>
      <c r="AA200" s="44"/>
      <c r="AB200" s="45"/>
      <c r="AC200" s="46"/>
      <c r="AD200" s="44"/>
      <c r="AE200" s="45"/>
      <c r="AF200" s="46"/>
      <c r="AG200" s="45"/>
      <c r="AH200" s="45"/>
      <c r="AI200" s="45"/>
      <c r="AJ200" s="47"/>
      <c r="AK200" s="48"/>
      <c r="AL200" s="49"/>
      <c r="AM200" s="45"/>
      <c r="AN200" s="45"/>
      <c r="AO200" s="45"/>
      <c r="AP200" s="44"/>
      <c r="AQ200" s="45"/>
      <c r="AR200" s="46"/>
      <c r="AS200" s="45"/>
      <c r="AT200" s="45"/>
      <c r="AU200" s="45"/>
      <c r="AV200" s="44"/>
      <c r="AW200" s="45"/>
      <c r="AX200" s="46"/>
      <c r="AY200" s="44"/>
      <c r="AZ200" s="45"/>
      <c r="BA200" s="46"/>
      <c r="BB200" s="44"/>
      <c r="BC200" s="50"/>
      <c r="BD200" s="51"/>
      <c r="BE200" s="45"/>
      <c r="BF200" s="50"/>
      <c r="BG200" s="50"/>
      <c r="BH200" s="44"/>
      <c r="BI200" s="45"/>
      <c r="BJ200" s="46"/>
      <c r="BK200" s="45"/>
      <c r="BL200" s="45"/>
      <c r="BM200" s="45"/>
      <c r="BN200" s="52"/>
      <c r="BO200" s="50"/>
      <c r="BP200" s="51"/>
      <c r="BQ200" s="45"/>
      <c r="BR200" s="45"/>
      <c r="BS200" s="45"/>
      <c r="BT200" s="44"/>
      <c r="BU200" s="45"/>
      <c r="BV200" s="46"/>
      <c r="BW200" s="44"/>
      <c r="BX200" s="50"/>
      <c r="BY200" s="51"/>
      <c r="BZ200" s="44"/>
      <c r="CA200" s="45"/>
      <c r="CB200" s="46"/>
      <c r="CC200" s="44"/>
      <c r="CD200" s="45"/>
      <c r="CE200" s="46"/>
      <c r="CF200" s="44"/>
      <c r="CG200" s="45"/>
      <c r="CH200" s="46"/>
      <c r="CI200" s="44"/>
      <c r="CJ200" s="45"/>
      <c r="CK200" s="46"/>
      <c r="CL200" s="44"/>
    </row>
    <row r="201" spans="1:95">
      <c r="A201" s="223">
        <v>45488</v>
      </c>
      <c r="B201" s="90" t="s">
        <v>96</v>
      </c>
      <c r="C201" s="44"/>
      <c r="D201" s="45"/>
      <c r="E201" s="46"/>
      <c r="F201" s="44"/>
      <c r="G201" s="45"/>
      <c r="H201" s="46"/>
      <c r="I201" s="44"/>
      <c r="J201" s="45"/>
      <c r="K201" s="46"/>
      <c r="L201" s="45"/>
      <c r="M201" s="45"/>
      <c r="N201" s="45"/>
      <c r="O201" s="44"/>
      <c r="P201" s="45"/>
      <c r="Q201" s="46"/>
      <c r="R201" s="45"/>
      <c r="S201" s="45"/>
      <c r="T201" s="45"/>
      <c r="U201" s="44"/>
      <c r="V201" s="45"/>
      <c r="W201" s="46"/>
      <c r="X201" s="44"/>
      <c r="Y201" s="45"/>
      <c r="Z201" s="46"/>
      <c r="AA201" s="44"/>
      <c r="AB201" s="45"/>
      <c r="AC201" s="46"/>
      <c r="AD201" s="44"/>
      <c r="AE201" s="45"/>
      <c r="AF201" s="46"/>
      <c r="AG201" s="45"/>
      <c r="AH201" s="45"/>
      <c r="AI201" s="45"/>
      <c r="AJ201" s="47"/>
      <c r="AK201" s="48"/>
      <c r="AL201" s="49"/>
      <c r="AM201" s="45"/>
      <c r="AN201" s="45"/>
      <c r="AO201" s="45"/>
      <c r="AP201" s="44"/>
      <c r="AQ201" s="45"/>
      <c r="AR201" s="46"/>
      <c r="AS201" s="45"/>
      <c r="AT201" s="45"/>
      <c r="AU201" s="45"/>
      <c r="AV201" s="44"/>
      <c r="AW201" s="45"/>
      <c r="AX201" s="46"/>
      <c r="AY201" s="44"/>
      <c r="AZ201" s="45"/>
      <c r="BA201" s="46"/>
      <c r="BB201" s="44"/>
      <c r="BC201" s="50"/>
      <c r="BD201" s="51"/>
      <c r="BE201" s="45"/>
      <c r="BF201" s="50"/>
      <c r="BG201" s="50"/>
      <c r="BH201" s="44"/>
      <c r="BI201" s="45"/>
      <c r="BJ201" s="46"/>
      <c r="BK201" s="45"/>
      <c r="BL201" s="45"/>
      <c r="BM201" s="45"/>
      <c r="BN201" s="52"/>
      <c r="BO201" s="50"/>
      <c r="BP201" s="51"/>
      <c r="BQ201" s="45"/>
      <c r="BR201" s="45"/>
      <c r="BS201" s="45"/>
      <c r="BT201" s="44"/>
      <c r="BU201" s="45"/>
      <c r="BV201" s="46"/>
      <c r="BW201" s="44"/>
      <c r="BX201" s="50"/>
      <c r="BY201" s="51"/>
      <c r="BZ201" s="44"/>
      <c r="CA201" s="45"/>
      <c r="CB201" s="46"/>
      <c r="CC201" s="44"/>
      <c r="CD201" s="45"/>
      <c r="CE201" s="46"/>
      <c r="CF201" s="44"/>
      <c r="CG201" s="45"/>
      <c r="CH201" s="46"/>
      <c r="CI201" s="44"/>
      <c r="CJ201" s="45"/>
      <c r="CK201" s="46"/>
      <c r="CL201" s="44"/>
    </row>
    <row r="202" spans="1:95">
      <c r="A202" s="223">
        <v>45489</v>
      </c>
      <c r="B202" s="90" t="s">
        <v>97</v>
      </c>
      <c r="C202" s="44">
        <v>159.44999999999999</v>
      </c>
      <c r="D202" s="45">
        <v>157.44999999999999</v>
      </c>
      <c r="E202" s="46">
        <v>158.44999999999999</v>
      </c>
      <c r="F202" s="44">
        <v>174.07</v>
      </c>
      <c r="G202" s="45">
        <v>171.07</v>
      </c>
      <c r="H202" s="46">
        <v>172.57</v>
      </c>
      <c r="I202" s="44">
        <v>117.41</v>
      </c>
      <c r="J202" s="45">
        <v>114.21</v>
      </c>
      <c r="K202" s="46">
        <v>115.81</v>
      </c>
      <c r="L202" s="45">
        <v>209.46</v>
      </c>
      <c r="M202" s="45">
        <v>201.46</v>
      </c>
      <c r="N202" s="45">
        <v>205.46</v>
      </c>
      <c r="O202" s="44">
        <v>177.76</v>
      </c>
      <c r="P202" s="45">
        <v>175.95999999999998</v>
      </c>
      <c r="Q202" s="46">
        <v>176.85999999999999</v>
      </c>
      <c r="R202" s="45">
        <v>23.43</v>
      </c>
      <c r="S202" s="45">
        <v>22.83</v>
      </c>
      <c r="T202" s="45">
        <v>23.13</v>
      </c>
      <c r="U202" s="44">
        <v>14.95</v>
      </c>
      <c r="V202" s="45">
        <v>14.35</v>
      </c>
      <c r="W202" s="46">
        <v>14.649999999999999</v>
      </c>
      <c r="X202" s="44">
        <v>15.32</v>
      </c>
      <c r="Y202" s="45">
        <v>14.52</v>
      </c>
      <c r="Z202" s="46">
        <v>14.92</v>
      </c>
      <c r="AA202" s="44">
        <v>108.99</v>
      </c>
      <c r="AB202" s="45">
        <v>104.99</v>
      </c>
      <c r="AC202" s="46">
        <v>106.99</v>
      </c>
      <c r="AD202" s="44">
        <v>98.1</v>
      </c>
      <c r="AE202" s="45">
        <v>94.1</v>
      </c>
      <c r="AF202" s="46">
        <v>96.1</v>
      </c>
      <c r="AG202" s="45">
        <v>20.73</v>
      </c>
      <c r="AH202" s="45">
        <v>19.87</v>
      </c>
      <c r="AI202" s="45">
        <v>20.3</v>
      </c>
      <c r="AJ202" s="47"/>
      <c r="AK202" s="48"/>
      <c r="AL202" s="49"/>
      <c r="AM202" s="45">
        <v>118.71</v>
      </c>
      <c r="AN202" s="45">
        <v>117.05</v>
      </c>
      <c r="AO202" s="45">
        <v>117.88</v>
      </c>
      <c r="AP202" s="44">
        <v>43.11</v>
      </c>
      <c r="AQ202" s="45">
        <v>41.51</v>
      </c>
      <c r="AR202" s="46">
        <v>42.31</v>
      </c>
      <c r="AS202" s="45">
        <v>43.75</v>
      </c>
      <c r="AT202" s="45">
        <v>42.39</v>
      </c>
      <c r="AU202" s="45">
        <v>43.07</v>
      </c>
      <c r="AV202" s="44">
        <v>22.08</v>
      </c>
      <c r="AW202" s="45">
        <v>21.479999999999997</v>
      </c>
      <c r="AX202" s="46">
        <v>21.779999999999998</v>
      </c>
      <c r="AY202" s="44">
        <v>4.46</v>
      </c>
      <c r="AZ202" s="45">
        <v>4.3</v>
      </c>
      <c r="BA202" s="46">
        <v>4.38</v>
      </c>
      <c r="BB202" s="44">
        <v>2.06</v>
      </c>
      <c r="BC202" s="50">
        <v>1.76</v>
      </c>
      <c r="BD202" s="51">
        <v>1.9100000000000001</v>
      </c>
      <c r="BE202" s="45">
        <v>0.72</v>
      </c>
      <c r="BF202" s="50">
        <v>0.42</v>
      </c>
      <c r="BG202" s="50">
        <v>0.56999999999999995</v>
      </c>
      <c r="BH202" s="44">
        <v>525.47</v>
      </c>
      <c r="BI202" s="45">
        <v>509.47</v>
      </c>
      <c r="BJ202" s="46">
        <v>517.47</v>
      </c>
      <c r="BK202" s="45">
        <v>44.2</v>
      </c>
      <c r="BL202" s="45">
        <v>42.84</v>
      </c>
      <c r="BM202" s="45">
        <v>43.52</v>
      </c>
      <c r="BN202" s="52">
        <v>1.1000000000000001</v>
      </c>
      <c r="BO202" s="50">
        <v>0.8600000000000001</v>
      </c>
      <c r="BP202" s="51">
        <v>0.98000000000000009</v>
      </c>
      <c r="BQ202" s="45">
        <v>9.93</v>
      </c>
      <c r="BR202" s="45">
        <v>7.93</v>
      </c>
      <c r="BS202" s="45">
        <v>8.93</v>
      </c>
      <c r="BT202" s="44">
        <v>11.64</v>
      </c>
      <c r="BU202" s="45">
        <v>11.24</v>
      </c>
      <c r="BV202" s="46">
        <v>11.440000000000001</v>
      </c>
      <c r="BW202" s="44">
        <v>2.87</v>
      </c>
      <c r="BX202" s="50">
        <v>2.59</v>
      </c>
      <c r="BY202" s="51">
        <v>2.73</v>
      </c>
      <c r="BZ202" s="44">
        <v>10.199999999999999</v>
      </c>
      <c r="CA202" s="45">
        <v>7.1999999999999993</v>
      </c>
      <c r="CB202" s="46">
        <v>8.6999999999999993</v>
      </c>
      <c r="CC202" s="44">
        <v>6.92</v>
      </c>
      <c r="CD202" s="45">
        <v>6.68</v>
      </c>
      <c r="CE202" s="46">
        <v>6.8</v>
      </c>
      <c r="CF202" s="44">
        <v>2.0499999999999998</v>
      </c>
      <c r="CG202" s="45">
        <v>1.5499999999999998</v>
      </c>
      <c r="CH202" s="46">
        <v>1.7999999999999998</v>
      </c>
      <c r="CI202" s="44">
        <v>0.46</v>
      </c>
      <c r="CJ202" s="45">
        <v>0.42000000000000004</v>
      </c>
      <c r="CK202" s="46">
        <v>0.44000000000000006</v>
      </c>
      <c r="CL202" s="44">
        <v>41.77</v>
      </c>
      <c r="CM202">
        <v>39.370000000000005</v>
      </c>
      <c r="CN202">
        <v>40.570000000000007</v>
      </c>
      <c r="CO202">
        <v>7.31</v>
      </c>
      <c r="CP202">
        <v>2.3099999999999996</v>
      </c>
      <c r="CQ202">
        <v>4.8099999999999996</v>
      </c>
    </row>
    <row r="203" spans="1:95">
      <c r="A203" s="223">
        <v>45490</v>
      </c>
      <c r="B203" s="90" t="s">
        <v>98</v>
      </c>
      <c r="C203" s="44">
        <v>159.56</v>
      </c>
      <c r="D203" s="45">
        <v>157.56</v>
      </c>
      <c r="E203" s="46">
        <v>158.56</v>
      </c>
      <c r="F203" s="44">
        <v>174.28</v>
      </c>
      <c r="G203" s="45">
        <v>171.28</v>
      </c>
      <c r="H203" s="46">
        <v>172.78</v>
      </c>
      <c r="I203" s="44">
        <v>117.52</v>
      </c>
      <c r="J203" s="45">
        <v>114.32</v>
      </c>
      <c r="K203" s="46">
        <v>115.91999999999999</v>
      </c>
      <c r="L203" s="45">
        <v>209.64</v>
      </c>
      <c r="M203" s="45">
        <v>201.64</v>
      </c>
      <c r="N203" s="45">
        <v>205.64</v>
      </c>
      <c r="O203" s="44">
        <v>178.2</v>
      </c>
      <c r="P203" s="45">
        <v>176.39999999999998</v>
      </c>
      <c r="Q203" s="46">
        <v>177.29999999999998</v>
      </c>
      <c r="R203" s="45">
        <v>23.47</v>
      </c>
      <c r="S203" s="45">
        <v>22.869999999999997</v>
      </c>
      <c r="T203" s="45">
        <v>23.169999999999998</v>
      </c>
      <c r="U203" s="44">
        <v>15.01</v>
      </c>
      <c r="V203" s="45">
        <v>14.41</v>
      </c>
      <c r="W203" s="46">
        <v>14.71</v>
      </c>
      <c r="X203" s="44">
        <v>15.38</v>
      </c>
      <c r="Y203" s="45">
        <v>14.58</v>
      </c>
      <c r="Z203" s="46">
        <v>14.98</v>
      </c>
      <c r="AA203" s="44">
        <v>108.74</v>
      </c>
      <c r="AB203" s="45">
        <v>104.74</v>
      </c>
      <c r="AC203" s="46">
        <v>106.74</v>
      </c>
      <c r="AD203" s="44">
        <v>98.39</v>
      </c>
      <c r="AE203" s="45">
        <v>94.39</v>
      </c>
      <c r="AF203" s="46">
        <v>96.39</v>
      </c>
      <c r="AG203" s="45">
        <v>20.74</v>
      </c>
      <c r="AH203" s="45">
        <v>19.88</v>
      </c>
      <c r="AI203" s="45">
        <v>20.309999999999999</v>
      </c>
      <c r="AJ203" s="47"/>
      <c r="AK203" s="48"/>
      <c r="AL203" s="49"/>
      <c r="AM203" s="45">
        <v>118.81</v>
      </c>
      <c r="AN203" s="45">
        <v>117.15</v>
      </c>
      <c r="AO203" s="45">
        <v>117.98</v>
      </c>
      <c r="AP203" s="44">
        <v>43.14</v>
      </c>
      <c r="AQ203" s="45">
        <v>41.54</v>
      </c>
      <c r="AR203" s="46">
        <v>42.34</v>
      </c>
      <c r="AS203" s="45">
        <v>43.92</v>
      </c>
      <c r="AT203" s="45">
        <v>42.56</v>
      </c>
      <c r="AU203" s="45">
        <v>43.24</v>
      </c>
      <c r="AV203" s="44">
        <v>22.06</v>
      </c>
      <c r="AW203" s="45">
        <v>21.459999999999997</v>
      </c>
      <c r="AX203" s="46">
        <v>21.759999999999998</v>
      </c>
      <c r="AY203" s="44">
        <v>4.49</v>
      </c>
      <c r="AZ203" s="45">
        <v>4.33</v>
      </c>
      <c r="BA203" s="46">
        <v>4.41</v>
      </c>
      <c r="BB203" s="44">
        <v>2.06</v>
      </c>
      <c r="BC203" s="50">
        <v>1.76</v>
      </c>
      <c r="BD203" s="51">
        <v>1.9100000000000001</v>
      </c>
      <c r="BE203" s="45">
        <v>0.72</v>
      </c>
      <c r="BF203" s="50">
        <v>0.42</v>
      </c>
      <c r="BG203" s="50">
        <v>0.56999999999999995</v>
      </c>
      <c r="BH203" s="44">
        <v>527.70000000000005</v>
      </c>
      <c r="BI203" s="45">
        <v>511.70000000000005</v>
      </c>
      <c r="BJ203" s="46">
        <v>519.70000000000005</v>
      </c>
      <c r="BK203" s="45">
        <v>44.24</v>
      </c>
      <c r="BL203" s="45">
        <v>42.88</v>
      </c>
      <c r="BM203" s="45">
        <v>43.56</v>
      </c>
      <c r="BN203" s="52">
        <v>1.1000000000000001</v>
      </c>
      <c r="BO203" s="50">
        <v>0.8600000000000001</v>
      </c>
      <c r="BP203" s="51">
        <v>0.98000000000000009</v>
      </c>
      <c r="BQ203" s="45">
        <v>9.98</v>
      </c>
      <c r="BR203" s="45">
        <v>7.98</v>
      </c>
      <c r="BS203" s="45">
        <v>8.98</v>
      </c>
      <c r="BT203" s="44">
        <v>11.68</v>
      </c>
      <c r="BU203" s="45">
        <v>11.28</v>
      </c>
      <c r="BV203" s="46">
        <v>11.48</v>
      </c>
      <c r="BW203" s="44">
        <v>2.87</v>
      </c>
      <c r="BX203" s="50">
        <v>2.59</v>
      </c>
      <c r="BY203" s="51">
        <v>2.73</v>
      </c>
      <c r="BZ203" s="44">
        <v>10.28</v>
      </c>
      <c r="CA203" s="45">
        <v>7.2799999999999994</v>
      </c>
      <c r="CB203" s="46">
        <v>8.7799999999999994</v>
      </c>
      <c r="CC203" s="44">
        <v>6.95</v>
      </c>
      <c r="CD203" s="45">
        <v>6.71</v>
      </c>
      <c r="CE203" s="46">
        <v>6.83</v>
      </c>
      <c r="CF203" s="44">
        <v>2.04</v>
      </c>
      <c r="CG203" s="45">
        <v>1.54</v>
      </c>
      <c r="CH203" s="46">
        <v>1.79</v>
      </c>
      <c r="CI203" s="44">
        <v>0.46</v>
      </c>
      <c r="CJ203" s="45">
        <v>0.42000000000000004</v>
      </c>
      <c r="CK203" s="46">
        <v>0.44000000000000006</v>
      </c>
      <c r="CL203" s="44">
        <v>41.52</v>
      </c>
      <c r="CM203">
        <v>39.120000000000005</v>
      </c>
      <c r="CN203">
        <v>40.320000000000007</v>
      </c>
      <c r="CO203">
        <v>7.31</v>
      </c>
      <c r="CP203">
        <v>2.3099999999999996</v>
      </c>
      <c r="CQ203">
        <v>4.8099999999999996</v>
      </c>
    </row>
    <row r="204" spans="1:95">
      <c r="A204" s="223">
        <v>45491</v>
      </c>
      <c r="B204" s="90" t="s">
        <v>99</v>
      </c>
      <c r="C204" s="44">
        <v>156.86000000000001</v>
      </c>
      <c r="D204" s="45">
        <v>154.86000000000001</v>
      </c>
      <c r="E204" s="46">
        <v>155.86000000000001</v>
      </c>
      <c r="F204" s="44">
        <v>171.93</v>
      </c>
      <c r="G204" s="45">
        <v>168.93</v>
      </c>
      <c r="H204" s="46">
        <v>170.43</v>
      </c>
      <c r="I204" s="44">
        <v>115.51</v>
      </c>
      <c r="J204" s="45">
        <v>112.31</v>
      </c>
      <c r="K204" s="46">
        <v>113.91</v>
      </c>
      <c r="L204" s="45">
        <v>206.68</v>
      </c>
      <c r="M204" s="45">
        <v>198.68</v>
      </c>
      <c r="N204" s="45">
        <v>202.68</v>
      </c>
      <c r="O204" s="44">
        <v>177.23</v>
      </c>
      <c r="P204" s="45">
        <v>175.42999999999998</v>
      </c>
      <c r="Q204" s="46">
        <v>176.32999999999998</v>
      </c>
      <c r="R204" s="45">
        <v>23.15</v>
      </c>
      <c r="S204" s="45">
        <v>22.549999999999997</v>
      </c>
      <c r="T204" s="45">
        <v>22.849999999999998</v>
      </c>
      <c r="U204" s="44">
        <v>14.84</v>
      </c>
      <c r="V204" s="45">
        <v>14.24</v>
      </c>
      <c r="W204" s="46">
        <v>14.54</v>
      </c>
      <c r="X204" s="44">
        <v>15.18</v>
      </c>
      <c r="Y204" s="45">
        <v>14.379999999999999</v>
      </c>
      <c r="Z204" s="46">
        <v>14.78</v>
      </c>
      <c r="AA204" s="44">
        <v>106.8</v>
      </c>
      <c r="AB204" s="45">
        <v>102.8</v>
      </c>
      <c r="AC204" s="46">
        <v>104.8</v>
      </c>
      <c r="AD204" s="44">
        <v>96.7</v>
      </c>
      <c r="AE204" s="45">
        <v>92.7</v>
      </c>
      <c r="AF204" s="46">
        <v>94.7</v>
      </c>
      <c r="AG204" s="45">
        <v>20.39</v>
      </c>
      <c r="AH204" s="45">
        <v>19.53</v>
      </c>
      <c r="AI204" s="45">
        <v>19.96</v>
      </c>
      <c r="AJ204" s="47"/>
      <c r="AK204" s="48"/>
      <c r="AL204" s="49"/>
      <c r="AM204" s="45">
        <v>117.18</v>
      </c>
      <c r="AN204" s="45">
        <v>115.52000000000001</v>
      </c>
      <c r="AO204" s="45">
        <v>116.35000000000001</v>
      </c>
      <c r="AP204" s="44">
        <v>42.42</v>
      </c>
      <c r="AQ204" s="45">
        <v>40.82</v>
      </c>
      <c r="AR204" s="46">
        <v>41.620000000000005</v>
      </c>
      <c r="AS204" s="45">
        <v>43.18</v>
      </c>
      <c r="AT204" s="45">
        <v>41.82</v>
      </c>
      <c r="AU204" s="45">
        <v>42.5</v>
      </c>
      <c r="AV204" s="44">
        <v>21.74</v>
      </c>
      <c r="AW204" s="45">
        <v>21.139999999999997</v>
      </c>
      <c r="AX204" s="46">
        <v>21.439999999999998</v>
      </c>
      <c r="AY204" s="44">
        <v>4.41</v>
      </c>
      <c r="AZ204" s="45">
        <v>4.25</v>
      </c>
      <c r="BA204" s="46">
        <v>4.33</v>
      </c>
      <c r="BB204" s="44">
        <v>2.0299999999999998</v>
      </c>
      <c r="BC204" s="50">
        <v>1.7299999999999998</v>
      </c>
      <c r="BD204" s="51">
        <v>1.88</v>
      </c>
      <c r="BE204" s="45">
        <v>0.71</v>
      </c>
      <c r="BF204" s="50">
        <v>0.41</v>
      </c>
      <c r="BG204" s="50">
        <v>0.55999999999999994</v>
      </c>
      <c r="BH204" s="44">
        <v>519.17999999999995</v>
      </c>
      <c r="BI204" s="45">
        <v>503.17999999999995</v>
      </c>
      <c r="BJ204" s="46">
        <v>511.17999999999995</v>
      </c>
      <c r="BK204" s="45">
        <v>43.5</v>
      </c>
      <c r="BL204" s="45">
        <v>42.14</v>
      </c>
      <c r="BM204" s="45">
        <v>42.82</v>
      </c>
      <c r="BN204" s="52">
        <v>1.0900000000000001</v>
      </c>
      <c r="BO204" s="50">
        <v>0.85000000000000009</v>
      </c>
      <c r="BP204" s="51">
        <v>0.97000000000000008</v>
      </c>
      <c r="BQ204" s="45">
        <v>9.7899999999999991</v>
      </c>
      <c r="BR204" s="45">
        <v>7.7899999999999991</v>
      </c>
      <c r="BS204" s="45">
        <v>8.7899999999999991</v>
      </c>
      <c r="BT204" s="44">
        <v>11.53</v>
      </c>
      <c r="BU204" s="45">
        <v>11.129999999999999</v>
      </c>
      <c r="BV204" s="46">
        <v>11.329999999999998</v>
      </c>
      <c r="BW204" s="44">
        <v>2.83</v>
      </c>
      <c r="BX204" s="50">
        <v>2.5499999999999998</v>
      </c>
      <c r="BY204" s="51">
        <v>2.69</v>
      </c>
      <c r="BZ204" s="44">
        <v>10.07</v>
      </c>
      <c r="CA204" s="45">
        <v>7.07</v>
      </c>
      <c r="CB204" s="46">
        <v>8.57</v>
      </c>
      <c r="CC204" s="44">
        <v>6.87</v>
      </c>
      <c r="CD204" s="45">
        <v>6.63</v>
      </c>
      <c r="CE204" s="46">
        <v>6.75</v>
      </c>
      <c r="CF204" s="44">
        <v>2.0099999999999998</v>
      </c>
      <c r="CG204" s="45">
        <v>1.5099999999999998</v>
      </c>
      <c r="CH204" s="46">
        <v>1.7599999999999998</v>
      </c>
      <c r="CI204" s="44">
        <v>0.46</v>
      </c>
      <c r="CJ204" s="45">
        <v>0.42000000000000004</v>
      </c>
      <c r="CK204" s="46">
        <v>0.44000000000000006</v>
      </c>
      <c r="CL204" s="44">
        <v>40.950000000000003</v>
      </c>
      <c r="CM204">
        <v>38.550000000000004</v>
      </c>
      <c r="CN204">
        <v>39.75</v>
      </c>
      <c r="CO204">
        <v>7.22</v>
      </c>
      <c r="CP204">
        <v>2.2199999999999998</v>
      </c>
      <c r="CQ204">
        <v>4.72</v>
      </c>
    </row>
    <row r="205" spans="1:95">
      <c r="A205" s="223">
        <v>45492</v>
      </c>
      <c r="B205" s="90" t="s">
        <v>100</v>
      </c>
      <c r="C205" s="44">
        <v>158.49</v>
      </c>
      <c r="D205" s="45">
        <v>156.49</v>
      </c>
      <c r="E205" s="46">
        <v>157.49</v>
      </c>
      <c r="F205" s="44">
        <v>173.02</v>
      </c>
      <c r="G205" s="45">
        <v>170.02</v>
      </c>
      <c r="H205" s="46">
        <v>171.52</v>
      </c>
      <c r="I205" s="44">
        <v>116.48</v>
      </c>
      <c r="J205" s="45">
        <v>113.28</v>
      </c>
      <c r="K205" s="46">
        <v>114.88</v>
      </c>
      <c r="L205" s="45">
        <v>207.86</v>
      </c>
      <c r="M205" s="45">
        <v>199.86</v>
      </c>
      <c r="N205" s="45">
        <v>203.86</v>
      </c>
      <c r="O205" s="44">
        <v>178.17</v>
      </c>
      <c r="P205" s="45">
        <v>176.36999999999998</v>
      </c>
      <c r="Q205" s="46">
        <v>177.26999999999998</v>
      </c>
      <c r="R205" s="45">
        <v>23.29</v>
      </c>
      <c r="S205" s="45">
        <v>22.689999999999998</v>
      </c>
      <c r="T205" s="45">
        <v>22.99</v>
      </c>
      <c r="U205" s="44">
        <v>14.85</v>
      </c>
      <c r="V205" s="45">
        <v>14.25</v>
      </c>
      <c r="W205" s="46">
        <v>14.55</v>
      </c>
      <c r="X205" s="44">
        <v>15.25</v>
      </c>
      <c r="Y205" s="45">
        <v>14.45</v>
      </c>
      <c r="Z205" s="46">
        <v>14.85</v>
      </c>
      <c r="AA205" s="44">
        <v>107.52</v>
      </c>
      <c r="AB205" s="45">
        <v>103.52</v>
      </c>
      <c r="AC205" s="46">
        <v>105.52</v>
      </c>
      <c r="AD205" s="44">
        <v>97.09</v>
      </c>
      <c r="AE205" s="45">
        <v>93.09</v>
      </c>
      <c r="AF205" s="46">
        <v>95.09</v>
      </c>
      <c r="AG205" s="45">
        <v>20.59</v>
      </c>
      <c r="AH205" s="45">
        <v>19.73</v>
      </c>
      <c r="AI205" s="45">
        <v>20.16</v>
      </c>
      <c r="AJ205" s="47"/>
      <c r="AK205" s="48"/>
      <c r="AL205" s="49"/>
      <c r="AM205" s="45">
        <v>117.94</v>
      </c>
      <c r="AN205" s="45">
        <v>116.28</v>
      </c>
      <c r="AO205" s="45">
        <v>117.11</v>
      </c>
      <c r="AP205" s="44">
        <v>42.85</v>
      </c>
      <c r="AQ205" s="45">
        <v>41.25</v>
      </c>
      <c r="AR205" s="46">
        <v>42.05</v>
      </c>
      <c r="AS205" s="45">
        <v>43.63</v>
      </c>
      <c r="AT205" s="45">
        <v>42.27</v>
      </c>
      <c r="AU205" s="45">
        <v>42.95</v>
      </c>
      <c r="AV205" s="44">
        <v>21.94</v>
      </c>
      <c r="AW205" s="45">
        <v>21.34</v>
      </c>
      <c r="AX205" s="46">
        <v>21.64</v>
      </c>
      <c r="AY205" s="44">
        <v>4.4400000000000004</v>
      </c>
      <c r="AZ205" s="45">
        <v>4.28</v>
      </c>
      <c r="BA205" s="46">
        <v>4.3600000000000003</v>
      </c>
      <c r="BB205" s="44">
        <v>2.04</v>
      </c>
      <c r="BC205" s="50">
        <v>1.74</v>
      </c>
      <c r="BD205" s="51">
        <v>1.8900000000000001</v>
      </c>
      <c r="BE205" s="45">
        <v>0.72</v>
      </c>
      <c r="BF205" s="50">
        <v>0.42</v>
      </c>
      <c r="BG205" s="50">
        <v>0.56999999999999995</v>
      </c>
      <c r="BH205" s="44">
        <v>524.19000000000005</v>
      </c>
      <c r="BI205" s="45">
        <v>508.19000000000005</v>
      </c>
      <c r="BJ205" s="46">
        <v>516.19000000000005</v>
      </c>
      <c r="BK205" s="45">
        <v>43.95</v>
      </c>
      <c r="BL205" s="45">
        <v>42.59</v>
      </c>
      <c r="BM205" s="45">
        <v>43.27</v>
      </c>
      <c r="BN205" s="52">
        <v>1.1000000000000001</v>
      </c>
      <c r="BO205" s="50">
        <v>0.8600000000000001</v>
      </c>
      <c r="BP205" s="51">
        <v>0.98000000000000009</v>
      </c>
      <c r="BQ205" s="45">
        <v>9.77</v>
      </c>
      <c r="BR205" s="45">
        <v>7.77</v>
      </c>
      <c r="BS205" s="45">
        <v>8.77</v>
      </c>
      <c r="BT205" s="44">
        <v>11.58</v>
      </c>
      <c r="BU205" s="45">
        <v>11.18</v>
      </c>
      <c r="BV205" s="46">
        <v>11.379999999999999</v>
      </c>
      <c r="BW205" s="44">
        <v>2.86</v>
      </c>
      <c r="BX205" s="50">
        <v>2.58</v>
      </c>
      <c r="BY205" s="51">
        <v>2.7199999999999998</v>
      </c>
      <c r="BZ205" s="44">
        <v>10.119999999999999</v>
      </c>
      <c r="CA205" s="45">
        <v>7.1199999999999992</v>
      </c>
      <c r="CB205" s="46">
        <v>8.6199999999999992</v>
      </c>
      <c r="CC205" s="44">
        <v>6.9</v>
      </c>
      <c r="CD205" s="45">
        <v>6.66</v>
      </c>
      <c r="CE205" s="46">
        <v>6.78</v>
      </c>
      <c r="CF205" s="44">
        <v>2.0299999999999998</v>
      </c>
      <c r="CG205" s="45">
        <v>1.5299999999999998</v>
      </c>
      <c r="CH205" s="46">
        <v>1.7799999999999998</v>
      </c>
      <c r="CI205" s="44">
        <v>0.46</v>
      </c>
      <c r="CJ205" s="45">
        <v>0.42000000000000004</v>
      </c>
      <c r="CK205" s="46">
        <v>0.44000000000000006</v>
      </c>
      <c r="CL205" s="44">
        <v>41.14</v>
      </c>
      <c r="CM205">
        <v>38.74</v>
      </c>
      <c r="CN205">
        <v>39.94</v>
      </c>
      <c r="CO205">
        <v>7.27</v>
      </c>
      <c r="CP205">
        <v>2.2699999999999996</v>
      </c>
      <c r="CQ205">
        <v>4.7699999999999996</v>
      </c>
    </row>
    <row r="206" spans="1:95">
      <c r="A206" s="223">
        <v>45493</v>
      </c>
      <c r="B206" s="90" t="s">
        <v>307</v>
      </c>
      <c r="C206" s="44"/>
      <c r="D206" s="45"/>
      <c r="E206" s="46"/>
      <c r="F206" s="44"/>
      <c r="G206" s="45"/>
      <c r="H206" s="46"/>
      <c r="I206" s="44"/>
      <c r="J206" s="45"/>
      <c r="K206" s="46"/>
      <c r="L206" s="45"/>
      <c r="M206" s="45"/>
      <c r="N206" s="45"/>
      <c r="O206" s="44"/>
      <c r="P206" s="45"/>
      <c r="Q206" s="46"/>
      <c r="R206" s="45"/>
      <c r="S206" s="45"/>
      <c r="T206" s="45"/>
      <c r="U206" s="44"/>
      <c r="V206" s="45"/>
      <c r="W206" s="46"/>
      <c r="X206" s="44"/>
      <c r="Y206" s="45"/>
      <c r="Z206" s="46"/>
      <c r="AA206" s="44"/>
      <c r="AB206" s="45"/>
      <c r="AC206" s="46"/>
      <c r="AD206" s="44"/>
      <c r="AE206" s="45"/>
      <c r="AF206" s="46"/>
      <c r="AG206" s="45"/>
      <c r="AH206" s="45"/>
      <c r="AI206" s="45"/>
      <c r="AJ206" s="47"/>
      <c r="AK206" s="48"/>
      <c r="AL206" s="49"/>
      <c r="AM206" s="45"/>
      <c r="AN206" s="45"/>
      <c r="AO206" s="45"/>
      <c r="AP206" s="44"/>
      <c r="AQ206" s="45"/>
      <c r="AR206" s="46"/>
      <c r="AS206" s="45"/>
      <c r="AT206" s="45"/>
      <c r="AU206" s="45"/>
      <c r="AV206" s="44"/>
      <c r="AW206" s="45"/>
      <c r="AX206" s="46"/>
      <c r="AY206" s="44"/>
      <c r="AZ206" s="45"/>
      <c r="BA206" s="46"/>
      <c r="BB206" s="44"/>
      <c r="BC206" s="50"/>
      <c r="BD206" s="51"/>
      <c r="BE206" s="45"/>
      <c r="BF206" s="50"/>
      <c r="BG206" s="50"/>
      <c r="BH206" s="44"/>
      <c r="BI206" s="45"/>
      <c r="BJ206" s="46"/>
      <c r="BK206" s="45"/>
      <c r="BL206" s="45"/>
      <c r="BM206" s="45"/>
      <c r="BN206" s="52"/>
      <c r="BO206" s="50"/>
      <c r="BP206" s="51"/>
      <c r="BQ206" s="45"/>
      <c r="BR206" s="45"/>
      <c r="BS206" s="45"/>
      <c r="BT206" s="44"/>
      <c r="BU206" s="45"/>
      <c r="BV206" s="46"/>
      <c r="BW206" s="44"/>
      <c r="BX206" s="50"/>
      <c r="BY206" s="51"/>
      <c r="BZ206" s="44"/>
      <c r="CA206" s="45"/>
      <c r="CB206" s="46"/>
      <c r="CC206" s="44"/>
      <c r="CD206" s="45"/>
      <c r="CE206" s="46"/>
      <c r="CF206" s="44"/>
      <c r="CG206" s="45"/>
      <c r="CH206" s="46"/>
      <c r="CI206" s="44"/>
      <c r="CJ206" s="45"/>
      <c r="CK206" s="46"/>
      <c r="CL206" s="44"/>
    </row>
    <row r="207" spans="1:95">
      <c r="A207" s="223">
        <v>45494</v>
      </c>
      <c r="B207" s="90" t="s">
        <v>308</v>
      </c>
      <c r="C207" s="44"/>
      <c r="D207" s="45"/>
      <c r="E207" s="46"/>
      <c r="F207" s="44"/>
      <c r="G207" s="45"/>
      <c r="H207" s="46"/>
      <c r="I207" s="44"/>
      <c r="J207" s="45"/>
      <c r="K207" s="46"/>
      <c r="L207" s="45"/>
      <c r="M207" s="45"/>
      <c r="N207" s="45"/>
      <c r="O207" s="44"/>
      <c r="P207" s="45"/>
      <c r="Q207" s="46"/>
      <c r="R207" s="45"/>
      <c r="S207" s="45"/>
      <c r="T207" s="45"/>
      <c r="U207" s="44"/>
      <c r="V207" s="45"/>
      <c r="W207" s="46"/>
      <c r="X207" s="44"/>
      <c r="Y207" s="45"/>
      <c r="Z207" s="46"/>
      <c r="AA207" s="44"/>
      <c r="AB207" s="45"/>
      <c r="AC207" s="46"/>
      <c r="AD207" s="44"/>
      <c r="AE207" s="45"/>
      <c r="AF207" s="46"/>
      <c r="AG207" s="45"/>
      <c r="AH207" s="45"/>
      <c r="AI207" s="45"/>
      <c r="AJ207" s="47"/>
      <c r="AK207" s="48"/>
      <c r="AL207" s="49"/>
      <c r="AM207" s="45"/>
      <c r="AN207" s="45"/>
      <c r="AO207" s="45"/>
      <c r="AP207" s="44"/>
      <c r="AQ207" s="45"/>
      <c r="AR207" s="46"/>
      <c r="AS207" s="45"/>
      <c r="AT207" s="45"/>
      <c r="AU207" s="45"/>
      <c r="AV207" s="44"/>
      <c r="AW207" s="45"/>
      <c r="AX207" s="46"/>
      <c r="AY207" s="44"/>
      <c r="AZ207" s="45"/>
      <c r="BA207" s="46"/>
      <c r="BB207" s="44"/>
      <c r="BC207" s="50"/>
      <c r="BD207" s="51"/>
      <c r="BE207" s="45"/>
      <c r="BF207" s="50"/>
      <c r="BG207" s="50"/>
      <c r="BH207" s="44"/>
      <c r="BI207" s="45"/>
      <c r="BJ207" s="46"/>
      <c r="BK207" s="45"/>
      <c r="BL207" s="45"/>
      <c r="BM207" s="45"/>
      <c r="BN207" s="52"/>
      <c r="BO207" s="50"/>
      <c r="BP207" s="51"/>
      <c r="BQ207" s="45"/>
      <c r="BR207" s="45"/>
      <c r="BS207" s="45"/>
      <c r="BT207" s="44"/>
      <c r="BU207" s="45"/>
      <c r="BV207" s="46"/>
      <c r="BW207" s="44"/>
      <c r="BX207" s="50"/>
      <c r="BY207" s="51"/>
      <c r="BZ207" s="44"/>
      <c r="CA207" s="45"/>
      <c r="CB207" s="46"/>
      <c r="CC207" s="44"/>
      <c r="CD207" s="45"/>
      <c r="CE207" s="46"/>
      <c r="CF207" s="44"/>
      <c r="CG207" s="45"/>
      <c r="CH207" s="46"/>
      <c r="CI207" s="44"/>
      <c r="CJ207" s="45"/>
      <c r="CK207" s="46"/>
      <c r="CL207" s="44"/>
    </row>
    <row r="208" spans="1:95">
      <c r="A208" s="223">
        <v>45495</v>
      </c>
      <c r="B208" s="90" t="s">
        <v>96</v>
      </c>
      <c r="C208" s="44">
        <v>158.54</v>
      </c>
      <c r="D208" s="45">
        <v>156.54</v>
      </c>
      <c r="E208" s="46">
        <v>157.54</v>
      </c>
      <c r="F208" s="44">
        <v>173.12</v>
      </c>
      <c r="G208" s="45">
        <v>170.12</v>
      </c>
      <c r="H208" s="46">
        <v>171.62</v>
      </c>
      <c r="I208" s="44">
        <v>116.48</v>
      </c>
      <c r="J208" s="45">
        <v>113.28</v>
      </c>
      <c r="K208" s="46">
        <v>114.88</v>
      </c>
      <c r="L208" s="45">
        <v>207.67</v>
      </c>
      <c r="M208" s="45">
        <v>199.67</v>
      </c>
      <c r="N208" s="45">
        <v>203.67</v>
      </c>
      <c r="O208" s="44">
        <v>178.23</v>
      </c>
      <c r="P208" s="45">
        <v>176.42999999999998</v>
      </c>
      <c r="Q208" s="46">
        <v>177.32999999999998</v>
      </c>
      <c r="R208" s="45">
        <v>23.3</v>
      </c>
      <c r="S208" s="45">
        <v>22.7</v>
      </c>
      <c r="T208" s="45">
        <v>23</v>
      </c>
      <c r="U208" s="44">
        <v>14.75</v>
      </c>
      <c r="V208" s="45">
        <v>14.15</v>
      </c>
      <c r="W208" s="46">
        <v>14.45</v>
      </c>
      <c r="X208" s="44">
        <v>15.19</v>
      </c>
      <c r="Y208" s="45">
        <v>14.389999999999999</v>
      </c>
      <c r="Z208" s="46">
        <v>14.79</v>
      </c>
      <c r="AA208" s="44">
        <v>107.38</v>
      </c>
      <c r="AB208" s="45">
        <v>103.38</v>
      </c>
      <c r="AC208" s="46">
        <v>105.38</v>
      </c>
      <c r="AD208" s="44">
        <v>96.76</v>
      </c>
      <c r="AE208" s="45">
        <v>92.76</v>
      </c>
      <c r="AF208" s="46">
        <v>94.76</v>
      </c>
      <c r="AG208" s="45">
        <v>20.6</v>
      </c>
      <c r="AH208" s="45">
        <v>19.740000000000002</v>
      </c>
      <c r="AI208" s="45">
        <v>20.170000000000002</v>
      </c>
      <c r="AJ208" s="47"/>
      <c r="AK208" s="48"/>
      <c r="AL208" s="49"/>
      <c r="AM208" s="45">
        <v>118</v>
      </c>
      <c r="AN208" s="45">
        <v>116.34</v>
      </c>
      <c r="AO208" s="45">
        <v>117.17</v>
      </c>
      <c r="AP208" s="44">
        <v>42.87</v>
      </c>
      <c r="AQ208" s="45">
        <v>41.269999999999996</v>
      </c>
      <c r="AR208" s="46">
        <v>42.069999999999993</v>
      </c>
      <c r="AS208" s="45">
        <v>43.64</v>
      </c>
      <c r="AT208" s="45">
        <v>42.28</v>
      </c>
      <c r="AU208" s="45">
        <v>42.96</v>
      </c>
      <c r="AV208" s="44">
        <v>21.92</v>
      </c>
      <c r="AW208" s="45">
        <v>21.32</v>
      </c>
      <c r="AX208" s="46">
        <v>21.62</v>
      </c>
      <c r="AY208" s="44">
        <v>4.41</v>
      </c>
      <c r="AZ208" s="45">
        <v>4.25</v>
      </c>
      <c r="BA208" s="46">
        <v>4.33</v>
      </c>
      <c r="BB208" s="44">
        <v>2.04</v>
      </c>
      <c r="BC208" s="50">
        <v>1.74</v>
      </c>
      <c r="BD208" s="51">
        <v>1.8900000000000001</v>
      </c>
      <c r="BE208" s="45">
        <v>0.72</v>
      </c>
      <c r="BF208" s="50">
        <v>0.42</v>
      </c>
      <c r="BG208" s="50">
        <v>0.56999999999999995</v>
      </c>
      <c r="BH208" s="44">
        <v>524.36</v>
      </c>
      <c r="BI208" s="45">
        <v>508.36</v>
      </c>
      <c r="BJ208" s="46">
        <v>516.36</v>
      </c>
      <c r="BK208" s="45">
        <v>43.96</v>
      </c>
      <c r="BL208" s="45">
        <v>42.6</v>
      </c>
      <c r="BM208" s="45">
        <v>43.28</v>
      </c>
      <c r="BN208" s="52">
        <v>1.1000000000000001</v>
      </c>
      <c r="BO208" s="50">
        <v>0.8600000000000001</v>
      </c>
      <c r="BP208" s="51">
        <v>0.98000000000000009</v>
      </c>
      <c r="BQ208" s="45">
        <v>9.75</v>
      </c>
      <c r="BR208" s="45">
        <v>7.75</v>
      </c>
      <c r="BS208" s="45">
        <v>8.75</v>
      </c>
      <c r="BT208" s="44">
        <v>11.56</v>
      </c>
      <c r="BU208" s="45">
        <v>11.16</v>
      </c>
      <c r="BV208" s="46">
        <v>11.36</v>
      </c>
      <c r="BW208" s="44">
        <v>2.86</v>
      </c>
      <c r="BX208" s="50">
        <v>2.58</v>
      </c>
      <c r="BY208" s="51">
        <v>2.7199999999999998</v>
      </c>
      <c r="BZ208" s="44">
        <v>10.14</v>
      </c>
      <c r="CA208" s="45">
        <v>7.1400000000000006</v>
      </c>
      <c r="CB208" s="46">
        <v>8.64</v>
      </c>
      <c r="CC208" s="44">
        <v>6.93</v>
      </c>
      <c r="CD208" s="45">
        <v>6.6899999999999995</v>
      </c>
      <c r="CE208" s="46">
        <v>6.81</v>
      </c>
      <c r="CF208" s="44">
        <v>2.0499999999999998</v>
      </c>
      <c r="CG208" s="45">
        <v>1.5499999999999998</v>
      </c>
      <c r="CH208" s="46">
        <v>1.7999999999999998</v>
      </c>
      <c r="CI208" s="44">
        <v>0.46</v>
      </c>
      <c r="CJ208" s="45">
        <v>0.42000000000000004</v>
      </c>
      <c r="CK208" s="46">
        <v>0.44000000000000006</v>
      </c>
      <c r="CL208" s="44">
        <v>41.26</v>
      </c>
      <c r="CM208">
        <v>38.86</v>
      </c>
      <c r="CN208">
        <v>40.06</v>
      </c>
      <c r="CO208">
        <v>7.26</v>
      </c>
      <c r="CP208">
        <v>2.2599999999999998</v>
      </c>
      <c r="CQ208">
        <v>4.76</v>
      </c>
    </row>
    <row r="209" spans="1:95">
      <c r="A209" s="223">
        <v>45496</v>
      </c>
      <c r="B209" s="90" t="s">
        <v>97</v>
      </c>
      <c r="C209" s="44">
        <v>157.74</v>
      </c>
      <c r="D209" s="45">
        <v>155.74</v>
      </c>
      <c r="E209" s="46">
        <v>156.74</v>
      </c>
      <c r="F209" s="44">
        <v>172.13</v>
      </c>
      <c r="G209" s="45">
        <v>169.13</v>
      </c>
      <c r="H209" s="46">
        <v>170.63</v>
      </c>
      <c r="I209" s="44">
        <v>115.44</v>
      </c>
      <c r="J209" s="45">
        <v>112.24</v>
      </c>
      <c r="K209" s="46">
        <v>113.84</v>
      </c>
      <c r="L209" s="45">
        <v>206.6</v>
      </c>
      <c r="M209" s="45">
        <v>198.6</v>
      </c>
      <c r="N209" s="45">
        <v>202.6</v>
      </c>
      <c r="O209" s="44">
        <v>177.09</v>
      </c>
      <c r="P209" s="45">
        <v>175.29</v>
      </c>
      <c r="Q209" s="46">
        <v>176.19</v>
      </c>
      <c r="R209" s="45">
        <v>23.17</v>
      </c>
      <c r="S209" s="45">
        <v>22.57</v>
      </c>
      <c r="T209" s="45">
        <v>22.87</v>
      </c>
      <c r="U209" s="44">
        <v>14.59</v>
      </c>
      <c r="V209" s="45">
        <v>13.99</v>
      </c>
      <c r="W209" s="46">
        <v>14.29</v>
      </c>
      <c r="X209" s="44">
        <v>15.01</v>
      </c>
      <c r="Y209" s="45">
        <v>14.209999999999999</v>
      </c>
      <c r="Z209" s="46">
        <v>14.61</v>
      </c>
      <c r="AA209" s="44">
        <v>105.95</v>
      </c>
      <c r="AB209" s="45">
        <v>101.95</v>
      </c>
      <c r="AC209" s="46">
        <v>103.95</v>
      </c>
      <c r="AD209" s="44">
        <v>95.53</v>
      </c>
      <c r="AE209" s="45">
        <v>91.53</v>
      </c>
      <c r="AF209" s="46">
        <v>93.53</v>
      </c>
      <c r="AG209" s="45">
        <v>20.51</v>
      </c>
      <c r="AH209" s="45">
        <v>19.650000000000002</v>
      </c>
      <c r="AI209" s="45">
        <v>20.080000000000002</v>
      </c>
      <c r="AJ209" s="47"/>
      <c r="AK209" s="48"/>
      <c r="AL209" s="49"/>
      <c r="AM209" s="45">
        <v>117.32</v>
      </c>
      <c r="AN209" s="45">
        <v>115.66</v>
      </c>
      <c r="AO209" s="45">
        <v>116.49</v>
      </c>
      <c r="AP209" s="44">
        <v>42.65</v>
      </c>
      <c r="AQ209" s="45">
        <v>41.05</v>
      </c>
      <c r="AR209" s="46">
        <v>41.849999999999994</v>
      </c>
      <c r="AS209" s="45">
        <v>43.42</v>
      </c>
      <c r="AT209" s="45">
        <v>42.06</v>
      </c>
      <c r="AU209" s="45">
        <v>42.74</v>
      </c>
      <c r="AV209" s="44">
        <v>21.78</v>
      </c>
      <c r="AW209" s="45">
        <v>21.18</v>
      </c>
      <c r="AX209" s="46">
        <v>21.48</v>
      </c>
      <c r="AY209" s="44">
        <v>4.4000000000000004</v>
      </c>
      <c r="AZ209" s="45">
        <v>4.24</v>
      </c>
      <c r="BA209" s="46">
        <v>4.32</v>
      </c>
      <c r="BB209" s="44">
        <v>2.0299999999999998</v>
      </c>
      <c r="BC209" s="50">
        <v>1.7299999999999998</v>
      </c>
      <c r="BD209" s="51">
        <v>1.88</v>
      </c>
      <c r="BE209" s="45">
        <v>0.72</v>
      </c>
      <c r="BF209" s="50">
        <v>0.42</v>
      </c>
      <c r="BG209" s="50">
        <v>0.56999999999999995</v>
      </c>
      <c r="BH209" s="44">
        <v>521.73</v>
      </c>
      <c r="BI209" s="45">
        <v>505.73</v>
      </c>
      <c r="BJ209" s="46">
        <v>513.73</v>
      </c>
      <c r="BK209" s="45">
        <v>43.74</v>
      </c>
      <c r="BL209" s="45">
        <v>42.38</v>
      </c>
      <c r="BM209" s="45">
        <v>43.06</v>
      </c>
      <c r="BN209" s="52">
        <v>1.0900000000000001</v>
      </c>
      <c r="BO209" s="50">
        <v>0.85000000000000009</v>
      </c>
      <c r="BP209" s="51">
        <v>0.97000000000000008</v>
      </c>
      <c r="BQ209" s="45">
        <v>9.73</v>
      </c>
      <c r="BR209" s="45">
        <v>7.73</v>
      </c>
      <c r="BS209" s="45">
        <v>8.73</v>
      </c>
      <c r="BT209" s="44">
        <v>11.51</v>
      </c>
      <c r="BU209" s="45">
        <v>11.11</v>
      </c>
      <c r="BV209" s="46">
        <v>11.309999999999999</v>
      </c>
      <c r="BW209" s="44">
        <v>2.84</v>
      </c>
      <c r="BX209" s="50">
        <v>2.5599999999999996</v>
      </c>
      <c r="BY209" s="51">
        <v>2.6999999999999997</v>
      </c>
      <c r="BZ209" s="44">
        <v>10.08</v>
      </c>
      <c r="CA209" s="45">
        <v>7.08</v>
      </c>
      <c r="CB209" s="46">
        <v>8.58</v>
      </c>
      <c r="CC209" s="44">
        <v>6.88</v>
      </c>
      <c r="CD209" s="45">
        <v>6.64</v>
      </c>
      <c r="CE209" s="46">
        <v>6.76</v>
      </c>
      <c r="CF209" s="44">
        <v>2.0299999999999998</v>
      </c>
      <c r="CG209" s="45">
        <v>1.5299999999999998</v>
      </c>
      <c r="CH209" s="46">
        <v>1.7799999999999998</v>
      </c>
      <c r="CI209" s="44">
        <v>0.46</v>
      </c>
      <c r="CJ209" s="45">
        <v>0.42000000000000004</v>
      </c>
      <c r="CK209" s="46">
        <v>0.44000000000000006</v>
      </c>
      <c r="CL209" s="44">
        <v>41.1</v>
      </c>
      <c r="CM209">
        <v>38.700000000000003</v>
      </c>
      <c r="CN209">
        <v>39.900000000000006</v>
      </c>
      <c r="CO209">
        <v>7.27</v>
      </c>
      <c r="CP209">
        <v>2.2699999999999996</v>
      </c>
      <c r="CQ209">
        <v>4.7699999999999996</v>
      </c>
    </row>
    <row r="210" spans="1:95">
      <c r="A210" s="223">
        <v>45497</v>
      </c>
      <c r="B210" s="90" t="s">
        <v>98</v>
      </c>
      <c r="C210" s="44">
        <v>156.87</v>
      </c>
      <c r="D210" s="45">
        <v>154.87</v>
      </c>
      <c r="E210" s="46">
        <v>155.87</v>
      </c>
      <c r="F210" s="44">
        <v>170.56</v>
      </c>
      <c r="G210" s="45">
        <v>167.56</v>
      </c>
      <c r="H210" s="46">
        <v>169.06</v>
      </c>
      <c r="I210" s="44">
        <v>114.66</v>
      </c>
      <c r="J210" s="45">
        <v>111.46</v>
      </c>
      <c r="K210" s="46">
        <v>113.06</v>
      </c>
      <c r="L210" s="45">
        <v>205.01</v>
      </c>
      <c r="M210" s="45">
        <v>197.01</v>
      </c>
      <c r="N210" s="45">
        <v>201.01</v>
      </c>
      <c r="O210" s="44">
        <v>175.62</v>
      </c>
      <c r="P210" s="45">
        <v>173.82</v>
      </c>
      <c r="Q210" s="46">
        <v>174.72</v>
      </c>
      <c r="R210" s="45">
        <v>22.95</v>
      </c>
      <c r="S210" s="45">
        <v>22.349999999999998</v>
      </c>
      <c r="T210" s="45">
        <v>22.65</v>
      </c>
      <c r="U210" s="44">
        <v>14.43</v>
      </c>
      <c r="V210" s="45">
        <v>13.83</v>
      </c>
      <c r="W210" s="46">
        <v>14.129999999999999</v>
      </c>
      <c r="X210" s="44">
        <v>14.85</v>
      </c>
      <c r="Y210" s="45">
        <v>14.049999999999999</v>
      </c>
      <c r="Z210" s="46">
        <v>14.45</v>
      </c>
      <c r="AA210" s="44">
        <v>104.98</v>
      </c>
      <c r="AB210" s="45">
        <v>100.98</v>
      </c>
      <c r="AC210" s="46">
        <v>102.98</v>
      </c>
      <c r="AD210" s="44">
        <v>94.65</v>
      </c>
      <c r="AE210" s="45">
        <v>90.65</v>
      </c>
      <c r="AF210" s="46">
        <v>92.65</v>
      </c>
      <c r="AG210" s="45">
        <v>20.39</v>
      </c>
      <c r="AH210" s="45">
        <v>19.53</v>
      </c>
      <c r="AI210" s="45">
        <v>19.96</v>
      </c>
      <c r="AJ210" s="47"/>
      <c r="AK210" s="48"/>
      <c r="AL210" s="49"/>
      <c r="AM210" s="45">
        <v>116.64</v>
      </c>
      <c r="AN210" s="45">
        <v>114.98</v>
      </c>
      <c r="AO210" s="45">
        <v>115.81</v>
      </c>
      <c r="AP210" s="44">
        <v>42.39</v>
      </c>
      <c r="AQ210" s="45">
        <v>40.79</v>
      </c>
      <c r="AR210" s="46">
        <v>41.59</v>
      </c>
      <c r="AS210" s="45">
        <v>43.19</v>
      </c>
      <c r="AT210" s="45">
        <v>41.83</v>
      </c>
      <c r="AU210" s="45">
        <v>42.51</v>
      </c>
      <c r="AV210" s="44">
        <v>21.68</v>
      </c>
      <c r="AW210" s="45">
        <v>21.08</v>
      </c>
      <c r="AX210" s="46">
        <v>21.38</v>
      </c>
      <c r="AY210" s="44">
        <v>4.3899999999999997</v>
      </c>
      <c r="AZ210" s="45">
        <v>4.2299999999999995</v>
      </c>
      <c r="BA210" s="46">
        <v>4.3099999999999996</v>
      </c>
      <c r="BB210" s="44">
        <v>2.02</v>
      </c>
      <c r="BC210" s="50">
        <v>1.72</v>
      </c>
      <c r="BD210" s="51">
        <v>1.87</v>
      </c>
      <c r="BE210" s="45">
        <v>0.71</v>
      </c>
      <c r="BF210" s="50">
        <v>0.41</v>
      </c>
      <c r="BG210" s="50">
        <v>0.55999999999999994</v>
      </c>
      <c r="BH210" s="44">
        <v>518.88</v>
      </c>
      <c r="BI210" s="45">
        <v>502.88</v>
      </c>
      <c r="BJ210" s="46">
        <v>510.88</v>
      </c>
      <c r="BK210" s="45">
        <v>43.5</v>
      </c>
      <c r="BL210" s="45">
        <v>42.14</v>
      </c>
      <c r="BM210" s="45">
        <v>42.82</v>
      </c>
      <c r="BN210" s="52">
        <v>1.08</v>
      </c>
      <c r="BO210" s="50">
        <v>0.84000000000000008</v>
      </c>
      <c r="BP210" s="51">
        <v>0.96000000000000008</v>
      </c>
      <c r="BQ210" s="45">
        <v>9.58</v>
      </c>
      <c r="BR210" s="45">
        <v>7.58</v>
      </c>
      <c r="BS210" s="45">
        <v>8.58</v>
      </c>
      <c r="BT210" s="44">
        <v>11.45</v>
      </c>
      <c r="BU210" s="45">
        <v>11.049999999999999</v>
      </c>
      <c r="BV210" s="46">
        <v>11.25</v>
      </c>
      <c r="BW210" s="44">
        <v>2.83</v>
      </c>
      <c r="BX210" s="50">
        <v>2.5499999999999998</v>
      </c>
      <c r="BY210" s="51">
        <v>2.69</v>
      </c>
      <c r="BZ210" s="44">
        <v>9.9700000000000006</v>
      </c>
      <c r="CA210" s="45">
        <v>6.9700000000000006</v>
      </c>
      <c r="CB210" s="46">
        <v>8.4700000000000006</v>
      </c>
      <c r="CC210" s="44">
        <v>6.78</v>
      </c>
      <c r="CD210" s="45">
        <v>6.54</v>
      </c>
      <c r="CE210" s="46">
        <v>6.66</v>
      </c>
      <c r="CF210" s="44">
        <v>2.0299999999999998</v>
      </c>
      <c r="CG210" s="45">
        <v>1.5299999999999998</v>
      </c>
      <c r="CH210" s="46">
        <v>1.7799999999999998</v>
      </c>
      <c r="CI210" s="44">
        <v>0.45</v>
      </c>
      <c r="CJ210" s="45">
        <v>0.41000000000000003</v>
      </c>
      <c r="CK210" s="46">
        <v>0.43000000000000005</v>
      </c>
      <c r="CL210" s="44">
        <v>40.75</v>
      </c>
      <c r="CM210">
        <v>38.35</v>
      </c>
      <c r="CN210">
        <v>39.549999999999997</v>
      </c>
      <c r="CO210">
        <v>7.26</v>
      </c>
      <c r="CP210">
        <v>2.2599999999999998</v>
      </c>
      <c r="CQ210">
        <v>4.76</v>
      </c>
    </row>
    <row r="211" spans="1:95">
      <c r="A211" s="223">
        <v>45498</v>
      </c>
      <c r="B211" s="90" t="s">
        <v>99</v>
      </c>
      <c r="C211" s="44">
        <v>154.36000000000001</v>
      </c>
      <c r="D211" s="45">
        <v>152.36000000000001</v>
      </c>
      <c r="E211" s="46">
        <v>153.36000000000001</v>
      </c>
      <c r="F211" s="44">
        <v>167.74</v>
      </c>
      <c r="G211" s="45">
        <v>164.74</v>
      </c>
      <c r="H211" s="46">
        <v>166.24</v>
      </c>
      <c r="I211" s="44">
        <v>112.62</v>
      </c>
      <c r="J211" s="45">
        <v>109.42</v>
      </c>
      <c r="K211" s="46">
        <v>111.02000000000001</v>
      </c>
      <c r="L211" s="45">
        <v>201.79</v>
      </c>
      <c r="M211" s="45">
        <v>193.79</v>
      </c>
      <c r="N211" s="45">
        <v>197.79</v>
      </c>
      <c r="O211" s="44">
        <v>174.21</v>
      </c>
      <c r="P211" s="45">
        <v>172.41</v>
      </c>
      <c r="Q211" s="46">
        <v>173.31</v>
      </c>
      <c r="R211" s="45">
        <v>22.57</v>
      </c>
      <c r="S211" s="45">
        <v>21.97</v>
      </c>
      <c r="T211" s="45">
        <v>22.27</v>
      </c>
      <c r="U211" s="44">
        <v>14.2</v>
      </c>
      <c r="V211" s="45">
        <v>13.6</v>
      </c>
      <c r="W211" s="46">
        <v>13.899999999999999</v>
      </c>
      <c r="X211" s="44">
        <v>14.63</v>
      </c>
      <c r="Y211" s="45">
        <v>13.83</v>
      </c>
      <c r="Z211" s="46">
        <v>14.23</v>
      </c>
      <c r="AA211" s="44">
        <v>102.6</v>
      </c>
      <c r="AB211" s="45">
        <v>98.6</v>
      </c>
      <c r="AC211" s="46">
        <v>100.6</v>
      </c>
      <c r="AD211" s="44">
        <v>92.77</v>
      </c>
      <c r="AE211" s="45">
        <v>88.77</v>
      </c>
      <c r="AF211" s="46">
        <v>90.77</v>
      </c>
      <c r="AG211" s="45">
        <v>20.07</v>
      </c>
      <c r="AH211" s="45">
        <v>19.21</v>
      </c>
      <c r="AI211" s="45">
        <v>19.64</v>
      </c>
      <c r="AJ211" s="47"/>
      <c r="AK211" s="48"/>
      <c r="AL211" s="49"/>
      <c r="AM211" s="45">
        <v>114.97</v>
      </c>
      <c r="AN211" s="45">
        <v>113.31</v>
      </c>
      <c r="AO211" s="45">
        <v>114.14</v>
      </c>
      <c r="AP211" s="44">
        <v>41.75</v>
      </c>
      <c r="AQ211" s="45">
        <v>40.15</v>
      </c>
      <c r="AR211" s="46">
        <v>40.950000000000003</v>
      </c>
      <c r="AS211" s="45">
        <v>42.5</v>
      </c>
      <c r="AT211" s="45">
        <v>41.14</v>
      </c>
      <c r="AU211" s="45">
        <v>41.82</v>
      </c>
      <c r="AV211" s="44">
        <v>21.4</v>
      </c>
      <c r="AW211" s="45">
        <v>20.799999999999997</v>
      </c>
      <c r="AX211" s="46">
        <v>21.099999999999998</v>
      </c>
      <c r="AY211" s="44">
        <v>4.34</v>
      </c>
      <c r="AZ211" s="45">
        <v>4.18</v>
      </c>
      <c r="BA211" s="46">
        <v>4.26</v>
      </c>
      <c r="BB211" s="44">
        <v>1.99</v>
      </c>
      <c r="BC211" s="50">
        <v>1.69</v>
      </c>
      <c r="BD211" s="51">
        <v>1.8399999999999999</v>
      </c>
      <c r="BE211" s="45">
        <v>0.7</v>
      </c>
      <c r="BF211" s="50">
        <v>0.39999999999999997</v>
      </c>
      <c r="BG211" s="50">
        <v>0.54999999999999993</v>
      </c>
      <c r="BH211" s="44">
        <v>510.65</v>
      </c>
      <c r="BI211" s="45">
        <v>494.65</v>
      </c>
      <c r="BJ211" s="46">
        <v>502.65</v>
      </c>
      <c r="BK211" s="45">
        <v>42.81</v>
      </c>
      <c r="BL211" s="45">
        <v>41.45</v>
      </c>
      <c r="BM211" s="45">
        <v>42.13</v>
      </c>
      <c r="BN211" s="52">
        <v>1.07</v>
      </c>
      <c r="BO211" s="50">
        <v>0.83000000000000007</v>
      </c>
      <c r="BP211" s="51">
        <v>0.95000000000000007</v>
      </c>
      <c r="BQ211" s="45">
        <v>9.33</v>
      </c>
      <c r="BR211" s="45">
        <v>7.33</v>
      </c>
      <c r="BS211" s="45">
        <v>8.33</v>
      </c>
      <c r="BT211" s="44">
        <v>11.3</v>
      </c>
      <c r="BU211" s="45">
        <v>10.9</v>
      </c>
      <c r="BV211" s="46">
        <v>11.100000000000001</v>
      </c>
      <c r="BW211" s="44">
        <v>2.78</v>
      </c>
      <c r="BX211" s="50">
        <v>2.5</v>
      </c>
      <c r="BY211" s="51">
        <v>2.6399999999999997</v>
      </c>
      <c r="BZ211" s="44">
        <v>9.85</v>
      </c>
      <c r="CA211" s="45">
        <v>6.85</v>
      </c>
      <c r="CB211" s="46">
        <v>8.35</v>
      </c>
      <c r="CC211" s="44">
        <v>6.67</v>
      </c>
      <c r="CD211" s="45">
        <v>6.43</v>
      </c>
      <c r="CE211" s="46">
        <v>6.55</v>
      </c>
      <c r="CF211" s="44">
        <v>2.0299999999999998</v>
      </c>
      <c r="CG211" s="45">
        <v>1.5299999999999998</v>
      </c>
      <c r="CH211" s="46">
        <v>1.7799999999999998</v>
      </c>
      <c r="CI211" s="44">
        <v>0.44</v>
      </c>
      <c r="CJ211" s="45">
        <v>0.4</v>
      </c>
      <c r="CK211" s="46">
        <v>0.42000000000000004</v>
      </c>
      <c r="CL211" s="44">
        <v>39.869999999999997</v>
      </c>
      <c r="CM211">
        <v>37.47</v>
      </c>
      <c r="CN211">
        <v>38.67</v>
      </c>
      <c r="CO211">
        <v>7.17</v>
      </c>
      <c r="CP211">
        <v>2.17</v>
      </c>
      <c r="CQ211">
        <v>4.67</v>
      </c>
    </row>
    <row r="212" spans="1:95">
      <c r="A212" s="223">
        <v>45499</v>
      </c>
      <c r="B212" s="90" t="s">
        <v>100</v>
      </c>
      <c r="C212" s="44">
        <v>155.13</v>
      </c>
      <c r="D212" s="45">
        <v>153.13</v>
      </c>
      <c r="E212" s="46">
        <v>154.13</v>
      </c>
      <c r="F212" s="44">
        <v>168.78</v>
      </c>
      <c r="G212" s="45">
        <v>165.78</v>
      </c>
      <c r="H212" s="46">
        <v>167.28</v>
      </c>
      <c r="I212" s="44">
        <v>113.12</v>
      </c>
      <c r="J212" s="45">
        <v>109.92</v>
      </c>
      <c r="K212" s="46">
        <v>111.52000000000001</v>
      </c>
      <c r="L212" s="45">
        <v>202.15</v>
      </c>
      <c r="M212" s="45">
        <v>194.15</v>
      </c>
      <c r="N212" s="45">
        <v>198.15</v>
      </c>
      <c r="O212" s="44">
        <v>175.73</v>
      </c>
      <c r="P212" s="45">
        <v>173.92999999999998</v>
      </c>
      <c r="Q212" s="46">
        <v>174.82999999999998</v>
      </c>
      <c r="R212" s="45">
        <v>22.71</v>
      </c>
      <c r="S212" s="45">
        <v>22.11</v>
      </c>
      <c r="T212" s="45">
        <v>22.41</v>
      </c>
      <c r="U212" s="44">
        <v>14.27</v>
      </c>
      <c r="V212" s="45">
        <v>13.67</v>
      </c>
      <c r="W212" s="46">
        <v>13.969999999999999</v>
      </c>
      <c r="X212" s="44">
        <v>14.63</v>
      </c>
      <c r="Y212" s="45">
        <v>13.83</v>
      </c>
      <c r="Z212" s="46">
        <v>14.23</v>
      </c>
      <c r="AA212" s="44">
        <v>102.88</v>
      </c>
      <c r="AB212" s="45">
        <v>98.88</v>
      </c>
      <c r="AC212" s="46">
        <v>100.88</v>
      </c>
      <c r="AD212" s="44">
        <v>92.75</v>
      </c>
      <c r="AE212" s="45">
        <v>88.75</v>
      </c>
      <c r="AF212" s="46">
        <v>90.75</v>
      </c>
      <c r="AG212" s="45">
        <v>20.170000000000002</v>
      </c>
      <c r="AH212" s="45">
        <v>19.310000000000002</v>
      </c>
      <c r="AI212" s="45">
        <v>19.740000000000002</v>
      </c>
      <c r="AJ212" s="47"/>
      <c r="AK212" s="48"/>
      <c r="AL212" s="49"/>
      <c r="AM212" s="45">
        <v>115.56</v>
      </c>
      <c r="AN212" s="45">
        <v>113.9</v>
      </c>
      <c r="AO212" s="45">
        <v>114.73</v>
      </c>
      <c r="AP212" s="44">
        <v>41.96</v>
      </c>
      <c r="AQ212" s="45">
        <v>40.36</v>
      </c>
      <c r="AR212" s="46">
        <v>41.16</v>
      </c>
      <c r="AS212" s="45">
        <v>42.71</v>
      </c>
      <c r="AT212" s="45">
        <v>41.35</v>
      </c>
      <c r="AU212" s="45">
        <v>42.03</v>
      </c>
      <c r="AV212" s="44">
        <v>21.56</v>
      </c>
      <c r="AW212" s="45">
        <v>20.959999999999997</v>
      </c>
      <c r="AX212" s="46">
        <v>21.259999999999998</v>
      </c>
      <c r="AY212" s="44">
        <v>4.34</v>
      </c>
      <c r="AZ212" s="45">
        <v>4.18</v>
      </c>
      <c r="BA212" s="46">
        <v>4.26</v>
      </c>
      <c r="BB212" s="44">
        <v>2</v>
      </c>
      <c r="BC212" s="50">
        <v>1.7</v>
      </c>
      <c r="BD212" s="51">
        <v>1.85</v>
      </c>
      <c r="BE212" s="45">
        <v>0.7</v>
      </c>
      <c r="BF212" s="50">
        <v>0.39999999999999997</v>
      </c>
      <c r="BG212" s="50">
        <v>0.54999999999999993</v>
      </c>
      <c r="BH212" s="44">
        <v>512.85</v>
      </c>
      <c r="BI212" s="45">
        <v>496.85</v>
      </c>
      <c r="BJ212" s="46">
        <v>504.85</v>
      </c>
      <c r="BK212" s="45">
        <v>43.02</v>
      </c>
      <c r="BL212" s="45">
        <v>41.660000000000004</v>
      </c>
      <c r="BM212" s="45">
        <v>42.34</v>
      </c>
      <c r="BN212" s="52">
        <v>1.07</v>
      </c>
      <c r="BO212" s="50">
        <v>0.83000000000000007</v>
      </c>
      <c r="BP212" s="51">
        <v>0.95000000000000007</v>
      </c>
      <c r="BQ212" s="45">
        <v>9.36</v>
      </c>
      <c r="BR212" s="45">
        <v>7.3599999999999994</v>
      </c>
      <c r="BS212" s="45">
        <v>8.36</v>
      </c>
      <c r="BT212" s="44">
        <v>11.34</v>
      </c>
      <c r="BU212" s="45">
        <v>10.94</v>
      </c>
      <c r="BV212" s="46">
        <v>11.14</v>
      </c>
      <c r="BW212" s="44">
        <v>2.8</v>
      </c>
      <c r="BX212" s="50">
        <v>2.5199999999999996</v>
      </c>
      <c r="BY212" s="51">
        <v>2.6599999999999997</v>
      </c>
      <c r="BZ212" s="44">
        <v>9.89</v>
      </c>
      <c r="CA212" s="45">
        <v>6.8900000000000006</v>
      </c>
      <c r="CB212" s="46">
        <v>8.39</v>
      </c>
      <c r="CC212" s="44">
        <v>6.71</v>
      </c>
      <c r="CD212" s="45">
        <v>6.47</v>
      </c>
      <c r="CE212" s="46">
        <v>6.59</v>
      </c>
      <c r="CF212" s="44">
        <v>2.0699999999999998</v>
      </c>
      <c r="CG212" s="45">
        <v>1.5699999999999998</v>
      </c>
      <c r="CH212" s="46">
        <v>1.8199999999999998</v>
      </c>
      <c r="CI212" s="44">
        <v>0.45</v>
      </c>
      <c r="CJ212" s="45">
        <v>0.41000000000000003</v>
      </c>
      <c r="CK212" s="46">
        <v>0.43000000000000005</v>
      </c>
      <c r="CL212" s="44">
        <v>40.26</v>
      </c>
      <c r="CM212">
        <v>37.86</v>
      </c>
      <c r="CN212">
        <v>39.06</v>
      </c>
      <c r="CO212">
        <v>7.17</v>
      </c>
      <c r="CP212">
        <v>2.17</v>
      </c>
      <c r="CQ212">
        <v>4.67</v>
      </c>
    </row>
    <row r="213" spans="1:95">
      <c r="A213" s="223">
        <v>45500</v>
      </c>
      <c r="B213" s="90" t="s">
        <v>307</v>
      </c>
      <c r="C213" s="44"/>
      <c r="D213" s="45"/>
      <c r="E213" s="46"/>
      <c r="F213" s="44"/>
      <c r="G213" s="45"/>
      <c r="H213" s="46"/>
      <c r="I213" s="44"/>
      <c r="J213" s="45"/>
      <c r="K213" s="46"/>
      <c r="L213" s="45"/>
      <c r="M213" s="45"/>
      <c r="N213" s="45"/>
      <c r="O213" s="44"/>
      <c r="P213" s="45"/>
      <c r="Q213" s="46"/>
      <c r="R213" s="45"/>
      <c r="S213" s="45"/>
      <c r="T213" s="45"/>
      <c r="U213" s="44"/>
      <c r="V213" s="45"/>
      <c r="W213" s="46"/>
      <c r="X213" s="44"/>
      <c r="Y213" s="45"/>
      <c r="Z213" s="46"/>
      <c r="AA213" s="44"/>
      <c r="AB213" s="45"/>
      <c r="AC213" s="46"/>
      <c r="AD213" s="44"/>
      <c r="AE213" s="45"/>
      <c r="AF213" s="46"/>
      <c r="AG213" s="45"/>
      <c r="AH213" s="45"/>
      <c r="AI213" s="45"/>
      <c r="AJ213" s="47"/>
      <c r="AK213" s="48"/>
      <c r="AL213" s="49"/>
      <c r="AM213" s="45"/>
      <c r="AN213" s="45"/>
      <c r="AO213" s="45"/>
      <c r="AP213" s="44"/>
      <c r="AQ213" s="45"/>
      <c r="AR213" s="46"/>
      <c r="AS213" s="45"/>
      <c r="AT213" s="45"/>
      <c r="AU213" s="45"/>
      <c r="AV213" s="44"/>
      <c r="AW213" s="45"/>
      <c r="AX213" s="46"/>
      <c r="AY213" s="44"/>
      <c r="AZ213" s="45"/>
      <c r="BA213" s="46"/>
      <c r="BB213" s="44"/>
      <c r="BC213" s="50"/>
      <c r="BD213" s="51"/>
      <c r="BE213" s="45"/>
      <c r="BF213" s="50"/>
      <c r="BG213" s="50"/>
      <c r="BH213" s="44"/>
      <c r="BI213" s="45"/>
      <c r="BJ213" s="46"/>
      <c r="BK213" s="45"/>
      <c r="BL213" s="45"/>
      <c r="BM213" s="45"/>
      <c r="BN213" s="52"/>
      <c r="BO213" s="50"/>
      <c r="BP213" s="51"/>
      <c r="BQ213" s="45"/>
      <c r="BR213" s="45"/>
      <c r="BS213" s="45"/>
      <c r="BT213" s="44"/>
      <c r="BU213" s="45"/>
      <c r="BV213" s="46"/>
      <c r="BW213" s="44"/>
      <c r="BX213" s="50"/>
      <c r="BY213" s="51"/>
      <c r="BZ213" s="44"/>
      <c r="CA213" s="45"/>
      <c r="CB213" s="46"/>
      <c r="CC213" s="44"/>
      <c r="CD213" s="45"/>
      <c r="CE213" s="46"/>
      <c r="CF213" s="44"/>
      <c r="CG213" s="45"/>
      <c r="CH213" s="46"/>
      <c r="CI213" s="44"/>
      <c r="CJ213" s="45"/>
      <c r="CK213" s="46"/>
      <c r="CL213" s="44"/>
    </row>
    <row r="214" spans="1:95">
      <c r="A214" s="223">
        <v>45501</v>
      </c>
      <c r="B214" s="90" t="s">
        <v>308</v>
      </c>
      <c r="C214" s="44"/>
      <c r="D214" s="45"/>
      <c r="E214" s="46"/>
      <c r="F214" s="44"/>
      <c r="G214" s="45"/>
      <c r="H214" s="46"/>
      <c r="I214" s="44"/>
      <c r="J214" s="45"/>
      <c r="K214" s="46"/>
      <c r="L214" s="45"/>
      <c r="M214" s="45"/>
      <c r="N214" s="45"/>
      <c r="O214" s="44"/>
      <c r="P214" s="45"/>
      <c r="Q214" s="46"/>
      <c r="R214" s="45"/>
      <c r="S214" s="45"/>
      <c r="T214" s="45"/>
      <c r="U214" s="44"/>
      <c r="V214" s="45"/>
      <c r="W214" s="46"/>
      <c r="X214" s="44"/>
      <c r="Y214" s="45"/>
      <c r="Z214" s="46"/>
      <c r="AA214" s="44"/>
      <c r="AB214" s="45"/>
      <c r="AC214" s="46"/>
      <c r="AD214" s="44"/>
      <c r="AE214" s="45"/>
      <c r="AF214" s="46"/>
      <c r="AG214" s="45"/>
      <c r="AH214" s="45"/>
      <c r="AI214" s="45"/>
      <c r="AJ214" s="47"/>
      <c r="AK214" s="48"/>
      <c r="AL214" s="49"/>
      <c r="AM214" s="45"/>
      <c r="AN214" s="45"/>
      <c r="AO214" s="45"/>
      <c r="AP214" s="44"/>
      <c r="AQ214" s="45"/>
      <c r="AR214" s="46"/>
      <c r="AS214" s="45"/>
      <c r="AT214" s="45"/>
      <c r="AU214" s="45"/>
      <c r="AV214" s="44"/>
      <c r="AW214" s="45"/>
      <c r="AX214" s="46"/>
      <c r="AY214" s="44"/>
      <c r="AZ214" s="45"/>
      <c r="BA214" s="46"/>
      <c r="BB214" s="44"/>
      <c r="BC214" s="50"/>
      <c r="BD214" s="51"/>
      <c r="BE214" s="45"/>
      <c r="BF214" s="50"/>
      <c r="BG214" s="50"/>
      <c r="BH214" s="44"/>
      <c r="BI214" s="45"/>
      <c r="BJ214" s="46"/>
      <c r="BK214" s="45"/>
      <c r="BL214" s="45"/>
      <c r="BM214" s="45"/>
      <c r="BN214" s="52"/>
      <c r="BO214" s="50"/>
      <c r="BP214" s="51"/>
      <c r="BQ214" s="45"/>
      <c r="BR214" s="45"/>
      <c r="BS214" s="45"/>
      <c r="BT214" s="44"/>
      <c r="BU214" s="45"/>
      <c r="BV214" s="46"/>
      <c r="BW214" s="44"/>
      <c r="BX214" s="50"/>
      <c r="BY214" s="51"/>
      <c r="BZ214" s="44"/>
      <c r="CA214" s="45"/>
      <c r="CB214" s="46"/>
      <c r="CC214" s="44"/>
      <c r="CD214" s="45"/>
      <c r="CE214" s="46"/>
      <c r="CF214" s="44"/>
      <c r="CG214" s="45"/>
      <c r="CH214" s="46"/>
      <c r="CI214" s="44"/>
      <c r="CJ214" s="45"/>
      <c r="CK214" s="46"/>
      <c r="CL214" s="44"/>
    </row>
    <row r="215" spans="1:95">
      <c r="A215" s="223">
        <v>45502</v>
      </c>
      <c r="B215" s="90" t="s">
        <v>96</v>
      </c>
      <c r="C215" s="44">
        <v>154.76</v>
      </c>
      <c r="D215" s="45">
        <v>152.76</v>
      </c>
      <c r="E215" s="46">
        <v>153.76</v>
      </c>
      <c r="F215" s="44">
        <v>168.51</v>
      </c>
      <c r="G215" s="45">
        <v>165.51</v>
      </c>
      <c r="H215" s="46">
        <v>167.01</v>
      </c>
      <c r="I215" s="44">
        <v>112.86</v>
      </c>
      <c r="J215" s="45">
        <v>109.66</v>
      </c>
      <c r="K215" s="46">
        <v>111.25999999999999</v>
      </c>
      <c r="L215" s="45">
        <v>202.12</v>
      </c>
      <c r="M215" s="45">
        <v>194.12</v>
      </c>
      <c r="N215" s="45">
        <v>198.12</v>
      </c>
      <c r="O215" s="44">
        <v>174.9</v>
      </c>
      <c r="P215" s="45">
        <v>173.1</v>
      </c>
      <c r="Q215" s="46">
        <v>174</v>
      </c>
      <c r="R215" s="45">
        <v>22.68</v>
      </c>
      <c r="S215" s="45">
        <v>22.08</v>
      </c>
      <c r="T215" s="45">
        <v>22.38</v>
      </c>
      <c r="U215" s="44">
        <v>14.29</v>
      </c>
      <c r="V215" s="45">
        <v>13.69</v>
      </c>
      <c r="W215" s="46">
        <v>13.989999999999998</v>
      </c>
      <c r="X215" s="44">
        <v>14.64</v>
      </c>
      <c r="Y215" s="45">
        <v>13.84</v>
      </c>
      <c r="Z215" s="46">
        <v>14.24</v>
      </c>
      <c r="AA215" s="44">
        <v>102.93</v>
      </c>
      <c r="AB215" s="45">
        <v>98.93</v>
      </c>
      <c r="AC215" s="46">
        <v>100.93</v>
      </c>
      <c r="AD215" s="44">
        <v>92.67</v>
      </c>
      <c r="AE215" s="45">
        <v>88.67</v>
      </c>
      <c r="AF215" s="46">
        <v>90.67</v>
      </c>
      <c r="AG215" s="45">
        <v>20.12</v>
      </c>
      <c r="AH215" s="45">
        <v>19.260000000000002</v>
      </c>
      <c r="AI215" s="45">
        <v>19.690000000000001</v>
      </c>
      <c r="AJ215" s="47"/>
      <c r="AK215" s="48"/>
      <c r="AL215" s="49"/>
      <c r="AM215" s="45">
        <v>115.41</v>
      </c>
      <c r="AN215" s="45">
        <v>113.75</v>
      </c>
      <c r="AO215" s="45">
        <v>114.58</v>
      </c>
      <c r="AP215" s="44">
        <v>41.85</v>
      </c>
      <c r="AQ215" s="45">
        <v>40.25</v>
      </c>
      <c r="AR215" s="46">
        <v>41.05</v>
      </c>
      <c r="AS215" s="45">
        <v>42.61</v>
      </c>
      <c r="AT215" s="45">
        <v>41.25</v>
      </c>
      <c r="AU215" s="45">
        <v>41.93</v>
      </c>
      <c r="AV215" s="44">
        <v>21.46</v>
      </c>
      <c r="AW215" s="45">
        <v>20.86</v>
      </c>
      <c r="AX215" s="46">
        <v>21.16</v>
      </c>
      <c r="AY215" s="44">
        <v>4.3499999999999996</v>
      </c>
      <c r="AZ215" s="45">
        <v>4.1899999999999995</v>
      </c>
      <c r="BA215" s="46">
        <v>4.2699999999999996</v>
      </c>
      <c r="BB215" s="44">
        <v>2</v>
      </c>
      <c r="BC215" s="50">
        <v>1.7</v>
      </c>
      <c r="BD215" s="51">
        <v>1.85</v>
      </c>
      <c r="BE215" s="45">
        <v>0.7</v>
      </c>
      <c r="BF215" s="50">
        <v>0.39999999999999997</v>
      </c>
      <c r="BG215" s="50">
        <v>0.54999999999999993</v>
      </c>
      <c r="BH215" s="44">
        <v>511.8</v>
      </c>
      <c r="BI215" s="45">
        <v>495.8</v>
      </c>
      <c r="BJ215" s="46">
        <v>503.8</v>
      </c>
      <c r="BK215" s="45">
        <v>42.92</v>
      </c>
      <c r="BL215" s="45">
        <v>41.56</v>
      </c>
      <c r="BM215" s="45">
        <v>42.24</v>
      </c>
      <c r="BN215" s="52">
        <v>1.07</v>
      </c>
      <c r="BO215" s="50">
        <v>0.83000000000000007</v>
      </c>
      <c r="BP215" s="51">
        <v>0.95000000000000007</v>
      </c>
      <c r="BQ215" s="45">
        <v>9.34</v>
      </c>
      <c r="BR215" s="45">
        <v>7.34</v>
      </c>
      <c r="BS215" s="45">
        <v>8.34</v>
      </c>
      <c r="BT215" s="44">
        <v>11.33</v>
      </c>
      <c r="BU215" s="45">
        <v>10.93</v>
      </c>
      <c r="BV215" s="46">
        <v>11.129999999999999</v>
      </c>
      <c r="BW215" s="44">
        <v>2.79</v>
      </c>
      <c r="BX215" s="50">
        <v>2.5099999999999998</v>
      </c>
      <c r="BY215" s="51">
        <v>2.65</v>
      </c>
      <c r="BZ215" s="44">
        <v>9.91</v>
      </c>
      <c r="CA215" s="45">
        <v>6.91</v>
      </c>
      <c r="CB215" s="46">
        <v>8.41</v>
      </c>
      <c r="CC215" s="44">
        <v>6.72</v>
      </c>
      <c r="CD215" s="45">
        <v>6.4799999999999995</v>
      </c>
      <c r="CE215" s="46">
        <v>6.6</v>
      </c>
      <c r="CF215" s="44">
        <v>2.04</v>
      </c>
      <c r="CG215" s="45">
        <v>1.54</v>
      </c>
      <c r="CH215" s="46">
        <v>1.79</v>
      </c>
      <c r="CI215" s="44">
        <v>0.45</v>
      </c>
      <c r="CJ215" s="45">
        <v>0.41000000000000003</v>
      </c>
      <c r="CK215" s="46">
        <v>0.43000000000000005</v>
      </c>
      <c r="CL215" s="44">
        <v>40.32</v>
      </c>
      <c r="CM215">
        <v>37.92</v>
      </c>
      <c r="CN215">
        <v>39.120000000000005</v>
      </c>
      <c r="CO215">
        <v>7.15</v>
      </c>
      <c r="CP215">
        <v>2.1500000000000004</v>
      </c>
      <c r="CQ215">
        <v>4.6500000000000004</v>
      </c>
    </row>
    <row r="216" spans="1:95">
      <c r="A216" s="223">
        <v>45503</v>
      </c>
      <c r="B216" s="90" t="s">
        <v>97</v>
      </c>
      <c r="C216" s="44">
        <v>155.08000000000001</v>
      </c>
      <c r="D216" s="45">
        <v>153.08000000000001</v>
      </c>
      <c r="E216" s="46">
        <v>154.08000000000001</v>
      </c>
      <c r="F216" s="44">
        <v>168.14</v>
      </c>
      <c r="G216" s="45">
        <v>165.14</v>
      </c>
      <c r="H216" s="46">
        <v>166.64</v>
      </c>
      <c r="I216" s="44">
        <v>112.83</v>
      </c>
      <c r="J216" s="45">
        <v>109.63</v>
      </c>
      <c r="K216" s="46">
        <v>111.22999999999999</v>
      </c>
      <c r="L216" s="45">
        <v>202.05</v>
      </c>
      <c r="M216" s="45">
        <v>194.05</v>
      </c>
      <c r="N216" s="45">
        <v>198.05</v>
      </c>
      <c r="O216" s="44">
        <v>174.69</v>
      </c>
      <c r="P216" s="45">
        <v>172.89</v>
      </c>
      <c r="Q216" s="46">
        <v>173.79</v>
      </c>
      <c r="R216" s="45">
        <v>22.63</v>
      </c>
      <c r="S216" s="45">
        <v>22.029999999999998</v>
      </c>
      <c r="T216" s="45">
        <v>22.33</v>
      </c>
      <c r="U216" s="44">
        <v>14.31</v>
      </c>
      <c r="V216" s="45">
        <v>13.71</v>
      </c>
      <c r="W216" s="46">
        <v>14.010000000000002</v>
      </c>
      <c r="X216" s="44">
        <v>14.62</v>
      </c>
      <c r="Y216" s="45">
        <v>13.819999999999999</v>
      </c>
      <c r="Z216" s="46">
        <v>14.219999999999999</v>
      </c>
      <c r="AA216" s="44">
        <v>102.88</v>
      </c>
      <c r="AB216" s="45">
        <v>98.88</v>
      </c>
      <c r="AC216" s="46">
        <v>100.88</v>
      </c>
      <c r="AD216" s="44">
        <v>92.55</v>
      </c>
      <c r="AE216" s="45">
        <v>88.55</v>
      </c>
      <c r="AF216" s="46">
        <v>90.55</v>
      </c>
      <c r="AG216" s="45">
        <v>20.149999999999999</v>
      </c>
      <c r="AH216" s="45">
        <v>19.29</v>
      </c>
      <c r="AI216" s="45">
        <v>19.72</v>
      </c>
      <c r="AJ216" s="47"/>
      <c r="AK216" s="48"/>
      <c r="AL216" s="49"/>
      <c r="AM216" s="45">
        <v>115.54</v>
      </c>
      <c r="AN216" s="45">
        <v>113.88000000000001</v>
      </c>
      <c r="AO216" s="45">
        <v>114.71000000000001</v>
      </c>
      <c r="AP216" s="44">
        <v>41.93</v>
      </c>
      <c r="AQ216" s="45">
        <v>40.33</v>
      </c>
      <c r="AR216" s="46">
        <v>41.129999999999995</v>
      </c>
      <c r="AS216" s="45">
        <v>42.7</v>
      </c>
      <c r="AT216" s="45">
        <v>41.34</v>
      </c>
      <c r="AU216" s="45">
        <v>42.02</v>
      </c>
      <c r="AV216" s="44">
        <v>21.49</v>
      </c>
      <c r="AW216" s="45">
        <v>20.889999999999997</v>
      </c>
      <c r="AX216" s="46">
        <v>21.189999999999998</v>
      </c>
      <c r="AY216" s="44">
        <v>4.3600000000000003</v>
      </c>
      <c r="AZ216" s="45">
        <v>4.2</v>
      </c>
      <c r="BA216" s="46">
        <v>4.28</v>
      </c>
      <c r="BB216" s="44">
        <v>2</v>
      </c>
      <c r="BC216" s="50">
        <v>1.7</v>
      </c>
      <c r="BD216" s="51">
        <v>1.85</v>
      </c>
      <c r="BE216" s="45">
        <v>0.71</v>
      </c>
      <c r="BF216" s="50">
        <v>0.41</v>
      </c>
      <c r="BG216" s="50">
        <v>0.55999999999999994</v>
      </c>
      <c r="BH216" s="44">
        <v>512.67999999999995</v>
      </c>
      <c r="BI216" s="45">
        <v>496.67999999999995</v>
      </c>
      <c r="BJ216" s="46">
        <v>504.67999999999995</v>
      </c>
      <c r="BK216" s="45">
        <v>43.01</v>
      </c>
      <c r="BL216" s="45">
        <v>41.65</v>
      </c>
      <c r="BM216" s="45">
        <v>42.33</v>
      </c>
      <c r="BN216" s="52">
        <v>1.07</v>
      </c>
      <c r="BO216" s="50">
        <v>0.83000000000000007</v>
      </c>
      <c r="BP216" s="51">
        <v>0.95000000000000007</v>
      </c>
      <c r="BQ216" s="45">
        <v>9.26</v>
      </c>
      <c r="BR216" s="45">
        <v>7.26</v>
      </c>
      <c r="BS216" s="45">
        <v>8.26</v>
      </c>
      <c r="BT216" s="44">
        <v>11.34</v>
      </c>
      <c r="BU216" s="45">
        <v>10.94</v>
      </c>
      <c r="BV216" s="46">
        <v>11.14</v>
      </c>
      <c r="BW216" s="44">
        <v>2.79</v>
      </c>
      <c r="BX216" s="50">
        <v>2.5099999999999998</v>
      </c>
      <c r="BY216" s="51">
        <v>2.65</v>
      </c>
      <c r="BZ216" s="44">
        <v>9.85</v>
      </c>
      <c r="CA216" s="45">
        <v>6.85</v>
      </c>
      <c r="CB216" s="46">
        <v>8.35</v>
      </c>
      <c r="CC216" s="44">
        <v>6.69</v>
      </c>
      <c r="CD216" s="45">
        <v>6.45</v>
      </c>
      <c r="CE216" s="46">
        <v>6.57</v>
      </c>
      <c r="CF216" s="44">
        <v>2.0299999999999998</v>
      </c>
      <c r="CG216" s="45">
        <v>1.5299999999999998</v>
      </c>
      <c r="CH216" s="46">
        <v>1.7799999999999998</v>
      </c>
      <c r="CI216" s="44">
        <v>0.44</v>
      </c>
      <c r="CJ216" s="45">
        <v>0.4</v>
      </c>
      <c r="CK216" s="46">
        <v>0.42000000000000004</v>
      </c>
      <c r="CL216" s="44">
        <v>40.04</v>
      </c>
      <c r="CM216">
        <v>37.64</v>
      </c>
      <c r="CN216">
        <v>38.840000000000003</v>
      </c>
      <c r="CO216">
        <v>7.17</v>
      </c>
      <c r="CP216">
        <v>2.17</v>
      </c>
      <c r="CQ216">
        <v>4.67</v>
      </c>
    </row>
    <row r="217" spans="1:95">
      <c r="A217" s="223">
        <v>45504</v>
      </c>
      <c r="B217" s="90" t="s">
        <v>98</v>
      </c>
      <c r="C217" s="44">
        <v>153.44</v>
      </c>
      <c r="D217" s="45">
        <v>151.44</v>
      </c>
      <c r="E217" s="46">
        <v>152.44</v>
      </c>
      <c r="F217" s="44">
        <v>166.39</v>
      </c>
      <c r="G217" s="45">
        <v>163.38999999999999</v>
      </c>
      <c r="H217" s="46">
        <v>164.89</v>
      </c>
      <c r="I217" s="44">
        <v>111.63</v>
      </c>
      <c r="J217" s="45">
        <v>108.42999999999999</v>
      </c>
      <c r="K217" s="46">
        <v>110.03</v>
      </c>
      <c r="L217" s="45">
        <v>199.76</v>
      </c>
      <c r="M217" s="45">
        <v>191.76</v>
      </c>
      <c r="N217" s="45">
        <v>195.76</v>
      </c>
      <c r="O217" s="44">
        <v>173.75</v>
      </c>
      <c r="P217" s="45">
        <v>171.95</v>
      </c>
      <c r="Q217" s="46">
        <v>172.85</v>
      </c>
      <c r="R217" s="45">
        <v>22.4</v>
      </c>
      <c r="S217" s="45">
        <v>21.799999999999997</v>
      </c>
      <c r="T217" s="45">
        <v>22.099999999999998</v>
      </c>
      <c r="U217" s="44">
        <v>14.23</v>
      </c>
      <c r="V217" s="45">
        <v>13.63</v>
      </c>
      <c r="W217" s="46">
        <v>13.93</v>
      </c>
      <c r="X217" s="44">
        <v>14.56</v>
      </c>
      <c r="Y217" s="45">
        <v>13.76</v>
      </c>
      <c r="Z217" s="46">
        <v>14.16</v>
      </c>
      <c r="AA217" s="44">
        <v>101.65</v>
      </c>
      <c r="AB217" s="45">
        <v>97.65</v>
      </c>
      <c r="AC217" s="46">
        <v>99.65</v>
      </c>
      <c r="AD217" s="44">
        <v>92</v>
      </c>
      <c r="AE217" s="45">
        <v>88</v>
      </c>
      <c r="AF217" s="46">
        <v>90</v>
      </c>
      <c r="AG217" s="45">
        <v>19.940000000000001</v>
      </c>
      <c r="AH217" s="45">
        <v>19.080000000000002</v>
      </c>
      <c r="AI217" s="45">
        <v>19.510000000000002</v>
      </c>
      <c r="AJ217" s="47"/>
      <c r="AK217" s="48"/>
      <c r="AL217" s="49"/>
      <c r="AM217" s="45">
        <v>114.49</v>
      </c>
      <c r="AN217" s="45">
        <v>112.83</v>
      </c>
      <c r="AO217" s="45">
        <v>113.66</v>
      </c>
      <c r="AP217" s="44">
        <v>41.5</v>
      </c>
      <c r="AQ217" s="45">
        <v>39.9</v>
      </c>
      <c r="AR217" s="46">
        <v>40.700000000000003</v>
      </c>
      <c r="AS217" s="45">
        <v>42.25</v>
      </c>
      <c r="AT217" s="45">
        <v>40.89</v>
      </c>
      <c r="AU217" s="45">
        <v>41.57</v>
      </c>
      <c r="AV217" s="44">
        <v>21.37</v>
      </c>
      <c r="AW217" s="45">
        <v>20.77</v>
      </c>
      <c r="AX217" s="46">
        <v>21.07</v>
      </c>
      <c r="AY217" s="44">
        <v>4.33</v>
      </c>
      <c r="AZ217" s="45">
        <v>4.17</v>
      </c>
      <c r="BA217" s="46">
        <v>4.25</v>
      </c>
      <c r="BB217" s="44">
        <v>1.98</v>
      </c>
      <c r="BC217" s="50">
        <v>1.68</v>
      </c>
      <c r="BD217" s="51">
        <v>1.83</v>
      </c>
      <c r="BE217" s="45">
        <v>0.7</v>
      </c>
      <c r="BF217" s="50">
        <v>0.39999999999999997</v>
      </c>
      <c r="BG217" s="50">
        <v>0.54999999999999993</v>
      </c>
      <c r="BH217" s="44">
        <v>508.13</v>
      </c>
      <c r="BI217" s="45">
        <v>492.13</v>
      </c>
      <c r="BJ217" s="46">
        <v>500.13</v>
      </c>
      <c r="BK217" s="45">
        <v>42.56</v>
      </c>
      <c r="BL217" s="45">
        <v>41.2</v>
      </c>
      <c r="BM217" s="45">
        <v>41.88</v>
      </c>
      <c r="BN217" s="52">
        <v>1.06</v>
      </c>
      <c r="BO217" s="50">
        <v>0.82000000000000006</v>
      </c>
      <c r="BP217" s="51">
        <v>0.94000000000000006</v>
      </c>
      <c r="BQ217" s="45">
        <v>9.11</v>
      </c>
      <c r="BR217" s="45">
        <v>7.1099999999999994</v>
      </c>
      <c r="BS217" s="45">
        <v>8.11</v>
      </c>
      <c r="BT217" s="44">
        <v>11.25</v>
      </c>
      <c r="BU217" s="45">
        <v>10.85</v>
      </c>
      <c r="BV217" s="46">
        <v>11.05</v>
      </c>
      <c r="BW217" s="44">
        <v>2.76</v>
      </c>
      <c r="BX217" s="50">
        <v>2.4799999999999995</v>
      </c>
      <c r="BY217" s="51">
        <v>2.6199999999999997</v>
      </c>
      <c r="BZ217" s="44">
        <v>9.82</v>
      </c>
      <c r="CA217" s="45">
        <v>6.82</v>
      </c>
      <c r="CB217" s="46">
        <v>8.32</v>
      </c>
      <c r="CC217" s="44">
        <v>6.62</v>
      </c>
      <c r="CD217" s="45">
        <v>6.38</v>
      </c>
      <c r="CE217" s="46">
        <v>6.5</v>
      </c>
      <c r="CF217" s="44">
        <v>2.0299999999999998</v>
      </c>
      <c r="CG217" s="45">
        <v>1.5299999999999998</v>
      </c>
      <c r="CH217" s="46">
        <v>1.7799999999999998</v>
      </c>
      <c r="CI217" s="44">
        <v>0.44</v>
      </c>
      <c r="CJ217" s="45">
        <v>0.4</v>
      </c>
      <c r="CK217" s="46">
        <v>0.42000000000000004</v>
      </c>
      <c r="CL217" s="44">
        <v>39.619999999999997</v>
      </c>
      <c r="CM217">
        <v>37.22</v>
      </c>
      <c r="CN217">
        <v>38.42</v>
      </c>
      <c r="CO217">
        <v>7.11</v>
      </c>
      <c r="CP217">
        <v>2.1100000000000003</v>
      </c>
      <c r="CQ217">
        <v>4.6100000000000003</v>
      </c>
    </row>
    <row r="218" spans="1:95">
      <c r="A218" s="223">
        <v>45505</v>
      </c>
      <c r="B218" s="90" t="s">
        <v>99</v>
      </c>
      <c r="C218" s="44">
        <v>150.62</v>
      </c>
      <c r="D218" s="45">
        <v>148.62</v>
      </c>
      <c r="E218" s="46">
        <v>149.62</v>
      </c>
      <c r="F218" s="44">
        <v>163.46</v>
      </c>
      <c r="G218" s="45">
        <v>160.46</v>
      </c>
      <c r="H218" s="46">
        <v>161.96</v>
      </c>
      <c r="I218" s="44">
        <v>109.93</v>
      </c>
      <c r="J218" s="45">
        <v>106.73</v>
      </c>
      <c r="K218" s="46">
        <v>108.33000000000001</v>
      </c>
      <c r="L218" s="45">
        <v>196.34</v>
      </c>
      <c r="M218" s="45">
        <v>188.34</v>
      </c>
      <c r="N218" s="45">
        <v>192.34</v>
      </c>
      <c r="O218" s="44">
        <v>171.33</v>
      </c>
      <c r="P218" s="45">
        <v>169.53</v>
      </c>
      <c r="Q218" s="46">
        <v>170.43</v>
      </c>
      <c r="R218" s="45">
        <v>22</v>
      </c>
      <c r="S218" s="45">
        <v>21.4</v>
      </c>
      <c r="T218" s="45">
        <v>21.7</v>
      </c>
      <c r="U218" s="44">
        <v>14.03</v>
      </c>
      <c r="V218" s="45">
        <v>13.43</v>
      </c>
      <c r="W218" s="46">
        <v>13.73</v>
      </c>
      <c r="X218" s="44">
        <v>14.39</v>
      </c>
      <c r="Y218" s="45">
        <v>13.59</v>
      </c>
      <c r="Z218" s="46">
        <v>13.99</v>
      </c>
      <c r="AA218" s="44">
        <v>99.81</v>
      </c>
      <c r="AB218" s="45">
        <v>95.81</v>
      </c>
      <c r="AC218" s="46">
        <v>97.81</v>
      </c>
      <c r="AD218" s="44">
        <v>91.16</v>
      </c>
      <c r="AE218" s="45">
        <v>87.16</v>
      </c>
      <c r="AF218" s="46">
        <v>89.16</v>
      </c>
      <c r="AG218" s="45">
        <v>19.579999999999998</v>
      </c>
      <c r="AH218" s="45">
        <v>18.72</v>
      </c>
      <c r="AI218" s="45">
        <v>19.149999999999999</v>
      </c>
      <c r="AJ218" s="47"/>
      <c r="AK218" s="48"/>
      <c r="AL218" s="49"/>
      <c r="AM218" s="45">
        <v>112.78</v>
      </c>
      <c r="AN218" s="45">
        <v>111.12</v>
      </c>
      <c r="AO218" s="45">
        <v>111.95</v>
      </c>
      <c r="AP218" s="44">
        <v>40.74</v>
      </c>
      <c r="AQ218" s="45">
        <v>39.14</v>
      </c>
      <c r="AR218" s="46">
        <v>39.94</v>
      </c>
      <c r="AS218" s="45">
        <v>41.48</v>
      </c>
      <c r="AT218" s="45">
        <v>40.119999999999997</v>
      </c>
      <c r="AU218" s="45">
        <v>40.799999999999997</v>
      </c>
      <c r="AV218" s="44">
        <v>21.03</v>
      </c>
      <c r="AW218" s="45">
        <v>20.43</v>
      </c>
      <c r="AX218" s="46">
        <v>20.73</v>
      </c>
      <c r="AY218" s="44">
        <v>4.3</v>
      </c>
      <c r="AZ218" s="45">
        <v>4.1399999999999997</v>
      </c>
      <c r="BA218" s="46">
        <v>4.22</v>
      </c>
      <c r="BB218" s="44">
        <v>1.95</v>
      </c>
      <c r="BC218" s="50">
        <v>1.65</v>
      </c>
      <c r="BD218" s="51">
        <v>1.7999999999999998</v>
      </c>
      <c r="BE218" s="45">
        <v>0.69</v>
      </c>
      <c r="BF218" s="50">
        <v>0.38999999999999996</v>
      </c>
      <c r="BG218" s="50">
        <v>0.53999999999999992</v>
      </c>
      <c r="BH218" s="44">
        <v>498.88</v>
      </c>
      <c r="BI218" s="45">
        <v>482.88</v>
      </c>
      <c r="BJ218" s="46">
        <v>490.88</v>
      </c>
      <c r="BK218" s="45">
        <v>41.78</v>
      </c>
      <c r="BL218" s="45">
        <v>40.42</v>
      </c>
      <c r="BM218" s="45">
        <v>41.1</v>
      </c>
      <c r="BN218" s="52">
        <v>1.04</v>
      </c>
      <c r="BO218" s="50">
        <v>0.8</v>
      </c>
      <c r="BP218" s="51">
        <v>0.92</v>
      </c>
      <c r="BQ218" s="45">
        <v>9.0299999999999994</v>
      </c>
      <c r="BR218" s="45">
        <v>7.0299999999999994</v>
      </c>
      <c r="BS218" s="45">
        <v>8.0299999999999994</v>
      </c>
      <c r="BT218" s="44">
        <v>11.15</v>
      </c>
      <c r="BU218" s="45">
        <v>10.75</v>
      </c>
      <c r="BV218" s="46">
        <v>10.95</v>
      </c>
      <c r="BW218" s="44">
        <v>2.72</v>
      </c>
      <c r="BX218" s="50">
        <v>2.4400000000000004</v>
      </c>
      <c r="BY218" s="51">
        <v>2.58</v>
      </c>
      <c r="BZ218" s="44">
        <v>9.7200000000000006</v>
      </c>
      <c r="CA218" s="45">
        <v>6.7200000000000006</v>
      </c>
      <c r="CB218" s="46">
        <v>8.2200000000000006</v>
      </c>
      <c r="CC218" s="44">
        <v>6.5</v>
      </c>
      <c r="CD218" s="45">
        <v>6.26</v>
      </c>
      <c r="CE218" s="46">
        <v>6.38</v>
      </c>
      <c r="CF218" s="44">
        <v>1.99</v>
      </c>
      <c r="CG218" s="45">
        <v>1.49</v>
      </c>
      <c r="CH218" s="46">
        <v>1.74</v>
      </c>
      <c r="CI218" s="44">
        <v>0.43</v>
      </c>
      <c r="CJ218" s="45">
        <v>0.39</v>
      </c>
      <c r="CK218" s="46">
        <v>0.41000000000000003</v>
      </c>
      <c r="CL218" s="44">
        <v>38.93</v>
      </c>
      <c r="CM218">
        <v>36.53</v>
      </c>
      <c r="CN218">
        <v>37.730000000000004</v>
      </c>
      <c r="CO218">
        <v>7.02</v>
      </c>
      <c r="CP218">
        <v>2.0199999999999996</v>
      </c>
      <c r="CQ218">
        <v>4.5199999999999996</v>
      </c>
    </row>
    <row r="219" spans="1:95">
      <c r="A219" s="223">
        <v>45506</v>
      </c>
      <c r="B219" s="90" t="s">
        <v>100</v>
      </c>
      <c r="C219" s="44">
        <v>150.52000000000001</v>
      </c>
      <c r="D219" s="45">
        <v>148.52000000000001</v>
      </c>
      <c r="E219" s="46">
        <v>149.52000000000001</v>
      </c>
      <c r="F219" s="44">
        <v>162.85</v>
      </c>
      <c r="G219" s="45">
        <v>159.85</v>
      </c>
      <c r="H219" s="46">
        <v>161.35</v>
      </c>
      <c r="I219" s="44">
        <v>109.3</v>
      </c>
      <c r="J219" s="45">
        <v>106.1</v>
      </c>
      <c r="K219" s="46">
        <v>107.69999999999999</v>
      </c>
      <c r="L219" s="45">
        <v>194.28</v>
      </c>
      <c r="M219" s="45">
        <v>186.28</v>
      </c>
      <c r="N219" s="45">
        <v>190.28</v>
      </c>
      <c r="O219" s="44">
        <v>172.25</v>
      </c>
      <c r="P219" s="45">
        <v>170.45</v>
      </c>
      <c r="Q219" s="46">
        <v>171.35</v>
      </c>
      <c r="R219" s="45">
        <v>21.92</v>
      </c>
      <c r="S219" s="45">
        <v>21.32</v>
      </c>
      <c r="T219" s="45">
        <v>21.62</v>
      </c>
      <c r="U219" s="44">
        <v>13.94</v>
      </c>
      <c r="V219" s="45">
        <v>13.34</v>
      </c>
      <c r="W219" s="46">
        <v>13.64</v>
      </c>
      <c r="X219" s="44">
        <v>14.33</v>
      </c>
      <c r="Y219" s="45">
        <v>13.53</v>
      </c>
      <c r="Z219" s="46">
        <v>13.93</v>
      </c>
      <c r="AA219" s="44">
        <v>99.02</v>
      </c>
      <c r="AB219" s="45">
        <v>95.02</v>
      </c>
      <c r="AC219" s="46">
        <v>97.02</v>
      </c>
      <c r="AD219" s="44">
        <v>90.78</v>
      </c>
      <c r="AE219" s="45">
        <v>86.78</v>
      </c>
      <c r="AF219" s="46">
        <v>88.78</v>
      </c>
      <c r="AG219" s="45">
        <v>19.559999999999999</v>
      </c>
      <c r="AH219" s="45">
        <v>18.7</v>
      </c>
      <c r="AI219" s="45">
        <v>19.13</v>
      </c>
      <c r="AJ219" s="47"/>
      <c r="AK219" s="48"/>
      <c r="AL219" s="49"/>
      <c r="AM219" s="45">
        <v>112.7</v>
      </c>
      <c r="AN219" s="45">
        <v>111.04</v>
      </c>
      <c r="AO219" s="45">
        <v>111.87</v>
      </c>
      <c r="AP219" s="44">
        <v>40.71</v>
      </c>
      <c r="AQ219" s="45">
        <v>39.11</v>
      </c>
      <c r="AR219" s="46">
        <v>39.909999999999997</v>
      </c>
      <c r="AS219" s="45">
        <v>41.45</v>
      </c>
      <c r="AT219" s="45">
        <v>40.090000000000003</v>
      </c>
      <c r="AU219" s="45">
        <v>40.770000000000003</v>
      </c>
      <c r="AV219" s="44">
        <v>20.93</v>
      </c>
      <c r="AW219" s="45">
        <v>20.329999999999998</v>
      </c>
      <c r="AX219" s="46">
        <v>20.63</v>
      </c>
      <c r="AY219" s="44">
        <v>4.29</v>
      </c>
      <c r="AZ219" s="45">
        <v>4.13</v>
      </c>
      <c r="BA219" s="46">
        <v>4.21</v>
      </c>
      <c r="BB219" s="44">
        <v>1.95</v>
      </c>
      <c r="BC219" s="50">
        <v>1.65</v>
      </c>
      <c r="BD219" s="51">
        <v>1.7999999999999998</v>
      </c>
      <c r="BE219" s="45">
        <v>0.69</v>
      </c>
      <c r="BF219" s="50">
        <v>0.38999999999999996</v>
      </c>
      <c r="BG219" s="50">
        <v>0.53999999999999992</v>
      </c>
      <c r="BH219" s="44">
        <v>498.23</v>
      </c>
      <c r="BI219" s="45">
        <v>482.23</v>
      </c>
      <c r="BJ219" s="46">
        <v>490.23</v>
      </c>
      <c r="BK219" s="45">
        <v>41.76</v>
      </c>
      <c r="BL219" s="45">
        <v>40.4</v>
      </c>
      <c r="BM219" s="45">
        <v>41.08</v>
      </c>
      <c r="BN219" s="52">
        <v>1.04</v>
      </c>
      <c r="BO219" s="50">
        <v>0.8</v>
      </c>
      <c r="BP219" s="51">
        <v>0.92</v>
      </c>
      <c r="BQ219" s="45">
        <v>8.89</v>
      </c>
      <c r="BR219" s="45">
        <v>6.8900000000000006</v>
      </c>
      <c r="BS219" s="45">
        <v>7.8900000000000006</v>
      </c>
      <c r="BT219" s="44">
        <v>11.09</v>
      </c>
      <c r="BU219" s="45">
        <v>10.69</v>
      </c>
      <c r="BV219" s="46">
        <v>10.89</v>
      </c>
      <c r="BW219" s="44">
        <v>2.72</v>
      </c>
      <c r="BX219" s="50">
        <v>2.4400000000000004</v>
      </c>
      <c r="BY219" s="51">
        <v>2.58</v>
      </c>
      <c r="BZ219" s="44">
        <v>9.68</v>
      </c>
      <c r="CA219" s="45">
        <v>6.68</v>
      </c>
      <c r="CB219" s="46">
        <v>8.18</v>
      </c>
      <c r="CC219" s="44">
        <v>6.5</v>
      </c>
      <c r="CD219" s="45">
        <v>6.26</v>
      </c>
      <c r="CE219" s="46">
        <v>6.38</v>
      </c>
      <c r="CF219" s="44">
        <v>2</v>
      </c>
      <c r="CG219" s="45">
        <v>1.5</v>
      </c>
      <c r="CH219" s="46">
        <v>1.75</v>
      </c>
      <c r="CI219" s="44">
        <v>0.43</v>
      </c>
      <c r="CJ219" s="45">
        <v>0.39</v>
      </c>
      <c r="CK219" s="46">
        <v>0.41000000000000003</v>
      </c>
      <c r="CL219" s="44">
        <v>38.68</v>
      </c>
      <c r="CM219">
        <v>36.28</v>
      </c>
      <c r="CN219">
        <v>37.480000000000004</v>
      </c>
      <c r="CO219">
        <v>7.02</v>
      </c>
      <c r="CP219">
        <v>2.0199999999999996</v>
      </c>
      <c r="CQ219">
        <v>4.5199999999999996</v>
      </c>
    </row>
    <row r="220" spans="1:95">
      <c r="A220" s="223">
        <v>45507</v>
      </c>
      <c r="B220" s="90" t="s">
        <v>307</v>
      </c>
      <c r="C220" s="44"/>
      <c r="D220" s="45"/>
      <c r="E220" s="46"/>
      <c r="F220" s="44"/>
      <c r="G220" s="45"/>
      <c r="H220" s="46"/>
      <c r="I220" s="44"/>
      <c r="J220" s="45"/>
      <c r="K220" s="46"/>
      <c r="L220" s="45"/>
      <c r="M220" s="45"/>
      <c r="N220" s="45"/>
      <c r="O220" s="44"/>
      <c r="P220" s="45"/>
      <c r="Q220" s="46"/>
      <c r="R220" s="45"/>
      <c r="S220" s="45"/>
      <c r="T220" s="45"/>
      <c r="U220" s="44"/>
      <c r="V220" s="45"/>
      <c r="W220" s="46"/>
      <c r="X220" s="44"/>
      <c r="Y220" s="45"/>
      <c r="Z220" s="46"/>
      <c r="AA220" s="44"/>
      <c r="AB220" s="45"/>
      <c r="AC220" s="46"/>
      <c r="AD220" s="44"/>
      <c r="AE220" s="45"/>
      <c r="AF220" s="46"/>
      <c r="AG220" s="45"/>
      <c r="AH220" s="45"/>
      <c r="AI220" s="45"/>
      <c r="AJ220" s="47"/>
      <c r="AK220" s="48"/>
      <c r="AL220" s="49"/>
      <c r="AM220" s="45"/>
      <c r="AN220" s="45"/>
      <c r="AO220" s="45"/>
      <c r="AP220" s="44"/>
      <c r="AQ220" s="45"/>
      <c r="AR220" s="46"/>
      <c r="AS220" s="45"/>
      <c r="AT220" s="45"/>
      <c r="AU220" s="45"/>
      <c r="AV220" s="44"/>
      <c r="AW220" s="45"/>
      <c r="AX220" s="46"/>
      <c r="AY220" s="44"/>
      <c r="AZ220" s="45"/>
      <c r="BA220" s="46"/>
      <c r="BB220" s="44"/>
      <c r="BC220" s="50"/>
      <c r="BD220" s="51"/>
      <c r="BE220" s="45"/>
      <c r="BF220" s="50"/>
      <c r="BG220" s="50"/>
      <c r="BH220" s="44"/>
      <c r="BI220" s="45"/>
      <c r="BJ220" s="46"/>
      <c r="BK220" s="45"/>
      <c r="BL220" s="45"/>
      <c r="BM220" s="45"/>
      <c r="BN220" s="52"/>
      <c r="BO220" s="50"/>
      <c r="BP220" s="51"/>
      <c r="BQ220" s="45"/>
      <c r="BR220" s="45"/>
      <c r="BS220" s="45"/>
      <c r="BT220" s="44"/>
      <c r="BU220" s="45"/>
      <c r="BV220" s="46"/>
      <c r="BW220" s="44"/>
      <c r="BX220" s="50"/>
      <c r="BY220" s="51"/>
      <c r="BZ220" s="44"/>
      <c r="CA220" s="45"/>
      <c r="CB220" s="46"/>
      <c r="CC220" s="44"/>
      <c r="CD220" s="45"/>
      <c r="CE220" s="46"/>
      <c r="CF220" s="44"/>
      <c r="CG220" s="45"/>
      <c r="CH220" s="46"/>
      <c r="CI220" s="44"/>
      <c r="CJ220" s="45"/>
      <c r="CK220" s="46"/>
      <c r="CL220" s="44"/>
    </row>
    <row r="221" spans="1:95">
      <c r="A221" s="223">
        <v>45508</v>
      </c>
      <c r="B221" s="90" t="s">
        <v>308</v>
      </c>
      <c r="C221" s="44"/>
      <c r="D221" s="45"/>
      <c r="E221" s="46"/>
      <c r="F221" s="44"/>
      <c r="G221" s="45"/>
      <c r="H221" s="46"/>
      <c r="I221" s="44"/>
      <c r="J221" s="45"/>
      <c r="K221" s="46"/>
      <c r="L221" s="45"/>
      <c r="M221" s="45"/>
      <c r="N221" s="45"/>
      <c r="O221" s="44"/>
      <c r="P221" s="45"/>
      <c r="Q221" s="46"/>
      <c r="R221" s="45"/>
      <c r="S221" s="45"/>
      <c r="T221" s="45"/>
      <c r="U221" s="44"/>
      <c r="V221" s="45"/>
      <c r="W221" s="46"/>
      <c r="X221" s="44"/>
      <c r="Y221" s="45"/>
      <c r="Z221" s="46"/>
      <c r="AA221" s="44"/>
      <c r="AB221" s="45"/>
      <c r="AC221" s="46"/>
      <c r="AD221" s="44"/>
      <c r="AE221" s="45"/>
      <c r="AF221" s="46"/>
      <c r="AG221" s="45"/>
      <c r="AH221" s="45"/>
      <c r="AI221" s="45"/>
      <c r="AJ221" s="47"/>
      <c r="AK221" s="48"/>
      <c r="AL221" s="49"/>
      <c r="AM221" s="45"/>
      <c r="AN221" s="45"/>
      <c r="AO221" s="45"/>
      <c r="AP221" s="44"/>
      <c r="AQ221" s="45"/>
      <c r="AR221" s="46"/>
      <c r="AS221" s="45"/>
      <c r="AT221" s="45"/>
      <c r="AU221" s="45"/>
      <c r="AV221" s="44"/>
      <c r="AW221" s="45"/>
      <c r="AX221" s="46"/>
      <c r="AY221" s="44"/>
      <c r="AZ221" s="45"/>
      <c r="BA221" s="46"/>
      <c r="BB221" s="44"/>
      <c r="BC221" s="50"/>
      <c r="BD221" s="51"/>
      <c r="BE221" s="45"/>
      <c r="BF221" s="50"/>
      <c r="BG221" s="50"/>
      <c r="BH221" s="44"/>
      <c r="BI221" s="45"/>
      <c r="BJ221" s="46"/>
      <c r="BK221" s="45"/>
      <c r="BL221" s="45"/>
      <c r="BM221" s="45"/>
      <c r="BN221" s="52"/>
      <c r="BO221" s="50"/>
      <c r="BP221" s="51"/>
      <c r="BQ221" s="45"/>
      <c r="BR221" s="45"/>
      <c r="BS221" s="45"/>
      <c r="BT221" s="44"/>
      <c r="BU221" s="45"/>
      <c r="BV221" s="46"/>
      <c r="BW221" s="44"/>
      <c r="BX221" s="50"/>
      <c r="BY221" s="51"/>
      <c r="BZ221" s="44"/>
      <c r="CA221" s="45"/>
      <c r="CB221" s="46"/>
      <c r="CC221" s="44"/>
      <c r="CD221" s="45"/>
      <c r="CE221" s="46"/>
      <c r="CF221" s="44"/>
      <c r="CG221" s="45"/>
      <c r="CH221" s="46"/>
      <c r="CI221" s="44"/>
      <c r="CJ221" s="45"/>
      <c r="CK221" s="46"/>
      <c r="CL221" s="44"/>
    </row>
    <row r="222" spans="1:95">
      <c r="A222" s="223">
        <v>45509</v>
      </c>
      <c r="B222" s="90" t="s">
        <v>96</v>
      </c>
      <c r="C222" s="44">
        <v>146.47</v>
      </c>
      <c r="D222" s="45">
        <v>144.47</v>
      </c>
      <c r="E222" s="46">
        <v>145.47</v>
      </c>
      <c r="F222" s="44">
        <v>160.31</v>
      </c>
      <c r="G222" s="45">
        <v>157.31</v>
      </c>
      <c r="H222" s="46">
        <v>158.81</v>
      </c>
      <c r="I222" s="44">
        <v>106.37</v>
      </c>
      <c r="J222" s="45">
        <v>103.17</v>
      </c>
      <c r="K222" s="46">
        <v>104.77000000000001</v>
      </c>
      <c r="L222" s="45">
        <v>190.01</v>
      </c>
      <c r="M222" s="45">
        <v>182.01</v>
      </c>
      <c r="N222" s="45">
        <v>186.01</v>
      </c>
      <c r="O222" s="44">
        <v>171.16</v>
      </c>
      <c r="P222" s="45">
        <v>169.35999999999999</v>
      </c>
      <c r="Q222" s="46">
        <v>170.26</v>
      </c>
      <c r="R222" s="45">
        <v>21.58</v>
      </c>
      <c r="S222" s="45">
        <v>20.979999999999997</v>
      </c>
      <c r="T222" s="45">
        <v>21.279999999999998</v>
      </c>
      <c r="U222" s="44">
        <v>13.55</v>
      </c>
      <c r="V222" s="45">
        <v>12.950000000000001</v>
      </c>
      <c r="W222" s="46">
        <v>13.25</v>
      </c>
      <c r="X222" s="44">
        <v>14.13</v>
      </c>
      <c r="Y222" s="45">
        <v>13.33</v>
      </c>
      <c r="Z222" s="46">
        <v>13.73</v>
      </c>
      <c r="AA222" s="44">
        <v>96.4</v>
      </c>
      <c r="AB222" s="45">
        <v>92.4</v>
      </c>
      <c r="AC222" s="46">
        <v>94.4</v>
      </c>
      <c r="AD222" s="44">
        <v>88.58</v>
      </c>
      <c r="AE222" s="45">
        <v>84.58</v>
      </c>
      <c r="AF222" s="46">
        <v>86.58</v>
      </c>
      <c r="AG222" s="45">
        <v>19.14</v>
      </c>
      <c r="AH222" s="45">
        <v>18.28</v>
      </c>
      <c r="AI222" s="45">
        <v>18.71</v>
      </c>
      <c r="AJ222" s="47"/>
      <c r="AK222" s="48"/>
      <c r="AL222" s="49"/>
      <c r="AM222" s="45">
        <v>110.59</v>
      </c>
      <c r="AN222" s="45">
        <v>108.93</v>
      </c>
      <c r="AO222" s="45">
        <v>109.76</v>
      </c>
      <c r="AP222" s="44">
        <v>39.619999999999997</v>
      </c>
      <c r="AQ222" s="45">
        <v>38.019999999999996</v>
      </c>
      <c r="AR222" s="46">
        <v>38.819999999999993</v>
      </c>
      <c r="AS222" s="45">
        <v>40.22</v>
      </c>
      <c r="AT222" s="45">
        <v>38.86</v>
      </c>
      <c r="AU222" s="45">
        <v>39.54</v>
      </c>
      <c r="AV222" s="44">
        <v>20.71</v>
      </c>
      <c r="AW222" s="45">
        <v>20.11</v>
      </c>
      <c r="AX222" s="46">
        <v>20.41</v>
      </c>
      <c r="AY222" s="44">
        <v>4.2</v>
      </c>
      <c r="AZ222" s="45">
        <v>4.04</v>
      </c>
      <c r="BA222" s="46">
        <v>4.12</v>
      </c>
      <c r="BB222" s="44">
        <v>1.89</v>
      </c>
      <c r="BC222" s="50">
        <v>1.5899999999999999</v>
      </c>
      <c r="BD222" s="51">
        <v>1.7399999999999998</v>
      </c>
      <c r="BE222" s="45">
        <v>0.67</v>
      </c>
      <c r="BF222" s="50">
        <v>0.37000000000000005</v>
      </c>
      <c r="BG222" s="50">
        <v>0.52</v>
      </c>
      <c r="BH222" s="44">
        <v>485.26</v>
      </c>
      <c r="BI222" s="45">
        <v>469.26</v>
      </c>
      <c r="BJ222" s="46">
        <v>477.26</v>
      </c>
      <c r="BK222" s="45">
        <v>40.64</v>
      </c>
      <c r="BL222" s="45">
        <v>39.28</v>
      </c>
      <c r="BM222" s="45">
        <v>39.96</v>
      </c>
      <c r="BN222" s="52">
        <v>1.02</v>
      </c>
      <c r="BO222" s="50">
        <v>0.78</v>
      </c>
      <c r="BP222" s="51">
        <v>0.9</v>
      </c>
      <c r="BQ222" s="45">
        <v>8.48</v>
      </c>
      <c r="BR222" s="45">
        <v>6.48</v>
      </c>
      <c r="BS222" s="45">
        <v>7.48</v>
      </c>
      <c r="BT222" s="44">
        <v>10.88</v>
      </c>
      <c r="BU222" s="45">
        <v>10.48</v>
      </c>
      <c r="BV222" s="46">
        <v>10.68</v>
      </c>
      <c r="BW222" s="44">
        <v>2.66</v>
      </c>
      <c r="BX222" s="50">
        <v>2.38</v>
      </c>
      <c r="BY222" s="51">
        <v>2.52</v>
      </c>
      <c r="BZ222" s="44">
        <v>9.43</v>
      </c>
      <c r="CA222" s="45">
        <v>6.43</v>
      </c>
      <c r="CB222" s="46">
        <v>7.93</v>
      </c>
      <c r="CC222" s="44">
        <v>6.4</v>
      </c>
      <c r="CD222" s="45">
        <v>6.16</v>
      </c>
      <c r="CE222" s="46">
        <v>6.28</v>
      </c>
      <c r="CF222" s="44">
        <v>1.95</v>
      </c>
      <c r="CG222" s="45">
        <v>1.45</v>
      </c>
      <c r="CH222" s="46">
        <v>1.7</v>
      </c>
      <c r="CI222" s="44">
        <v>0.42</v>
      </c>
      <c r="CJ222" s="45">
        <v>0.38</v>
      </c>
      <c r="CK222" s="46">
        <v>0.4</v>
      </c>
      <c r="CL222" s="44">
        <v>38.18</v>
      </c>
      <c r="CM222">
        <v>35.78</v>
      </c>
      <c r="CN222">
        <v>36.980000000000004</v>
      </c>
      <c r="CO222">
        <v>6.88</v>
      </c>
      <c r="CP222">
        <v>1.88</v>
      </c>
      <c r="CQ222">
        <v>4.38</v>
      </c>
    </row>
    <row r="223" spans="1:95">
      <c r="A223" s="223">
        <v>45510</v>
      </c>
      <c r="B223" s="90" t="s">
        <v>97</v>
      </c>
      <c r="C223" s="44">
        <v>145.97999999999999</v>
      </c>
      <c r="D223" s="45">
        <v>143.97999999999999</v>
      </c>
      <c r="E223" s="46">
        <v>144.97999999999999</v>
      </c>
      <c r="F223" s="44">
        <v>160.38</v>
      </c>
      <c r="G223" s="45">
        <v>157.38</v>
      </c>
      <c r="H223" s="46">
        <v>158.88</v>
      </c>
      <c r="I223" s="44">
        <v>106.66</v>
      </c>
      <c r="J223" s="45">
        <v>103.46</v>
      </c>
      <c r="K223" s="46">
        <v>105.06</v>
      </c>
      <c r="L223" s="45">
        <v>189.52</v>
      </c>
      <c r="M223" s="45">
        <v>181.52</v>
      </c>
      <c r="N223" s="45">
        <v>185.52</v>
      </c>
      <c r="O223" s="44">
        <v>170.53</v>
      </c>
      <c r="P223" s="45">
        <v>168.73</v>
      </c>
      <c r="Q223" s="46">
        <v>169.63</v>
      </c>
      <c r="R223" s="45">
        <v>21.59</v>
      </c>
      <c r="S223" s="45">
        <v>20.99</v>
      </c>
      <c r="T223" s="45">
        <v>21.29</v>
      </c>
      <c r="U223" s="44">
        <v>13.49</v>
      </c>
      <c r="V223" s="45">
        <v>12.89</v>
      </c>
      <c r="W223" s="46">
        <v>13.190000000000001</v>
      </c>
      <c r="X223" s="44">
        <v>14.17</v>
      </c>
      <c r="Y223" s="45">
        <v>13.37</v>
      </c>
      <c r="Z223" s="46">
        <v>13.77</v>
      </c>
      <c r="AA223" s="44">
        <v>96.69</v>
      </c>
      <c r="AB223" s="45">
        <v>92.69</v>
      </c>
      <c r="AC223" s="46">
        <v>94.69</v>
      </c>
      <c r="AD223" s="44">
        <v>88.63</v>
      </c>
      <c r="AE223" s="45">
        <v>84.63</v>
      </c>
      <c r="AF223" s="46">
        <v>86.63</v>
      </c>
      <c r="AG223" s="45">
        <v>19.04</v>
      </c>
      <c r="AH223" s="45">
        <v>18.18</v>
      </c>
      <c r="AI223" s="45">
        <v>18.61</v>
      </c>
      <c r="AJ223" s="47"/>
      <c r="AK223" s="48"/>
      <c r="AL223" s="49"/>
      <c r="AM223" s="45">
        <v>110.4</v>
      </c>
      <c r="AN223" s="45">
        <v>108.74000000000001</v>
      </c>
      <c r="AO223" s="45">
        <v>109.57000000000001</v>
      </c>
      <c r="AP223" s="44">
        <v>39.479999999999997</v>
      </c>
      <c r="AQ223" s="45">
        <v>37.879999999999995</v>
      </c>
      <c r="AR223" s="46">
        <v>38.679999999999993</v>
      </c>
      <c r="AS223" s="45">
        <v>40.22</v>
      </c>
      <c r="AT223" s="45">
        <v>38.86</v>
      </c>
      <c r="AU223" s="45">
        <v>39.54</v>
      </c>
      <c r="AV223" s="44">
        <v>20.6</v>
      </c>
      <c r="AW223" s="45">
        <v>20</v>
      </c>
      <c r="AX223" s="46">
        <v>20.3</v>
      </c>
      <c r="AY223" s="44">
        <v>4.16</v>
      </c>
      <c r="AZ223" s="45">
        <v>4</v>
      </c>
      <c r="BA223" s="46">
        <v>4.08</v>
      </c>
      <c r="BB223" s="44">
        <v>1.89</v>
      </c>
      <c r="BC223" s="50">
        <v>1.5899999999999999</v>
      </c>
      <c r="BD223" s="51">
        <v>1.7399999999999998</v>
      </c>
      <c r="BE223" s="45">
        <v>0.67</v>
      </c>
      <c r="BF223" s="50">
        <v>0.37000000000000005</v>
      </c>
      <c r="BG223" s="50">
        <v>0.52</v>
      </c>
      <c r="BH223" s="44">
        <v>481.79</v>
      </c>
      <c r="BI223" s="45">
        <v>465.79</v>
      </c>
      <c r="BJ223" s="46">
        <v>473.79</v>
      </c>
      <c r="BK223" s="45">
        <v>40.51</v>
      </c>
      <c r="BL223" s="45">
        <v>39.15</v>
      </c>
      <c r="BM223" s="45">
        <v>39.83</v>
      </c>
      <c r="BN223" s="52">
        <v>1.01</v>
      </c>
      <c r="BO223" s="50">
        <v>0.77</v>
      </c>
      <c r="BP223" s="51">
        <v>0.89</v>
      </c>
      <c r="BQ223" s="45">
        <v>8.5299999999999994</v>
      </c>
      <c r="BR223" s="45">
        <v>6.5299999999999994</v>
      </c>
      <c r="BS223" s="45">
        <v>7.5299999999999994</v>
      </c>
      <c r="BT223" s="44">
        <v>10.81</v>
      </c>
      <c r="BU223" s="45">
        <v>10.41</v>
      </c>
      <c r="BV223" s="46">
        <v>10.61</v>
      </c>
      <c r="BW223" s="44">
        <v>2.66</v>
      </c>
      <c r="BX223" s="50">
        <v>2.38</v>
      </c>
      <c r="BY223" s="51">
        <v>2.52</v>
      </c>
      <c r="BZ223" s="44">
        <v>9.3699999999999992</v>
      </c>
      <c r="CA223" s="45">
        <v>6.3699999999999992</v>
      </c>
      <c r="CB223" s="46">
        <v>7.8699999999999992</v>
      </c>
      <c r="CC223" s="44">
        <v>6.42</v>
      </c>
      <c r="CD223" s="45">
        <v>6.18</v>
      </c>
      <c r="CE223" s="46">
        <v>6.3</v>
      </c>
      <c r="CF223" s="44">
        <v>1.96</v>
      </c>
      <c r="CG223" s="45">
        <v>1.46</v>
      </c>
      <c r="CH223" s="46">
        <v>1.71</v>
      </c>
      <c r="CI223" s="44">
        <v>0.42</v>
      </c>
      <c r="CJ223" s="45">
        <v>0.38</v>
      </c>
      <c r="CK223" s="46">
        <v>0.4</v>
      </c>
      <c r="CL223" s="44">
        <v>38.119999999999997</v>
      </c>
      <c r="CM223">
        <v>35.72</v>
      </c>
      <c r="CN223">
        <v>36.92</v>
      </c>
      <c r="CO223">
        <v>6.86</v>
      </c>
      <c r="CP223">
        <v>1.8600000000000003</v>
      </c>
      <c r="CQ223">
        <v>4.3600000000000003</v>
      </c>
    </row>
    <row r="224" spans="1:95">
      <c r="A224" s="223">
        <v>45511</v>
      </c>
      <c r="B224" s="90" t="s">
        <v>98</v>
      </c>
      <c r="C224" s="44">
        <v>148.04</v>
      </c>
      <c r="D224" s="45">
        <v>146.04</v>
      </c>
      <c r="E224" s="46">
        <v>147.04</v>
      </c>
      <c r="F224" s="44">
        <v>162.19999999999999</v>
      </c>
      <c r="G224" s="45">
        <v>159.19999999999999</v>
      </c>
      <c r="H224" s="46">
        <v>160.69999999999999</v>
      </c>
      <c r="I224" s="44">
        <v>108.31</v>
      </c>
      <c r="J224" s="45">
        <v>105.11</v>
      </c>
      <c r="K224" s="46">
        <v>106.71000000000001</v>
      </c>
      <c r="L224" s="45">
        <v>190.77</v>
      </c>
      <c r="M224" s="45">
        <v>182.77</v>
      </c>
      <c r="N224" s="45">
        <v>186.77</v>
      </c>
      <c r="O224" s="44">
        <v>173.1</v>
      </c>
      <c r="P224" s="45">
        <v>171.29999999999998</v>
      </c>
      <c r="Q224" s="46">
        <v>172.2</v>
      </c>
      <c r="R224" s="45">
        <v>21.83</v>
      </c>
      <c r="S224" s="45">
        <v>21.229999999999997</v>
      </c>
      <c r="T224" s="45">
        <v>21.529999999999998</v>
      </c>
      <c r="U224" s="44">
        <v>13.77</v>
      </c>
      <c r="V224" s="45">
        <v>13.17</v>
      </c>
      <c r="W224" s="46">
        <v>13.469999999999999</v>
      </c>
      <c r="X224" s="44">
        <v>14.36</v>
      </c>
      <c r="Y224" s="45">
        <v>13.559999999999999</v>
      </c>
      <c r="Z224" s="46">
        <v>13.959999999999999</v>
      </c>
      <c r="AA224" s="44">
        <v>98.12</v>
      </c>
      <c r="AB224" s="45">
        <v>94.12</v>
      </c>
      <c r="AC224" s="46">
        <v>96.12</v>
      </c>
      <c r="AD224" s="44">
        <v>90.19</v>
      </c>
      <c r="AE224" s="45">
        <v>86.19</v>
      </c>
      <c r="AF224" s="46">
        <v>88.19</v>
      </c>
      <c r="AG224" s="45">
        <v>19.29</v>
      </c>
      <c r="AH224" s="45">
        <v>18.43</v>
      </c>
      <c r="AI224" s="45">
        <v>18.86</v>
      </c>
      <c r="AJ224" s="47"/>
      <c r="AK224" s="48"/>
      <c r="AL224" s="49"/>
      <c r="AM224" s="45">
        <v>111.78</v>
      </c>
      <c r="AN224" s="45">
        <v>110.12</v>
      </c>
      <c r="AO224" s="45">
        <v>110.95</v>
      </c>
      <c r="AP224" s="44">
        <v>40.03</v>
      </c>
      <c r="AQ224" s="45">
        <v>38.43</v>
      </c>
      <c r="AR224" s="46">
        <v>39.230000000000004</v>
      </c>
      <c r="AS224" s="45">
        <v>40.78</v>
      </c>
      <c r="AT224" s="45">
        <v>39.42</v>
      </c>
      <c r="AU224" s="45">
        <v>40.1</v>
      </c>
      <c r="AV224" s="44">
        <v>20.83</v>
      </c>
      <c r="AW224" s="45">
        <v>20.229999999999997</v>
      </c>
      <c r="AX224" s="46">
        <v>20.529999999999998</v>
      </c>
      <c r="AY224" s="44">
        <v>4.22</v>
      </c>
      <c r="AZ224" s="45">
        <v>4.0599999999999996</v>
      </c>
      <c r="BA224" s="46">
        <v>4.1399999999999997</v>
      </c>
      <c r="BB224" s="44">
        <v>1.91</v>
      </c>
      <c r="BC224" s="50">
        <v>1.6099999999999999</v>
      </c>
      <c r="BD224" s="51">
        <v>1.7599999999999998</v>
      </c>
      <c r="BE224" s="45">
        <v>0.68</v>
      </c>
      <c r="BF224" s="50">
        <v>0.38000000000000006</v>
      </c>
      <c r="BG224" s="50">
        <v>0.53</v>
      </c>
      <c r="BH224" s="44">
        <v>489.94</v>
      </c>
      <c r="BI224" s="45">
        <v>473.94</v>
      </c>
      <c r="BJ224" s="46">
        <v>481.94</v>
      </c>
      <c r="BK224" s="45">
        <v>41.08</v>
      </c>
      <c r="BL224" s="45">
        <v>39.72</v>
      </c>
      <c r="BM224" s="45">
        <v>40.4</v>
      </c>
      <c r="BN224" s="52">
        <v>1.03</v>
      </c>
      <c r="BO224" s="50">
        <v>0.79</v>
      </c>
      <c r="BP224" s="51">
        <v>0.91</v>
      </c>
      <c r="BQ224" s="45">
        <v>8.5299999999999994</v>
      </c>
      <c r="BR224" s="45">
        <v>6.5299999999999994</v>
      </c>
      <c r="BS224" s="45">
        <v>7.5299999999999994</v>
      </c>
      <c r="BT224" s="44">
        <v>10.91</v>
      </c>
      <c r="BU224" s="45">
        <v>10.51</v>
      </c>
      <c r="BV224" s="46">
        <v>10.71</v>
      </c>
      <c r="BW224" s="44">
        <v>2.7</v>
      </c>
      <c r="BX224" s="50">
        <v>2.42</v>
      </c>
      <c r="BY224" s="51">
        <v>2.56</v>
      </c>
      <c r="BZ224" s="44">
        <v>9.4499999999999993</v>
      </c>
      <c r="CA224" s="45">
        <v>6.4499999999999993</v>
      </c>
      <c r="CB224" s="46">
        <v>7.9499999999999993</v>
      </c>
      <c r="CC224" s="44">
        <v>6.49</v>
      </c>
      <c r="CD224" s="45">
        <v>6.25</v>
      </c>
      <c r="CE224" s="46">
        <v>6.37</v>
      </c>
      <c r="CF224" s="44">
        <v>1.97</v>
      </c>
      <c r="CG224" s="45">
        <v>1.47</v>
      </c>
      <c r="CH224" s="46">
        <v>1.72</v>
      </c>
      <c r="CI224" s="44">
        <v>0.42</v>
      </c>
      <c r="CJ224" s="45">
        <v>0.38</v>
      </c>
      <c r="CK224" s="46">
        <v>0.4</v>
      </c>
      <c r="CL224" s="44">
        <v>38.46</v>
      </c>
      <c r="CM224">
        <v>36.06</v>
      </c>
      <c r="CN224">
        <v>37.260000000000005</v>
      </c>
      <c r="CO224">
        <v>6.88</v>
      </c>
      <c r="CP224">
        <v>1.88</v>
      </c>
      <c r="CQ224">
        <v>4.38</v>
      </c>
    </row>
    <row r="225" spans="1:95">
      <c r="A225" s="223">
        <v>45512</v>
      </c>
      <c r="B225" s="90" t="s">
        <v>99</v>
      </c>
      <c r="C225" s="44">
        <v>147.19999999999999</v>
      </c>
      <c r="D225" s="45">
        <v>145.19999999999999</v>
      </c>
      <c r="E225" s="46">
        <v>146.19999999999999</v>
      </c>
      <c r="F225" s="44">
        <v>161.22</v>
      </c>
      <c r="G225" s="45">
        <v>158.22</v>
      </c>
      <c r="H225" s="46">
        <v>159.72</v>
      </c>
      <c r="I225" s="44">
        <v>107.94</v>
      </c>
      <c r="J225" s="45">
        <v>104.74</v>
      </c>
      <c r="K225" s="46">
        <v>106.34</v>
      </c>
      <c r="L225" s="45">
        <v>189.35</v>
      </c>
      <c r="M225" s="45">
        <v>181.35</v>
      </c>
      <c r="N225" s="45">
        <v>185.35</v>
      </c>
      <c r="O225" s="44">
        <v>171.16</v>
      </c>
      <c r="P225" s="45">
        <v>169.35999999999999</v>
      </c>
      <c r="Q225" s="46">
        <v>170.26</v>
      </c>
      <c r="R225" s="45">
        <v>21.7</v>
      </c>
      <c r="S225" s="45">
        <v>21.099999999999998</v>
      </c>
      <c r="T225" s="45">
        <v>21.4</v>
      </c>
      <c r="U225" s="44">
        <v>13.81</v>
      </c>
      <c r="V225" s="45">
        <v>13.21</v>
      </c>
      <c r="W225" s="46">
        <v>13.510000000000002</v>
      </c>
      <c r="X225" s="44">
        <v>14.35</v>
      </c>
      <c r="Y225" s="45">
        <v>13.549999999999999</v>
      </c>
      <c r="Z225" s="46">
        <v>13.95</v>
      </c>
      <c r="AA225" s="44">
        <v>97.22</v>
      </c>
      <c r="AB225" s="45">
        <v>93.22</v>
      </c>
      <c r="AC225" s="46">
        <v>95.22</v>
      </c>
      <c r="AD225" s="44">
        <v>89.65</v>
      </c>
      <c r="AE225" s="45">
        <v>85.65</v>
      </c>
      <c r="AF225" s="46">
        <v>87.65</v>
      </c>
      <c r="AG225" s="45">
        <v>19.2</v>
      </c>
      <c r="AH225" s="45">
        <v>18.34</v>
      </c>
      <c r="AI225" s="45">
        <v>18.77</v>
      </c>
      <c r="AJ225" s="47"/>
      <c r="AK225" s="48"/>
      <c r="AL225" s="49"/>
      <c r="AM225" s="45">
        <v>111.03</v>
      </c>
      <c r="AN225" s="45">
        <v>109.37</v>
      </c>
      <c r="AO225" s="45">
        <v>110.2</v>
      </c>
      <c r="AP225" s="44">
        <v>39.81</v>
      </c>
      <c r="AQ225" s="45">
        <v>38.21</v>
      </c>
      <c r="AR225" s="46">
        <v>39.010000000000005</v>
      </c>
      <c r="AS225" s="45">
        <v>40.549999999999997</v>
      </c>
      <c r="AT225" s="45">
        <v>39.19</v>
      </c>
      <c r="AU225" s="45">
        <v>39.869999999999997</v>
      </c>
      <c r="AV225" s="44">
        <v>20.71</v>
      </c>
      <c r="AW225" s="45">
        <v>20.11</v>
      </c>
      <c r="AX225" s="46">
        <v>20.41</v>
      </c>
      <c r="AY225" s="44">
        <v>4.1900000000000004</v>
      </c>
      <c r="AZ225" s="45">
        <v>4.03</v>
      </c>
      <c r="BA225" s="46">
        <v>4.1100000000000003</v>
      </c>
      <c r="BB225" s="44">
        <v>1.9</v>
      </c>
      <c r="BC225" s="50">
        <v>1.5999999999999999</v>
      </c>
      <c r="BD225" s="51">
        <v>1.75</v>
      </c>
      <c r="BE225" s="45">
        <v>0.68</v>
      </c>
      <c r="BF225" s="50">
        <v>0.38000000000000006</v>
      </c>
      <c r="BG225" s="50">
        <v>0.53</v>
      </c>
      <c r="BH225" s="44">
        <v>487.03</v>
      </c>
      <c r="BI225" s="45">
        <v>471.03</v>
      </c>
      <c r="BJ225" s="46">
        <v>479.03</v>
      </c>
      <c r="BK225" s="45">
        <v>40.840000000000003</v>
      </c>
      <c r="BL225" s="45">
        <v>39.480000000000004</v>
      </c>
      <c r="BM225" s="45">
        <v>40.160000000000004</v>
      </c>
      <c r="BN225" s="52">
        <v>1.04</v>
      </c>
      <c r="BO225" s="50">
        <v>0.8</v>
      </c>
      <c r="BP225" s="51">
        <v>0.92</v>
      </c>
      <c r="BQ225" s="45">
        <v>8.57</v>
      </c>
      <c r="BR225" s="45">
        <v>6.57</v>
      </c>
      <c r="BS225" s="45">
        <v>7.57</v>
      </c>
      <c r="BT225" s="44">
        <v>10.82</v>
      </c>
      <c r="BU225" s="45">
        <v>10.42</v>
      </c>
      <c r="BV225" s="46">
        <v>10.620000000000001</v>
      </c>
      <c r="BW225" s="44">
        <v>2.7</v>
      </c>
      <c r="BX225" s="50">
        <v>2.42</v>
      </c>
      <c r="BY225" s="51">
        <v>2.56</v>
      </c>
      <c r="BZ225" s="44">
        <v>9.44</v>
      </c>
      <c r="CA225" s="45">
        <v>6.4399999999999995</v>
      </c>
      <c r="CB225" s="46">
        <v>7.9399999999999995</v>
      </c>
      <c r="CC225" s="44">
        <v>6.45</v>
      </c>
      <c r="CD225" s="45">
        <v>6.21</v>
      </c>
      <c r="CE225" s="46">
        <v>6.33</v>
      </c>
      <c r="CF225" s="44">
        <v>1.96</v>
      </c>
      <c r="CG225" s="45">
        <v>1.46</v>
      </c>
      <c r="CH225" s="46">
        <v>1.71</v>
      </c>
      <c r="CI225" s="44">
        <v>0.42</v>
      </c>
      <c r="CJ225" s="45">
        <v>0.38</v>
      </c>
      <c r="CK225" s="46">
        <v>0.4</v>
      </c>
      <c r="CL225" s="44">
        <v>38.119999999999997</v>
      </c>
      <c r="CM225">
        <v>35.72</v>
      </c>
      <c r="CN225">
        <v>36.92</v>
      </c>
      <c r="CO225">
        <v>6.87</v>
      </c>
      <c r="CP225">
        <v>1.87</v>
      </c>
      <c r="CQ225">
        <v>4.37</v>
      </c>
    </row>
    <row r="226" spans="1:95">
      <c r="A226" s="223">
        <v>45513</v>
      </c>
      <c r="B226" s="90" t="s">
        <v>100</v>
      </c>
      <c r="C226" s="44">
        <v>148.66</v>
      </c>
      <c r="D226" s="45">
        <v>146.66</v>
      </c>
      <c r="E226" s="46">
        <v>147.66</v>
      </c>
      <c r="F226" s="44">
        <v>162.63999999999999</v>
      </c>
      <c r="G226" s="45">
        <v>159.63999999999999</v>
      </c>
      <c r="H226" s="46">
        <v>161.13999999999999</v>
      </c>
      <c r="I226" s="44">
        <v>109.05</v>
      </c>
      <c r="J226" s="45">
        <v>105.85</v>
      </c>
      <c r="K226" s="46">
        <v>107.44999999999999</v>
      </c>
      <c r="L226" s="45">
        <v>192.15</v>
      </c>
      <c r="M226" s="45">
        <v>184.15</v>
      </c>
      <c r="N226" s="45">
        <v>188.15</v>
      </c>
      <c r="O226" s="44">
        <v>171.33</v>
      </c>
      <c r="P226" s="45">
        <v>169.53</v>
      </c>
      <c r="Q226" s="46">
        <v>170.43</v>
      </c>
      <c r="R226" s="45">
        <v>21.89</v>
      </c>
      <c r="S226" s="45">
        <v>21.29</v>
      </c>
      <c r="T226" s="45">
        <v>21.59</v>
      </c>
      <c r="U226" s="44">
        <v>13.91</v>
      </c>
      <c r="V226" s="45">
        <v>13.31</v>
      </c>
      <c r="W226" s="46">
        <v>13.61</v>
      </c>
      <c r="X226" s="44">
        <v>14.43</v>
      </c>
      <c r="Y226" s="45">
        <v>13.629999999999999</v>
      </c>
      <c r="Z226" s="46">
        <v>14.03</v>
      </c>
      <c r="AA226" s="44">
        <v>99.25</v>
      </c>
      <c r="AB226" s="45">
        <v>95.25</v>
      </c>
      <c r="AC226" s="46">
        <v>97.25</v>
      </c>
      <c r="AD226" s="44">
        <v>90.7</v>
      </c>
      <c r="AE226" s="45">
        <v>86.7</v>
      </c>
      <c r="AF226" s="46">
        <v>88.7</v>
      </c>
      <c r="AG226" s="45">
        <v>19.37</v>
      </c>
      <c r="AH226" s="45">
        <v>18.510000000000002</v>
      </c>
      <c r="AI226" s="45">
        <v>18.940000000000001</v>
      </c>
      <c r="AJ226" s="47"/>
      <c r="AK226" s="48"/>
      <c r="AL226" s="49"/>
      <c r="AM226" s="45">
        <v>112.18</v>
      </c>
      <c r="AN226" s="45">
        <v>110.52000000000001</v>
      </c>
      <c r="AO226" s="45">
        <v>111.35000000000001</v>
      </c>
      <c r="AP226" s="44">
        <v>40.24</v>
      </c>
      <c r="AQ226" s="45">
        <v>38.64</v>
      </c>
      <c r="AR226" s="46">
        <v>39.44</v>
      </c>
      <c r="AS226" s="45">
        <v>40.950000000000003</v>
      </c>
      <c r="AT226" s="45">
        <v>39.590000000000003</v>
      </c>
      <c r="AU226" s="45">
        <v>40.270000000000003</v>
      </c>
      <c r="AV226" s="44">
        <v>20.83</v>
      </c>
      <c r="AW226" s="45">
        <v>20.229999999999997</v>
      </c>
      <c r="AX226" s="46">
        <v>20.529999999999998</v>
      </c>
      <c r="AY226" s="44">
        <v>4.2699999999999996</v>
      </c>
      <c r="AZ226" s="45">
        <v>4.1099999999999994</v>
      </c>
      <c r="BA226" s="46">
        <v>4.1899999999999995</v>
      </c>
      <c r="BB226" s="44">
        <v>1.92</v>
      </c>
      <c r="BC226" s="50">
        <v>1.6199999999999999</v>
      </c>
      <c r="BD226" s="51">
        <v>1.77</v>
      </c>
      <c r="BE226" s="45">
        <v>0.68</v>
      </c>
      <c r="BF226" s="50">
        <v>0.38000000000000006</v>
      </c>
      <c r="BG226" s="50">
        <v>0.53</v>
      </c>
      <c r="BH226" s="44">
        <v>489.29</v>
      </c>
      <c r="BI226" s="45">
        <v>473.29</v>
      </c>
      <c r="BJ226" s="46">
        <v>481.29</v>
      </c>
      <c r="BK226" s="45">
        <v>41.25</v>
      </c>
      <c r="BL226" s="45">
        <v>39.89</v>
      </c>
      <c r="BM226" s="45">
        <v>40.57</v>
      </c>
      <c r="BN226" s="52">
        <v>1.05</v>
      </c>
      <c r="BO226" s="50">
        <v>0.81</v>
      </c>
      <c r="BP226" s="51">
        <v>0.93</v>
      </c>
      <c r="BQ226" s="45">
        <v>8.82</v>
      </c>
      <c r="BR226" s="45">
        <v>6.82</v>
      </c>
      <c r="BS226" s="45">
        <v>7.82</v>
      </c>
      <c r="BT226" s="44">
        <v>10.94</v>
      </c>
      <c r="BU226" s="45">
        <v>10.54</v>
      </c>
      <c r="BV226" s="46">
        <v>10.739999999999998</v>
      </c>
      <c r="BW226" s="44">
        <v>2.74</v>
      </c>
      <c r="BX226" s="50">
        <v>2.46</v>
      </c>
      <c r="BY226" s="51">
        <v>2.6</v>
      </c>
      <c r="BZ226" s="44">
        <v>9.5399999999999991</v>
      </c>
      <c r="CA226" s="45">
        <v>6.5399999999999991</v>
      </c>
      <c r="CB226" s="46">
        <v>8.0399999999999991</v>
      </c>
      <c r="CC226" s="44">
        <v>6.51</v>
      </c>
      <c r="CD226" s="45">
        <v>6.27</v>
      </c>
      <c r="CE226" s="46">
        <v>6.39</v>
      </c>
      <c r="CF226" s="44">
        <v>1.96</v>
      </c>
      <c r="CG226" s="45">
        <v>1.46</v>
      </c>
      <c r="CH226" s="46">
        <v>1.71</v>
      </c>
      <c r="CI226" s="44">
        <v>0.43</v>
      </c>
      <c r="CJ226" s="45">
        <v>0.39</v>
      </c>
      <c r="CK226" s="46">
        <v>0.41000000000000003</v>
      </c>
      <c r="CL226" s="44">
        <v>38.53</v>
      </c>
      <c r="CM226">
        <v>36.130000000000003</v>
      </c>
      <c r="CN226">
        <v>37.33</v>
      </c>
      <c r="CO226">
        <v>6.92</v>
      </c>
      <c r="CP226">
        <v>1.92</v>
      </c>
      <c r="CQ226">
        <v>4.42</v>
      </c>
    </row>
    <row r="227" spans="1:95">
      <c r="A227" s="223">
        <v>45514</v>
      </c>
      <c r="B227" s="90" t="s">
        <v>307</v>
      </c>
      <c r="C227" s="44"/>
      <c r="D227" s="45"/>
      <c r="E227" s="46"/>
      <c r="F227" s="44"/>
      <c r="G227" s="45"/>
      <c r="H227" s="46"/>
      <c r="I227" s="44"/>
      <c r="J227" s="45"/>
      <c r="K227" s="46"/>
      <c r="L227" s="45"/>
      <c r="M227" s="45"/>
      <c r="N227" s="45"/>
      <c r="O227" s="44"/>
      <c r="P227" s="45"/>
      <c r="Q227" s="46"/>
      <c r="R227" s="45"/>
      <c r="S227" s="45"/>
      <c r="T227" s="45"/>
      <c r="U227" s="44"/>
      <c r="V227" s="45"/>
      <c r="W227" s="46"/>
      <c r="X227" s="44"/>
      <c r="Y227" s="45"/>
      <c r="Z227" s="46"/>
      <c r="AA227" s="44"/>
      <c r="AB227" s="45"/>
      <c r="AC227" s="46"/>
      <c r="AD227" s="44"/>
      <c r="AE227" s="45"/>
      <c r="AF227" s="46"/>
      <c r="AG227" s="45"/>
      <c r="AH227" s="45"/>
      <c r="AI227" s="45"/>
      <c r="AJ227" s="47"/>
      <c r="AK227" s="48"/>
      <c r="AL227" s="49"/>
      <c r="AM227" s="45"/>
      <c r="AN227" s="45"/>
      <c r="AO227" s="45"/>
      <c r="AP227" s="44"/>
      <c r="AQ227" s="45"/>
      <c r="AR227" s="46"/>
      <c r="AS227" s="45"/>
      <c r="AT227" s="45"/>
      <c r="AU227" s="45"/>
      <c r="AV227" s="44"/>
      <c r="AW227" s="45"/>
      <c r="AX227" s="46"/>
      <c r="AY227" s="44"/>
      <c r="AZ227" s="45"/>
      <c r="BA227" s="46"/>
      <c r="BB227" s="44"/>
      <c r="BC227" s="50"/>
      <c r="BD227" s="51"/>
      <c r="BE227" s="45"/>
      <c r="BF227" s="50"/>
      <c r="BG227" s="50"/>
      <c r="BH227" s="44"/>
      <c r="BI227" s="45"/>
      <c r="BJ227" s="46"/>
      <c r="BK227" s="45"/>
      <c r="BL227" s="45"/>
      <c r="BM227" s="45"/>
      <c r="BN227" s="52"/>
      <c r="BO227" s="50"/>
      <c r="BP227" s="51"/>
      <c r="BQ227" s="45"/>
      <c r="BR227" s="45"/>
      <c r="BS227" s="45"/>
      <c r="BT227" s="44"/>
      <c r="BU227" s="45"/>
      <c r="BV227" s="46"/>
      <c r="BW227" s="44"/>
      <c r="BX227" s="50"/>
      <c r="BY227" s="51"/>
      <c r="BZ227" s="44"/>
      <c r="CA227" s="45"/>
      <c r="CB227" s="46"/>
      <c r="CC227" s="44"/>
      <c r="CD227" s="45"/>
      <c r="CE227" s="46"/>
      <c r="CF227" s="44"/>
      <c r="CG227" s="45"/>
      <c r="CH227" s="46"/>
      <c r="CI227" s="44"/>
      <c r="CJ227" s="45"/>
      <c r="CK227" s="46"/>
      <c r="CL227" s="44"/>
    </row>
    <row r="228" spans="1:95">
      <c r="A228" s="223">
        <v>45515</v>
      </c>
      <c r="B228" s="90" t="s">
        <v>308</v>
      </c>
      <c r="C228" s="44"/>
      <c r="D228" s="45"/>
      <c r="E228" s="46"/>
      <c r="F228" s="44"/>
      <c r="G228" s="45"/>
      <c r="H228" s="46"/>
      <c r="I228" s="44"/>
      <c r="J228" s="45"/>
      <c r="K228" s="46"/>
      <c r="L228" s="45"/>
      <c r="M228" s="45"/>
      <c r="N228" s="45"/>
      <c r="O228" s="44"/>
      <c r="P228" s="45"/>
      <c r="Q228" s="46"/>
      <c r="R228" s="45"/>
      <c r="S228" s="45"/>
      <c r="T228" s="45"/>
      <c r="U228" s="44"/>
      <c r="V228" s="45"/>
      <c r="W228" s="46"/>
      <c r="X228" s="44"/>
      <c r="Y228" s="45"/>
      <c r="Z228" s="46"/>
      <c r="AA228" s="44"/>
      <c r="AB228" s="45"/>
      <c r="AC228" s="46"/>
      <c r="AD228" s="44"/>
      <c r="AE228" s="45"/>
      <c r="AF228" s="46"/>
      <c r="AG228" s="45"/>
      <c r="AH228" s="45"/>
      <c r="AI228" s="45"/>
      <c r="AJ228" s="47"/>
      <c r="AK228" s="48"/>
      <c r="AL228" s="49"/>
      <c r="AM228" s="45"/>
      <c r="AN228" s="45"/>
      <c r="AO228" s="45"/>
      <c r="AP228" s="44"/>
      <c r="AQ228" s="45"/>
      <c r="AR228" s="46"/>
      <c r="AS228" s="45"/>
      <c r="AT228" s="45"/>
      <c r="AU228" s="45"/>
      <c r="AV228" s="44"/>
      <c r="AW228" s="45"/>
      <c r="AX228" s="46"/>
      <c r="AY228" s="44"/>
      <c r="AZ228" s="45"/>
      <c r="BA228" s="46"/>
      <c r="BB228" s="44"/>
      <c r="BC228" s="50"/>
      <c r="BD228" s="51"/>
      <c r="BE228" s="45"/>
      <c r="BF228" s="50"/>
      <c r="BG228" s="50"/>
      <c r="BH228" s="44"/>
      <c r="BI228" s="45"/>
      <c r="BJ228" s="46"/>
      <c r="BK228" s="45"/>
      <c r="BL228" s="45"/>
      <c r="BM228" s="45"/>
      <c r="BN228" s="52"/>
      <c r="BO228" s="50"/>
      <c r="BP228" s="51"/>
      <c r="BQ228" s="45"/>
      <c r="BR228" s="45"/>
      <c r="BS228" s="45"/>
      <c r="BT228" s="44"/>
      <c r="BU228" s="45"/>
      <c r="BV228" s="46"/>
      <c r="BW228" s="44"/>
      <c r="BX228" s="50"/>
      <c r="BY228" s="51"/>
      <c r="BZ228" s="44"/>
      <c r="CA228" s="45"/>
      <c r="CB228" s="46"/>
      <c r="CC228" s="44"/>
      <c r="CD228" s="45"/>
      <c r="CE228" s="46"/>
      <c r="CF228" s="44"/>
      <c r="CG228" s="45"/>
      <c r="CH228" s="46"/>
      <c r="CI228" s="44"/>
      <c r="CJ228" s="45"/>
      <c r="CK228" s="46"/>
      <c r="CL228" s="44"/>
    </row>
    <row r="229" spans="1:95">
      <c r="A229" s="223">
        <v>45516</v>
      </c>
      <c r="B229" s="90" t="s">
        <v>96</v>
      </c>
      <c r="C229" s="44"/>
      <c r="D229" s="45"/>
      <c r="E229" s="46"/>
      <c r="F229" s="44"/>
      <c r="G229" s="45"/>
      <c r="H229" s="46"/>
      <c r="I229" s="44"/>
      <c r="J229" s="45"/>
      <c r="K229" s="46"/>
      <c r="L229" s="45"/>
      <c r="M229" s="45"/>
      <c r="N229" s="45"/>
      <c r="O229" s="44"/>
      <c r="P229" s="45"/>
      <c r="Q229" s="46"/>
      <c r="R229" s="45"/>
      <c r="S229" s="45"/>
      <c r="T229" s="45"/>
      <c r="U229" s="44"/>
      <c r="V229" s="45"/>
      <c r="W229" s="46"/>
      <c r="X229" s="44"/>
      <c r="Y229" s="45"/>
      <c r="Z229" s="46"/>
      <c r="AA229" s="44"/>
      <c r="AB229" s="45"/>
      <c r="AC229" s="46"/>
      <c r="AD229" s="44"/>
      <c r="AE229" s="45"/>
      <c r="AF229" s="46"/>
      <c r="AG229" s="45"/>
      <c r="AH229" s="45"/>
      <c r="AI229" s="45"/>
      <c r="AJ229" s="47"/>
      <c r="AK229" s="48"/>
      <c r="AL229" s="49"/>
      <c r="AM229" s="45"/>
      <c r="AN229" s="45"/>
      <c r="AO229" s="45"/>
      <c r="AP229" s="44"/>
      <c r="AQ229" s="45"/>
      <c r="AR229" s="46"/>
      <c r="AS229" s="45"/>
      <c r="AT229" s="45"/>
      <c r="AU229" s="45"/>
      <c r="AV229" s="44"/>
      <c r="AW229" s="45"/>
      <c r="AX229" s="46"/>
      <c r="AY229" s="44"/>
      <c r="AZ229" s="45"/>
      <c r="BA229" s="46"/>
      <c r="BB229" s="44"/>
      <c r="BC229" s="50"/>
      <c r="BD229" s="51"/>
      <c r="BE229" s="45"/>
      <c r="BF229" s="50"/>
      <c r="BG229" s="50"/>
      <c r="BH229" s="44"/>
      <c r="BI229" s="45"/>
      <c r="BJ229" s="46"/>
      <c r="BK229" s="45"/>
      <c r="BL229" s="45"/>
      <c r="BM229" s="45"/>
      <c r="BN229" s="52"/>
      <c r="BO229" s="50"/>
      <c r="BP229" s="51"/>
      <c r="BQ229" s="45"/>
      <c r="BR229" s="45"/>
      <c r="BS229" s="45"/>
      <c r="BT229" s="44"/>
      <c r="BU229" s="45"/>
      <c r="BV229" s="46"/>
      <c r="BW229" s="44"/>
      <c r="BX229" s="50"/>
      <c r="BY229" s="51"/>
      <c r="BZ229" s="44"/>
      <c r="CA229" s="45"/>
      <c r="CB229" s="46"/>
      <c r="CC229" s="44"/>
      <c r="CD229" s="45"/>
      <c r="CE229" s="46"/>
      <c r="CF229" s="44"/>
      <c r="CG229" s="45"/>
      <c r="CH229" s="46"/>
      <c r="CI229" s="44"/>
      <c r="CJ229" s="45"/>
      <c r="CK229" s="46"/>
      <c r="CL229" s="44"/>
    </row>
    <row r="230" spans="1:95">
      <c r="A230" s="223">
        <v>45517</v>
      </c>
      <c r="B230" s="90" t="s">
        <v>97</v>
      </c>
      <c r="C230" s="44">
        <v>148.34</v>
      </c>
      <c r="D230" s="45">
        <v>146.34</v>
      </c>
      <c r="E230" s="46">
        <v>147.34</v>
      </c>
      <c r="F230" s="44">
        <v>162.54</v>
      </c>
      <c r="G230" s="45">
        <v>159.54</v>
      </c>
      <c r="H230" s="46">
        <v>161.04</v>
      </c>
      <c r="I230" s="44">
        <v>108.79</v>
      </c>
      <c r="J230" s="45">
        <v>105.59</v>
      </c>
      <c r="K230" s="46">
        <v>107.19</v>
      </c>
      <c r="L230" s="45">
        <v>192.09</v>
      </c>
      <c r="M230" s="45">
        <v>184.09</v>
      </c>
      <c r="N230" s="45">
        <v>188.09</v>
      </c>
      <c r="O230" s="44">
        <v>170.92</v>
      </c>
      <c r="P230" s="45">
        <v>169.11999999999998</v>
      </c>
      <c r="Q230" s="46">
        <v>170.01999999999998</v>
      </c>
      <c r="R230" s="45">
        <v>21.88</v>
      </c>
      <c r="S230" s="45">
        <v>21.279999999999998</v>
      </c>
      <c r="T230" s="45">
        <v>21.58</v>
      </c>
      <c r="U230" s="44">
        <v>13.93</v>
      </c>
      <c r="V230" s="45">
        <v>13.33</v>
      </c>
      <c r="W230" s="46">
        <v>13.629999999999999</v>
      </c>
      <c r="X230" s="44">
        <v>14.4</v>
      </c>
      <c r="Y230" s="45">
        <v>13.6</v>
      </c>
      <c r="Z230" s="46">
        <v>14</v>
      </c>
      <c r="AA230" s="44">
        <v>98.95</v>
      </c>
      <c r="AB230" s="45">
        <v>94.95</v>
      </c>
      <c r="AC230" s="46">
        <v>96.95</v>
      </c>
      <c r="AD230" s="44">
        <v>90.76</v>
      </c>
      <c r="AE230" s="45">
        <v>86.76</v>
      </c>
      <c r="AF230" s="46">
        <v>88.76</v>
      </c>
      <c r="AG230" s="45">
        <v>19.34</v>
      </c>
      <c r="AH230" s="45">
        <v>18.48</v>
      </c>
      <c r="AI230" s="45">
        <v>18.91</v>
      </c>
      <c r="AJ230" s="47"/>
      <c r="AK230" s="48"/>
      <c r="AL230" s="49"/>
      <c r="AM230" s="45">
        <v>112.09</v>
      </c>
      <c r="AN230" s="45">
        <v>110.43</v>
      </c>
      <c r="AO230" s="45">
        <v>111.26</v>
      </c>
      <c r="AP230" s="44">
        <v>40.119999999999997</v>
      </c>
      <c r="AQ230" s="45">
        <v>38.519999999999996</v>
      </c>
      <c r="AR230" s="46">
        <v>39.319999999999993</v>
      </c>
      <c r="AS230" s="45">
        <v>40.86</v>
      </c>
      <c r="AT230" s="45">
        <v>39.5</v>
      </c>
      <c r="AU230" s="45">
        <v>40.18</v>
      </c>
      <c r="AV230" s="44">
        <v>20.82</v>
      </c>
      <c r="AW230" s="45">
        <v>20.22</v>
      </c>
      <c r="AX230" s="46">
        <v>20.52</v>
      </c>
      <c r="AY230" s="44">
        <v>4.28</v>
      </c>
      <c r="AZ230" s="45">
        <v>4.12</v>
      </c>
      <c r="BA230" s="46">
        <v>4.2</v>
      </c>
      <c r="BB230" s="44">
        <v>1.91</v>
      </c>
      <c r="BC230" s="50">
        <v>1.6099999999999999</v>
      </c>
      <c r="BD230" s="51">
        <v>1.7599999999999998</v>
      </c>
      <c r="BE230" s="45">
        <v>0.68</v>
      </c>
      <c r="BF230" s="50">
        <v>0.38000000000000006</v>
      </c>
      <c r="BG230" s="50">
        <v>0.53</v>
      </c>
      <c r="BH230" s="44">
        <v>489.98</v>
      </c>
      <c r="BI230" s="45">
        <v>473.98</v>
      </c>
      <c r="BJ230" s="46">
        <v>481.98</v>
      </c>
      <c r="BK230" s="45">
        <v>41.16</v>
      </c>
      <c r="BL230" s="45">
        <v>39.799999999999997</v>
      </c>
      <c r="BM230" s="45">
        <v>40.479999999999997</v>
      </c>
      <c r="BN230" s="52">
        <v>1.05</v>
      </c>
      <c r="BO230" s="50">
        <v>0.81</v>
      </c>
      <c r="BP230" s="51">
        <v>0.93</v>
      </c>
      <c r="BQ230" s="45">
        <v>8.73</v>
      </c>
      <c r="BR230" s="45">
        <v>6.73</v>
      </c>
      <c r="BS230" s="45">
        <v>7.73</v>
      </c>
      <c r="BT230" s="44">
        <v>10.96</v>
      </c>
      <c r="BU230" s="45">
        <v>10.56</v>
      </c>
      <c r="BV230" s="46">
        <v>10.760000000000002</v>
      </c>
      <c r="BW230" s="44">
        <v>2.73</v>
      </c>
      <c r="BX230" s="50">
        <v>2.4500000000000002</v>
      </c>
      <c r="BY230" s="51">
        <v>2.59</v>
      </c>
      <c r="BZ230" s="44">
        <v>9.57</v>
      </c>
      <c r="CA230" s="45">
        <v>6.57</v>
      </c>
      <c r="CB230" s="46">
        <v>8.07</v>
      </c>
      <c r="CC230" s="44">
        <v>6.52</v>
      </c>
      <c r="CD230" s="45">
        <v>6.2799999999999994</v>
      </c>
      <c r="CE230" s="46">
        <v>6.3999999999999995</v>
      </c>
      <c r="CF230" s="44">
        <v>1.87</v>
      </c>
      <c r="CG230" s="45">
        <v>1.37</v>
      </c>
      <c r="CH230" s="46">
        <v>1.62</v>
      </c>
      <c r="CI230" s="44">
        <v>0.43</v>
      </c>
      <c r="CJ230" s="45">
        <v>0.39</v>
      </c>
      <c r="CK230" s="46">
        <v>0.41000000000000003</v>
      </c>
      <c r="CL230" s="44">
        <v>38.630000000000003</v>
      </c>
      <c r="CM230">
        <v>36.230000000000004</v>
      </c>
      <c r="CN230">
        <v>37.430000000000007</v>
      </c>
      <c r="CO230">
        <v>6.91</v>
      </c>
      <c r="CP230">
        <v>1.9100000000000001</v>
      </c>
      <c r="CQ230">
        <v>4.41</v>
      </c>
    </row>
    <row r="231" spans="1:95">
      <c r="A231" s="223">
        <v>45518</v>
      </c>
      <c r="B231" s="90" t="s">
        <v>98</v>
      </c>
      <c r="C231" s="44">
        <v>148.12</v>
      </c>
      <c r="D231" s="45">
        <v>146.12</v>
      </c>
      <c r="E231" s="46">
        <v>147.12</v>
      </c>
      <c r="F231" s="44">
        <v>163.22999999999999</v>
      </c>
      <c r="G231" s="45">
        <v>160.22999999999999</v>
      </c>
      <c r="H231" s="46">
        <v>161.72999999999999</v>
      </c>
      <c r="I231" s="44">
        <v>108.92</v>
      </c>
      <c r="J231" s="45">
        <v>105.72</v>
      </c>
      <c r="K231" s="46">
        <v>107.32</v>
      </c>
      <c r="L231" s="45">
        <v>193.28</v>
      </c>
      <c r="M231" s="45">
        <v>185.28</v>
      </c>
      <c r="N231" s="45">
        <v>189.28</v>
      </c>
      <c r="O231" s="44">
        <v>170.9</v>
      </c>
      <c r="P231" s="45">
        <v>169.1</v>
      </c>
      <c r="Q231" s="46">
        <v>170</v>
      </c>
      <c r="R231" s="45">
        <v>21.97</v>
      </c>
      <c r="S231" s="45">
        <v>21.369999999999997</v>
      </c>
      <c r="T231" s="45">
        <v>21.669999999999998</v>
      </c>
      <c r="U231" s="44">
        <v>14</v>
      </c>
      <c r="V231" s="45">
        <v>13.4</v>
      </c>
      <c r="W231" s="46">
        <v>13.7</v>
      </c>
      <c r="X231" s="44">
        <v>14.46</v>
      </c>
      <c r="Y231" s="45">
        <v>13.66</v>
      </c>
      <c r="Z231" s="46">
        <v>14.06</v>
      </c>
      <c r="AA231" s="44">
        <v>99.69</v>
      </c>
      <c r="AB231" s="45">
        <v>95.69</v>
      </c>
      <c r="AC231" s="46">
        <v>97.69</v>
      </c>
      <c r="AD231" s="44">
        <v>91.46</v>
      </c>
      <c r="AE231" s="45">
        <v>87.46</v>
      </c>
      <c r="AF231" s="46">
        <v>89.46</v>
      </c>
      <c r="AG231" s="45">
        <v>19.32</v>
      </c>
      <c r="AH231" s="45">
        <v>18.46</v>
      </c>
      <c r="AI231" s="45">
        <v>18.89</v>
      </c>
      <c r="AJ231" s="47"/>
      <c r="AK231" s="48"/>
      <c r="AL231" s="49"/>
      <c r="AM231" s="45">
        <v>112.54</v>
      </c>
      <c r="AN231" s="45">
        <v>110.88000000000001</v>
      </c>
      <c r="AO231" s="45">
        <v>111.71000000000001</v>
      </c>
      <c r="AP231" s="44">
        <v>40.049999999999997</v>
      </c>
      <c r="AQ231" s="45">
        <v>38.449999999999996</v>
      </c>
      <c r="AR231" s="46">
        <v>39.25</v>
      </c>
      <c r="AS231" s="45">
        <v>40.799999999999997</v>
      </c>
      <c r="AT231" s="45">
        <v>39.44</v>
      </c>
      <c r="AU231" s="45">
        <v>40.119999999999997</v>
      </c>
      <c r="AV231" s="44">
        <v>20.87</v>
      </c>
      <c r="AW231" s="45">
        <v>20.27</v>
      </c>
      <c r="AX231" s="46">
        <v>20.57</v>
      </c>
      <c r="AY231" s="44">
        <v>4.29</v>
      </c>
      <c r="AZ231" s="45">
        <v>4.13</v>
      </c>
      <c r="BA231" s="46">
        <v>4.21</v>
      </c>
      <c r="BB231" s="44">
        <v>1.91</v>
      </c>
      <c r="BC231" s="50">
        <v>1.6099999999999999</v>
      </c>
      <c r="BD231" s="51">
        <v>1.7599999999999998</v>
      </c>
      <c r="BE231" s="45">
        <v>0.68</v>
      </c>
      <c r="BF231" s="50">
        <v>0.38000000000000006</v>
      </c>
      <c r="BG231" s="50">
        <v>0.53</v>
      </c>
      <c r="BH231" s="44">
        <v>489.73</v>
      </c>
      <c r="BI231" s="45">
        <v>473.73</v>
      </c>
      <c r="BJ231" s="46">
        <v>481.73</v>
      </c>
      <c r="BK231" s="45">
        <v>41.09</v>
      </c>
      <c r="BL231" s="45">
        <v>39.730000000000004</v>
      </c>
      <c r="BM231" s="45">
        <v>40.410000000000004</v>
      </c>
      <c r="BN231" s="52">
        <v>1.05</v>
      </c>
      <c r="BO231" s="50">
        <v>0.81</v>
      </c>
      <c r="BP231" s="51">
        <v>0.93</v>
      </c>
      <c r="BQ231" s="45">
        <v>8.74</v>
      </c>
      <c r="BR231" s="45">
        <v>6.74</v>
      </c>
      <c r="BS231" s="45">
        <v>7.74</v>
      </c>
      <c r="BT231" s="44">
        <v>11.02</v>
      </c>
      <c r="BU231" s="45">
        <v>10.62</v>
      </c>
      <c r="BV231" s="46">
        <v>10.82</v>
      </c>
      <c r="BW231" s="44">
        <v>2.74</v>
      </c>
      <c r="BX231" s="50">
        <v>2.46</v>
      </c>
      <c r="BY231" s="51">
        <v>2.6</v>
      </c>
      <c r="BZ231" s="44">
        <v>9.6199999999999992</v>
      </c>
      <c r="CA231" s="45">
        <v>6.6199999999999992</v>
      </c>
      <c r="CB231" s="46">
        <v>8.1199999999999992</v>
      </c>
      <c r="CC231" s="44">
        <v>6.55</v>
      </c>
      <c r="CD231" s="45">
        <v>6.31</v>
      </c>
      <c r="CE231" s="46">
        <v>6.43</v>
      </c>
      <c r="CF231" s="44">
        <v>1.85</v>
      </c>
      <c r="CG231" s="45">
        <v>1.35</v>
      </c>
      <c r="CH231" s="46">
        <v>1.6</v>
      </c>
      <c r="CI231" s="44">
        <v>0.43</v>
      </c>
      <c r="CJ231" s="45">
        <v>0.39</v>
      </c>
      <c r="CK231" s="46">
        <v>0.41000000000000003</v>
      </c>
      <c r="CL231" s="44">
        <v>38.94</v>
      </c>
      <c r="CM231">
        <v>36.54</v>
      </c>
      <c r="CN231">
        <v>37.739999999999995</v>
      </c>
      <c r="CO231">
        <v>6.9</v>
      </c>
      <c r="CP231">
        <v>1.9000000000000004</v>
      </c>
      <c r="CQ231">
        <v>4.4000000000000004</v>
      </c>
    </row>
    <row r="232" spans="1:95">
      <c r="A232" s="223">
        <v>45519</v>
      </c>
      <c r="B232" s="90" t="s">
        <v>99</v>
      </c>
      <c r="C232" s="44">
        <v>148.38999999999999</v>
      </c>
      <c r="D232" s="45">
        <v>146.38999999999999</v>
      </c>
      <c r="E232" s="46">
        <v>147.38999999999999</v>
      </c>
      <c r="F232" s="44">
        <v>163.76</v>
      </c>
      <c r="G232" s="45">
        <v>160.76</v>
      </c>
      <c r="H232" s="46">
        <v>162.26</v>
      </c>
      <c r="I232" s="44">
        <v>109.07</v>
      </c>
      <c r="J232" s="45">
        <v>105.86999999999999</v>
      </c>
      <c r="K232" s="46">
        <v>107.47</v>
      </c>
      <c r="L232" s="45">
        <v>193.06</v>
      </c>
      <c r="M232" s="45">
        <v>185.06</v>
      </c>
      <c r="N232" s="45">
        <v>189.06</v>
      </c>
      <c r="O232" s="44">
        <v>171.19</v>
      </c>
      <c r="P232" s="45">
        <v>169.39</v>
      </c>
      <c r="Q232" s="46">
        <v>170.29</v>
      </c>
      <c r="R232" s="45">
        <v>22.05</v>
      </c>
      <c r="S232" s="45">
        <v>21.45</v>
      </c>
      <c r="T232" s="45">
        <v>21.75</v>
      </c>
      <c r="U232" s="44">
        <v>14.04</v>
      </c>
      <c r="V232" s="45">
        <v>13.44</v>
      </c>
      <c r="W232" s="46">
        <v>13.739999999999998</v>
      </c>
      <c r="X232" s="44">
        <v>14.47</v>
      </c>
      <c r="Y232" s="45">
        <v>13.67</v>
      </c>
      <c r="Z232" s="46">
        <v>14.07</v>
      </c>
      <c r="AA232" s="44">
        <v>99.2</v>
      </c>
      <c r="AB232" s="45">
        <v>95.2</v>
      </c>
      <c r="AC232" s="46">
        <v>97.2</v>
      </c>
      <c r="AD232" s="44">
        <v>90.36</v>
      </c>
      <c r="AE232" s="45">
        <v>86.36</v>
      </c>
      <c r="AF232" s="46">
        <v>88.36</v>
      </c>
      <c r="AG232" s="45">
        <v>19.34</v>
      </c>
      <c r="AH232" s="45">
        <v>18.48</v>
      </c>
      <c r="AI232" s="45">
        <v>18.91</v>
      </c>
      <c r="AJ232" s="47"/>
      <c r="AK232" s="48"/>
      <c r="AL232" s="49"/>
      <c r="AM232" s="45">
        <v>112.77</v>
      </c>
      <c r="AN232" s="45">
        <v>111.11</v>
      </c>
      <c r="AO232" s="45">
        <v>111.94</v>
      </c>
      <c r="AP232" s="44">
        <v>40.14</v>
      </c>
      <c r="AQ232" s="45">
        <v>38.54</v>
      </c>
      <c r="AR232" s="46">
        <v>39.340000000000003</v>
      </c>
      <c r="AS232" s="45">
        <v>40.869999999999997</v>
      </c>
      <c r="AT232" s="45">
        <v>39.51</v>
      </c>
      <c r="AU232" s="45">
        <v>40.19</v>
      </c>
      <c r="AV232" s="44">
        <v>20.91</v>
      </c>
      <c r="AW232" s="45">
        <v>20.309999999999999</v>
      </c>
      <c r="AX232" s="46">
        <v>20.61</v>
      </c>
      <c r="AY232" s="44">
        <v>4.28</v>
      </c>
      <c r="AZ232" s="45">
        <v>4.12</v>
      </c>
      <c r="BA232" s="46">
        <v>4.2</v>
      </c>
      <c r="BB232" s="44">
        <v>1.92</v>
      </c>
      <c r="BC232" s="50">
        <v>1.6199999999999999</v>
      </c>
      <c r="BD232" s="51">
        <v>1.77</v>
      </c>
      <c r="BE232" s="45">
        <v>0.68</v>
      </c>
      <c r="BF232" s="50">
        <v>0.38000000000000006</v>
      </c>
      <c r="BG232" s="50">
        <v>0.53</v>
      </c>
      <c r="BH232" s="44">
        <v>490.45</v>
      </c>
      <c r="BI232" s="45">
        <v>474.45</v>
      </c>
      <c r="BJ232" s="46">
        <v>482.45</v>
      </c>
      <c r="BK232" s="45">
        <v>41.16</v>
      </c>
      <c r="BL232" s="45">
        <v>39.799999999999997</v>
      </c>
      <c r="BM232" s="45">
        <v>40.479999999999997</v>
      </c>
      <c r="BN232" s="52">
        <v>1.06</v>
      </c>
      <c r="BO232" s="50">
        <v>0.82000000000000006</v>
      </c>
      <c r="BP232" s="51">
        <v>0.94000000000000006</v>
      </c>
      <c r="BQ232" s="45">
        <v>8.83</v>
      </c>
      <c r="BR232" s="45">
        <v>6.83</v>
      </c>
      <c r="BS232" s="45">
        <v>7.83</v>
      </c>
      <c r="BT232" s="44">
        <v>11.08</v>
      </c>
      <c r="BU232" s="45">
        <v>10.68</v>
      </c>
      <c r="BV232" s="46">
        <v>10.879999999999999</v>
      </c>
      <c r="BW232" s="44">
        <v>2.75</v>
      </c>
      <c r="BX232" s="50">
        <v>2.4699999999999998</v>
      </c>
      <c r="BY232" s="51">
        <v>2.61</v>
      </c>
      <c r="BZ232" s="44">
        <v>9.67</v>
      </c>
      <c r="CA232" s="45">
        <v>6.67</v>
      </c>
      <c r="CB232" s="46">
        <v>8.17</v>
      </c>
      <c r="CC232" s="44">
        <v>6.58</v>
      </c>
      <c r="CD232" s="45">
        <v>6.34</v>
      </c>
      <c r="CE232" s="46">
        <v>6.46</v>
      </c>
      <c r="CF232" s="44">
        <v>1.89</v>
      </c>
      <c r="CG232" s="45">
        <v>1.39</v>
      </c>
      <c r="CH232" s="46">
        <v>1.64</v>
      </c>
      <c r="CI232" s="44">
        <v>0.43</v>
      </c>
      <c r="CJ232" s="45">
        <v>0.39</v>
      </c>
      <c r="CK232" s="46">
        <v>0.41000000000000003</v>
      </c>
      <c r="CL232" s="44">
        <v>39</v>
      </c>
      <c r="CM232">
        <v>36.6</v>
      </c>
      <c r="CN232">
        <v>37.799999999999997</v>
      </c>
      <c r="CO232">
        <v>6.89</v>
      </c>
      <c r="CP232">
        <v>1.8899999999999997</v>
      </c>
      <c r="CQ232">
        <v>4.3899999999999997</v>
      </c>
    </row>
    <row r="233" spans="1:95">
      <c r="A233" s="223">
        <v>45520</v>
      </c>
      <c r="B233" s="90" t="s">
        <v>100</v>
      </c>
      <c r="C233" s="44">
        <v>150.13</v>
      </c>
      <c r="D233" s="45">
        <v>148.13</v>
      </c>
      <c r="E233" s="46">
        <v>149.13</v>
      </c>
      <c r="F233" s="44">
        <v>165.14</v>
      </c>
      <c r="G233" s="45">
        <v>162.13999999999999</v>
      </c>
      <c r="H233" s="46">
        <v>163.63999999999999</v>
      </c>
      <c r="I233" s="44">
        <v>110.21</v>
      </c>
      <c r="J233" s="45">
        <v>107.00999999999999</v>
      </c>
      <c r="K233" s="46">
        <v>108.60999999999999</v>
      </c>
      <c r="L233" s="45">
        <v>195.83</v>
      </c>
      <c r="M233" s="45">
        <v>187.83</v>
      </c>
      <c r="N233" s="45">
        <v>191.83</v>
      </c>
      <c r="O233" s="44">
        <v>171.92</v>
      </c>
      <c r="P233" s="45">
        <v>170.11999999999998</v>
      </c>
      <c r="Q233" s="46">
        <v>171.01999999999998</v>
      </c>
      <c r="R233" s="45">
        <v>22.23</v>
      </c>
      <c r="S233" s="45">
        <v>21.63</v>
      </c>
      <c r="T233" s="45">
        <v>21.93</v>
      </c>
      <c r="U233" s="44">
        <v>14.18</v>
      </c>
      <c r="V233" s="45">
        <v>13.58</v>
      </c>
      <c r="W233" s="46">
        <v>13.879999999999999</v>
      </c>
      <c r="X233" s="44">
        <v>14.55</v>
      </c>
      <c r="Y233" s="45">
        <v>13.75</v>
      </c>
      <c r="Z233" s="46">
        <v>14.15</v>
      </c>
      <c r="AA233" s="44">
        <v>100.65</v>
      </c>
      <c r="AB233" s="45">
        <v>96.65</v>
      </c>
      <c r="AC233" s="46">
        <v>98.65</v>
      </c>
      <c r="AD233" s="44">
        <v>91.31</v>
      </c>
      <c r="AE233" s="45">
        <v>87.31</v>
      </c>
      <c r="AF233" s="46">
        <v>89.31</v>
      </c>
      <c r="AG233" s="45">
        <v>19.559999999999999</v>
      </c>
      <c r="AH233" s="45">
        <v>18.7</v>
      </c>
      <c r="AI233" s="45">
        <v>19.13</v>
      </c>
      <c r="AJ233" s="47"/>
      <c r="AK233" s="48"/>
      <c r="AL233" s="49"/>
      <c r="AM233" s="45">
        <v>113.67</v>
      </c>
      <c r="AN233" s="45">
        <v>112.01</v>
      </c>
      <c r="AO233" s="45">
        <v>112.84</v>
      </c>
      <c r="AP233" s="44">
        <v>40.61</v>
      </c>
      <c r="AQ233" s="45">
        <v>39.01</v>
      </c>
      <c r="AR233" s="46">
        <v>39.81</v>
      </c>
      <c r="AS233" s="45">
        <v>41.35</v>
      </c>
      <c r="AT233" s="45">
        <v>39.99</v>
      </c>
      <c r="AU233" s="45">
        <v>40.67</v>
      </c>
      <c r="AV233" s="44">
        <v>21.06</v>
      </c>
      <c r="AW233" s="45">
        <v>20.459999999999997</v>
      </c>
      <c r="AX233" s="46">
        <v>20.759999999999998</v>
      </c>
      <c r="AY233" s="44">
        <v>4.34</v>
      </c>
      <c r="AZ233" s="45">
        <v>4.18</v>
      </c>
      <c r="BA233" s="46">
        <v>4.26</v>
      </c>
      <c r="BB233" s="44">
        <v>1.94</v>
      </c>
      <c r="BC233" s="50">
        <v>1.64</v>
      </c>
      <c r="BD233" s="51">
        <v>1.79</v>
      </c>
      <c r="BE233" s="45">
        <v>0.69</v>
      </c>
      <c r="BF233" s="50">
        <v>0.38999999999999996</v>
      </c>
      <c r="BG233" s="50">
        <v>0.53999999999999992</v>
      </c>
      <c r="BH233" s="44">
        <v>496.15</v>
      </c>
      <c r="BI233" s="45">
        <v>480.15</v>
      </c>
      <c r="BJ233" s="46">
        <v>488.15</v>
      </c>
      <c r="BK233" s="45">
        <v>41.64</v>
      </c>
      <c r="BL233" s="45">
        <v>40.28</v>
      </c>
      <c r="BM233" s="45">
        <v>40.96</v>
      </c>
      <c r="BN233" s="52">
        <v>1.07</v>
      </c>
      <c r="BO233" s="50">
        <v>0.83000000000000007</v>
      </c>
      <c r="BP233" s="51">
        <v>0.95000000000000007</v>
      </c>
      <c r="BQ233" s="45">
        <v>9</v>
      </c>
      <c r="BR233" s="45">
        <v>7</v>
      </c>
      <c r="BS233" s="45">
        <v>8</v>
      </c>
      <c r="BT233" s="44">
        <v>11.17</v>
      </c>
      <c r="BU233" s="45">
        <v>10.77</v>
      </c>
      <c r="BV233" s="46">
        <v>10.969999999999999</v>
      </c>
      <c r="BW233" s="44">
        <v>2.78</v>
      </c>
      <c r="BX233" s="50">
        <v>2.5</v>
      </c>
      <c r="BY233" s="51">
        <v>2.6399999999999997</v>
      </c>
      <c r="BZ233" s="44">
        <v>9.7799999999999994</v>
      </c>
      <c r="CA233" s="45">
        <v>6.7799999999999994</v>
      </c>
      <c r="CB233" s="46">
        <v>8.2799999999999994</v>
      </c>
      <c r="CC233" s="44">
        <v>6.61</v>
      </c>
      <c r="CD233" s="45">
        <v>6.37</v>
      </c>
      <c r="CE233" s="46">
        <v>6.49</v>
      </c>
      <c r="CF233" s="44">
        <v>1.93</v>
      </c>
      <c r="CG233" s="45">
        <v>1.43</v>
      </c>
      <c r="CH233" s="46">
        <v>1.68</v>
      </c>
      <c r="CI233" s="44">
        <v>0.43</v>
      </c>
      <c r="CJ233" s="45">
        <v>0.39</v>
      </c>
      <c r="CK233" s="46">
        <v>0.41000000000000003</v>
      </c>
      <c r="CL233" s="44">
        <v>39.39</v>
      </c>
      <c r="CM233">
        <v>36.99</v>
      </c>
      <c r="CN233">
        <v>38.19</v>
      </c>
      <c r="CO233">
        <v>6.93</v>
      </c>
      <c r="CP233">
        <v>1.9299999999999997</v>
      </c>
      <c r="CQ233">
        <v>4.43</v>
      </c>
    </row>
    <row r="234" spans="1:95">
      <c r="A234" s="223">
        <v>45521</v>
      </c>
      <c r="B234" s="90" t="s">
        <v>307</v>
      </c>
      <c r="C234" s="44"/>
      <c r="D234" s="45"/>
      <c r="E234" s="46"/>
      <c r="F234" s="44"/>
      <c r="G234" s="45"/>
      <c r="H234" s="46"/>
      <c r="I234" s="44"/>
      <c r="J234" s="45"/>
      <c r="K234" s="46"/>
      <c r="L234" s="45"/>
      <c r="M234" s="45"/>
      <c r="N234" s="45"/>
      <c r="O234" s="44"/>
      <c r="P234" s="45"/>
      <c r="Q234" s="46"/>
      <c r="R234" s="45"/>
      <c r="S234" s="45"/>
      <c r="T234" s="45"/>
      <c r="U234" s="44"/>
      <c r="V234" s="45"/>
      <c r="W234" s="46"/>
      <c r="X234" s="44"/>
      <c r="Y234" s="45"/>
      <c r="Z234" s="46"/>
      <c r="AA234" s="44"/>
      <c r="AB234" s="45"/>
      <c r="AC234" s="46"/>
      <c r="AD234" s="44"/>
      <c r="AE234" s="45"/>
      <c r="AF234" s="46"/>
      <c r="AG234" s="45"/>
      <c r="AH234" s="45"/>
      <c r="AI234" s="45"/>
      <c r="AJ234" s="47"/>
      <c r="AK234" s="48"/>
      <c r="AL234" s="49"/>
      <c r="AM234" s="45"/>
      <c r="AN234" s="45"/>
      <c r="AO234" s="45"/>
      <c r="AP234" s="44"/>
      <c r="AQ234" s="45"/>
      <c r="AR234" s="46"/>
      <c r="AS234" s="45"/>
      <c r="AT234" s="45"/>
      <c r="AU234" s="45"/>
      <c r="AV234" s="44"/>
      <c r="AW234" s="45"/>
      <c r="AX234" s="46"/>
      <c r="AY234" s="44"/>
      <c r="AZ234" s="45"/>
      <c r="BA234" s="46"/>
      <c r="BB234" s="44"/>
      <c r="BC234" s="50"/>
      <c r="BD234" s="51"/>
      <c r="BE234" s="45"/>
      <c r="BF234" s="50"/>
      <c r="BG234" s="50"/>
      <c r="BH234" s="44"/>
      <c r="BI234" s="45"/>
      <c r="BJ234" s="46"/>
      <c r="BK234" s="45"/>
      <c r="BL234" s="45"/>
      <c r="BM234" s="45"/>
      <c r="BN234" s="52"/>
      <c r="BO234" s="50"/>
      <c r="BP234" s="51"/>
      <c r="BQ234" s="45"/>
      <c r="BR234" s="45"/>
      <c r="BS234" s="45"/>
      <c r="BT234" s="44"/>
      <c r="BU234" s="45"/>
      <c r="BV234" s="46"/>
      <c r="BW234" s="44"/>
      <c r="BX234" s="50"/>
      <c r="BY234" s="51"/>
      <c r="BZ234" s="44"/>
      <c r="CA234" s="45"/>
      <c r="CB234" s="46"/>
      <c r="CC234" s="44"/>
      <c r="CD234" s="45"/>
      <c r="CE234" s="46"/>
      <c r="CF234" s="44"/>
      <c r="CG234" s="45"/>
      <c r="CH234" s="46"/>
      <c r="CI234" s="44"/>
      <c r="CJ234" s="45"/>
      <c r="CK234" s="46"/>
      <c r="CL234" s="44"/>
    </row>
    <row r="235" spans="1:95">
      <c r="A235" s="223">
        <v>45522</v>
      </c>
      <c r="B235" s="90" t="s">
        <v>308</v>
      </c>
      <c r="C235" s="44"/>
      <c r="D235" s="45"/>
      <c r="E235" s="46"/>
      <c r="F235" s="44"/>
      <c r="G235" s="45"/>
      <c r="H235" s="46"/>
      <c r="I235" s="44"/>
      <c r="J235" s="45"/>
      <c r="K235" s="46"/>
      <c r="L235" s="45"/>
      <c r="M235" s="45"/>
      <c r="N235" s="45"/>
      <c r="O235" s="44"/>
      <c r="P235" s="45"/>
      <c r="Q235" s="46"/>
      <c r="R235" s="45"/>
      <c r="S235" s="45"/>
      <c r="T235" s="45"/>
      <c r="U235" s="44"/>
      <c r="V235" s="45"/>
      <c r="W235" s="46"/>
      <c r="X235" s="44"/>
      <c r="Y235" s="45"/>
      <c r="Z235" s="46"/>
      <c r="AA235" s="44"/>
      <c r="AB235" s="45"/>
      <c r="AC235" s="46"/>
      <c r="AD235" s="44"/>
      <c r="AE235" s="45"/>
      <c r="AF235" s="46"/>
      <c r="AG235" s="45"/>
      <c r="AH235" s="45"/>
      <c r="AI235" s="45"/>
      <c r="AJ235" s="47"/>
      <c r="AK235" s="48"/>
      <c r="AL235" s="49"/>
      <c r="AM235" s="45"/>
      <c r="AN235" s="45"/>
      <c r="AO235" s="45"/>
      <c r="AP235" s="44"/>
      <c r="AQ235" s="45"/>
      <c r="AR235" s="46"/>
      <c r="AS235" s="45"/>
      <c r="AT235" s="45"/>
      <c r="AU235" s="45"/>
      <c r="AV235" s="44"/>
      <c r="AW235" s="45"/>
      <c r="AX235" s="46"/>
      <c r="AY235" s="44"/>
      <c r="AZ235" s="45"/>
      <c r="BA235" s="46"/>
      <c r="BB235" s="44"/>
      <c r="BC235" s="50"/>
      <c r="BD235" s="51"/>
      <c r="BE235" s="45"/>
      <c r="BF235" s="50"/>
      <c r="BG235" s="50"/>
      <c r="BH235" s="44"/>
      <c r="BI235" s="45"/>
      <c r="BJ235" s="46"/>
      <c r="BK235" s="45"/>
      <c r="BL235" s="45"/>
      <c r="BM235" s="45"/>
      <c r="BN235" s="52"/>
      <c r="BO235" s="50"/>
      <c r="BP235" s="51"/>
      <c r="BQ235" s="45"/>
      <c r="BR235" s="45"/>
      <c r="BS235" s="45"/>
      <c r="BT235" s="44"/>
      <c r="BU235" s="45"/>
      <c r="BV235" s="46"/>
      <c r="BW235" s="44"/>
      <c r="BX235" s="50"/>
      <c r="BY235" s="51"/>
      <c r="BZ235" s="44"/>
      <c r="CA235" s="45"/>
      <c r="CB235" s="46"/>
      <c r="CC235" s="44"/>
      <c r="CD235" s="45"/>
      <c r="CE235" s="46"/>
      <c r="CF235" s="44"/>
      <c r="CG235" s="45"/>
      <c r="CH235" s="46"/>
      <c r="CI235" s="44"/>
      <c r="CJ235" s="45"/>
      <c r="CK235" s="46"/>
      <c r="CL235" s="44"/>
    </row>
    <row r="236" spans="1:95">
      <c r="A236" s="223">
        <v>45523</v>
      </c>
      <c r="B236" s="90" t="s">
        <v>96</v>
      </c>
      <c r="C236" s="44">
        <v>148.93</v>
      </c>
      <c r="D236" s="45">
        <v>146.93</v>
      </c>
      <c r="E236" s="46">
        <v>147.93</v>
      </c>
      <c r="F236" s="44">
        <v>164.65</v>
      </c>
      <c r="G236" s="45">
        <v>161.65</v>
      </c>
      <c r="H236" s="46">
        <v>163.15</v>
      </c>
      <c r="I236" s="44">
        <v>109.82</v>
      </c>
      <c r="J236" s="45">
        <v>106.61999999999999</v>
      </c>
      <c r="K236" s="46">
        <v>108.22</v>
      </c>
      <c r="L236" s="45">
        <v>195.47</v>
      </c>
      <c r="M236" s="45">
        <v>187.47</v>
      </c>
      <c r="N236" s="45">
        <v>191.47</v>
      </c>
      <c r="O236" s="44">
        <v>171.52</v>
      </c>
      <c r="P236" s="45">
        <v>169.72</v>
      </c>
      <c r="Q236" s="46">
        <v>170.62</v>
      </c>
      <c r="R236" s="45">
        <v>22.17</v>
      </c>
      <c r="S236" s="45">
        <v>21.57</v>
      </c>
      <c r="T236" s="45">
        <v>21.87</v>
      </c>
      <c r="U236" s="44">
        <v>14.13</v>
      </c>
      <c r="V236" s="45">
        <v>13.530000000000001</v>
      </c>
      <c r="W236" s="46">
        <v>13.830000000000002</v>
      </c>
      <c r="X236" s="44">
        <v>14.58</v>
      </c>
      <c r="Y236" s="45">
        <v>13.78</v>
      </c>
      <c r="Z236" s="46">
        <v>14.18</v>
      </c>
      <c r="AA236" s="44">
        <v>100.85</v>
      </c>
      <c r="AB236" s="45">
        <v>96.85</v>
      </c>
      <c r="AC236" s="46">
        <v>98.85</v>
      </c>
      <c r="AD236" s="44">
        <v>91.65</v>
      </c>
      <c r="AE236" s="45">
        <v>87.65</v>
      </c>
      <c r="AF236" s="46">
        <v>89.65</v>
      </c>
      <c r="AG236" s="45">
        <v>19.41</v>
      </c>
      <c r="AH236" s="45">
        <v>18.55</v>
      </c>
      <c r="AI236" s="45">
        <v>18.98</v>
      </c>
      <c r="AJ236" s="47"/>
      <c r="AK236" s="48"/>
      <c r="AL236" s="49"/>
      <c r="AM236" s="45">
        <v>113.35</v>
      </c>
      <c r="AN236" s="45">
        <v>111.69</v>
      </c>
      <c r="AO236" s="45">
        <v>112.52</v>
      </c>
      <c r="AP236" s="44">
        <v>40.299999999999997</v>
      </c>
      <c r="AQ236" s="45">
        <v>38.699999999999996</v>
      </c>
      <c r="AR236" s="46">
        <v>39.5</v>
      </c>
      <c r="AS236" s="45">
        <v>41.02</v>
      </c>
      <c r="AT236" s="45">
        <v>39.660000000000004</v>
      </c>
      <c r="AU236" s="45">
        <v>40.340000000000003</v>
      </c>
      <c r="AV236" s="44">
        <v>20.96</v>
      </c>
      <c r="AW236" s="45">
        <v>20.36</v>
      </c>
      <c r="AX236" s="46">
        <v>20.66</v>
      </c>
      <c r="AY236" s="44">
        <v>4.37</v>
      </c>
      <c r="AZ236" s="45">
        <v>4.21</v>
      </c>
      <c r="BA236" s="46">
        <v>4.29</v>
      </c>
      <c r="BB236" s="44">
        <v>1.92</v>
      </c>
      <c r="BC236" s="50">
        <v>1.6199999999999999</v>
      </c>
      <c r="BD236" s="51">
        <v>1.77</v>
      </c>
      <c r="BE236" s="45">
        <v>0.68</v>
      </c>
      <c r="BF236" s="50">
        <v>0.38000000000000006</v>
      </c>
      <c r="BG236" s="50">
        <v>0.53</v>
      </c>
      <c r="BH236" s="44">
        <v>491.43</v>
      </c>
      <c r="BI236" s="45">
        <v>475.43</v>
      </c>
      <c r="BJ236" s="46">
        <v>483.43</v>
      </c>
      <c r="BK236" s="45">
        <v>41.31</v>
      </c>
      <c r="BL236" s="45">
        <v>39.950000000000003</v>
      </c>
      <c r="BM236" s="45">
        <v>40.630000000000003</v>
      </c>
      <c r="BN236" s="52">
        <v>1.07</v>
      </c>
      <c r="BO236" s="50">
        <v>0.83000000000000007</v>
      </c>
      <c r="BP236" s="51">
        <v>0.95000000000000007</v>
      </c>
      <c r="BQ236" s="45">
        <v>8.94</v>
      </c>
      <c r="BR236" s="45">
        <v>6.9399999999999995</v>
      </c>
      <c r="BS236" s="45">
        <v>7.9399999999999995</v>
      </c>
      <c r="BT236" s="44">
        <v>11.21</v>
      </c>
      <c r="BU236" s="45">
        <v>10.81</v>
      </c>
      <c r="BV236" s="46">
        <v>11.010000000000002</v>
      </c>
      <c r="BW236" s="44">
        <v>2.74</v>
      </c>
      <c r="BX236" s="50">
        <v>2.46</v>
      </c>
      <c r="BY236" s="51">
        <v>2.6</v>
      </c>
      <c r="BZ236" s="44">
        <v>9.7799999999999994</v>
      </c>
      <c r="CA236" s="45">
        <v>6.7799999999999994</v>
      </c>
      <c r="CB236" s="46">
        <v>8.2799999999999994</v>
      </c>
      <c r="CC236" s="44">
        <v>6.6</v>
      </c>
      <c r="CD236" s="45">
        <v>6.3599999999999994</v>
      </c>
      <c r="CE236" s="46">
        <v>6.4799999999999995</v>
      </c>
      <c r="CF236" s="44">
        <v>1.9</v>
      </c>
      <c r="CG236" s="45">
        <v>1.4</v>
      </c>
      <c r="CH236" s="46">
        <v>1.65</v>
      </c>
      <c r="CI236" s="44">
        <v>0.43</v>
      </c>
      <c r="CJ236" s="45">
        <v>0.39</v>
      </c>
      <c r="CK236" s="46">
        <v>0.41000000000000003</v>
      </c>
      <c r="CL236" s="44">
        <v>39.42</v>
      </c>
      <c r="CM236">
        <v>37.020000000000003</v>
      </c>
      <c r="CN236">
        <v>38.22</v>
      </c>
      <c r="CO236">
        <v>6.9</v>
      </c>
      <c r="CP236">
        <v>1.9000000000000004</v>
      </c>
      <c r="CQ236">
        <v>4.4000000000000004</v>
      </c>
    </row>
    <row r="237" spans="1:95">
      <c r="A237" s="223">
        <v>45524</v>
      </c>
      <c r="B237" s="90" t="s">
        <v>97</v>
      </c>
      <c r="C237" s="101">
        <v>147.44999999999999</v>
      </c>
      <c r="D237" s="102">
        <v>145.44999999999999</v>
      </c>
      <c r="E237" s="103">
        <v>146.44999999999999</v>
      </c>
      <c r="F237" s="101">
        <v>163.81</v>
      </c>
      <c r="G237" s="102">
        <v>160.81</v>
      </c>
      <c r="H237" s="103">
        <v>162.31</v>
      </c>
      <c r="I237" s="101">
        <v>109</v>
      </c>
      <c r="J237" s="102">
        <v>105.8</v>
      </c>
      <c r="K237" s="103">
        <v>107.4</v>
      </c>
      <c r="L237" s="102">
        <v>194.17</v>
      </c>
      <c r="M237" s="102">
        <v>186.17</v>
      </c>
      <c r="N237" s="102">
        <v>190.17</v>
      </c>
      <c r="O237" s="101">
        <v>170.76</v>
      </c>
      <c r="P237" s="102">
        <v>168.95999999999998</v>
      </c>
      <c r="Q237" s="103">
        <v>169.85999999999999</v>
      </c>
      <c r="R237" s="102">
        <v>22.05</v>
      </c>
      <c r="S237" s="102">
        <v>21.45</v>
      </c>
      <c r="T237" s="102">
        <v>21.75</v>
      </c>
      <c r="U237" s="101">
        <v>14.19</v>
      </c>
      <c r="V237" s="102">
        <v>13.59</v>
      </c>
      <c r="W237" s="103">
        <v>13.89</v>
      </c>
      <c r="X237" s="101">
        <v>14.62</v>
      </c>
      <c r="Y237" s="102">
        <v>13.819999999999999</v>
      </c>
      <c r="Z237" s="103">
        <v>14.219999999999999</v>
      </c>
      <c r="AA237" s="101">
        <v>100.49</v>
      </c>
      <c r="AB237" s="102">
        <v>96.49</v>
      </c>
      <c r="AC237" s="103">
        <v>98.49</v>
      </c>
      <c r="AD237" s="101">
        <v>91.6</v>
      </c>
      <c r="AE237" s="102">
        <v>87.6</v>
      </c>
      <c r="AF237" s="103">
        <v>89.6</v>
      </c>
      <c r="AG237" s="102">
        <v>19.239999999999998</v>
      </c>
      <c r="AH237" s="102">
        <v>18.38</v>
      </c>
      <c r="AI237" s="102">
        <v>18.809999999999999</v>
      </c>
      <c r="AJ237" s="104"/>
      <c r="AK237" s="105"/>
      <c r="AL237" s="106"/>
      <c r="AM237" s="102">
        <v>112.78</v>
      </c>
      <c r="AN237" s="102">
        <v>111.12</v>
      </c>
      <c r="AO237" s="102">
        <v>111.95</v>
      </c>
      <c r="AP237" s="101">
        <v>39.9</v>
      </c>
      <c r="AQ237" s="102">
        <v>38.299999999999997</v>
      </c>
      <c r="AR237" s="103">
        <v>39.099999999999994</v>
      </c>
      <c r="AS237" s="102">
        <v>40.619999999999997</v>
      </c>
      <c r="AT237" s="102">
        <v>39.26</v>
      </c>
      <c r="AU237" s="102">
        <v>39.94</v>
      </c>
      <c r="AV237" s="101">
        <v>20.84</v>
      </c>
      <c r="AW237" s="102">
        <v>20.239999999999998</v>
      </c>
      <c r="AX237" s="103">
        <v>20.54</v>
      </c>
      <c r="AY237" s="44">
        <v>4.3499999999999996</v>
      </c>
      <c r="AZ237" s="45">
        <v>4.1899999999999995</v>
      </c>
      <c r="BA237" s="46">
        <v>4.2699999999999996</v>
      </c>
      <c r="BB237" s="44">
        <v>1.91</v>
      </c>
      <c r="BC237" s="50">
        <v>1.6099999999999999</v>
      </c>
      <c r="BD237" s="51">
        <v>1.7599999999999998</v>
      </c>
      <c r="BE237" s="45">
        <v>0.68</v>
      </c>
      <c r="BF237" s="50">
        <v>0.38000000000000006</v>
      </c>
      <c r="BG237" s="50">
        <v>0.53</v>
      </c>
      <c r="BH237" s="44">
        <v>486.28</v>
      </c>
      <c r="BI237" s="45">
        <v>470.28</v>
      </c>
      <c r="BJ237" s="46">
        <v>478.28</v>
      </c>
      <c r="BK237" s="45">
        <v>40.9</v>
      </c>
      <c r="BL237" s="45">
        <v>39.54</v>
      </c>
      <c r="BM237" s="45">
        <v>40.22</v>
      </c>
      <c r="BN237" s="52">
        <v>1.07</v>
      </c>
      <c r="BO237" s="50">
        <v>0.83000000000000007</v>
      </c>
      <c r="BP237" s="51">
        <v>0.95000000000000007</v>
      </c>
      <c r="BQ237" s="45">
        <v>8.84</v>
      </c>
      <c r="BR237" s="45">
        <v>6.84</v>
      </c>
      <c r="BS237" s="45">
        <v>7.84</v>
      </c>
      <c r="BT237" s="44">
        <v>11.2</v>
      </c>
      <c r="BU237" s="45">
        <v>10.799999999999999</v>
      </c>
      <c r="BV237" s="46">
        <v>11</v>
      </c>
      <c r="BW237" s="44">
        <v>2.74</v>
      </c>
      <c r="BX237" s="50">
        <v>2.46</v>
      </c>
      <c r="BY237" s="51">
        <v>2.6</v>
      </c>
      <c r="BZ237" s="44">
        <v>9.76</v>
      </c>
      <c r="CA237" s="45">
        <v>6.76</v>
      </c>
      <c r="CB237" s="46">
        <v>8.26</v>
      </c>
      <c r="CC237" s="44">
        <v>6.58</v>
      </c>
      <c r="CD237" s="45">
        <v>6.34</v>
      </c>
      <c r="CE237" s="46">
        <v>6.46</v>
      </c>
      <c r="CF237" s="44">
        <v>1.88</v>
      </c>
      <c r="CG237" s="45">
        <v>1.38</v>
      </c>
      <c r="CH237" s="46">
        <v>1.63</v>
      </c>
      <c r="CI237" s="44">
        <v>0.43</v>
      </c>
      <c r="CJ237" s="45">
        <v>0.39</v>
      </c>
      <c r="CK237" s="46">
        <v>0.41000000000000003</v>
      </c>
      <c r="CL237" s="44">
        <v>39.229999999999997</v>
      </c>
      <c r="CM237">
        <v>36.83</v>
      </c>
      <c r="CN237">
        <v>38.03</v>
      </c>
      <c r="CO237">
        <v>6.84</v>
      </c>
      <c r="CP237">
        <v>1.8399999999999999</v>
      </c>
      <c r="CQ237">
        <v>4.34</v>
      </c>
    </row>
    <row r="238" spans="1:95">
      <c r="A238" s="223">
        <v>45525</v>
      </c>
      <c r="B238" s="90" t="s">
        <v>98</v>
      </c>
      <c r="C238" s="44">
        <v>146.6</v>
      </c>
      <c r="D238" s="45">
        <v>144.6</v>
      </c>
      <c r="E238" s="46">
        <v>145.6</v>
      </c>
      <c r="F238" s="44">
        <v>163.47999999999999</v>
      </c>
      <c r="G238" s="45">
        <v>160.47999999999999</v>
      </c>
      <c r="H238" s="46">
        <v>161.97999999999999</v>
      </c>
      <c r="I238" s="44">
        <v>108.52</v>
      </c>
      <c r="J238" s="45">
        <v>105.32</v>
      </c>
      <c r="K238" s="46">
        <v>106.91999999999999</v>
      </c>
      <c r="L238" s="45">
        <v>193.78</v>
      </c>
      <c r="M238" s="45">
        <v>185.78</v>
      </c>
      <c r="N238" s="45">
        <v>189.78</v>
      </c>
      <c r="O238" s="44">
        <v>171.41</v>
      </c>
      <c r="P238" s="45">
        <v>169.60999999999999</v>
      </c>
      <c r="Q238" s="46">
        <v>170.51</v>
      </c>
      <c r="R238" s="45">
        <v>22.01</v>
      </c>
      <c r="S238" s="45">
        <v>21.41</v>
      </c>
      <c r="T238" s="45">
        <v>21.71</v>
      </c>
      <c r="U238" s="44">
        <v>14.18</v>
      </c>
      <c r="V238" s="45">
        <v>13.58</v>
      </c>
      <c r="W238" s="46">
        <v>13.879999999999999</v>
      </c>
      <c r="X238" s="44">
        <v>14.68</v>
      </c>
      <c r="Y238" s="45">
        <v>13.879999999999999</v>
      </c>
      <c r="Z238" s="46">
        <v>14.28</v>
      </c>
      <c r="AA238" s="44">
        <v>100.27</v>
      </c>
      <c r="AB238" s="45">
        <v>96.27</v>
      </c>
      <c r="AC238" s="46">
        <v>98.27</v>
      </c>
      <c r="AD238" s="44">
        <v>91.69</v>
      </c>
      <c r="AE238" s="45">
        <v>87.69</v>
      </c>
      <c r="AF238" s="46">
        <v>89.69</v>
      </c>
      <c r="AG238" s="45">
        <v>19.12</v>
      </c>
      <c r="AH238" s="45">
        <v>18.260000000000002</v>
      </c>
      <c r="AI238" s="45">
        <v>18.690000000000001</v>
      </c>
      <c r="AJ238" s="47"/>
      <c r="AK238" s="48"/>
      <c r="AL238" s="49"/>
      <c r="AM238" s="45">
        <v>112.4</v>
      </c>
      <c r="AN238" s="45">
        <v>110.74000000000001</v>
      </c>
      <c r="AO238" s="45">
        <v>111.57000000000001</v>
      </c>
      <c r="AP238" s="44">
        <v>39.67</v>
      </c>
      <c r="AQ238" s="45">
        <v>38.07</v>
      </c>
      <c r="AR238" s="46">
        <v>38.870000000000005</v>
      </c>
      <c r="AS238" s="45">
        <v>40.39</v>
      </c>
      <c r="AT238" s="45">
        <v>39.03</v>
      </c>
      <c r="AU238" s="45">
        <v>39.71</v>
      </c>
      <c r="AV238" s="44">
        <v>20.74</v>
      </c>
      <c r="AW238" s="45">
        <v>20.139999999999997</v>
      </c>
      <c r="AX238" s="46">
        <v>20.439999999999998</v>
      </c>
      <c r="AY238" s="44">
        <v>4.3499999999999996</v>
      </c>
      <c r="AZ238" s="45">
        <v>4.1899999999999995</v>
      </c>
      <c r="BA238" s="46">
        <v>4.2699999999999996</v>
      </c>
      <c r="BB238" s="44">
        <v>1.9</v>
      </c>
      <c r="BC238" s="50">
        <v>1.5999999999999999</v>
      </c>
      <c r="BD238" s="51">
        <v>1.75</v>
      </c>
      <c r="BE238" s="45">
        <v>0.68</v>
      </c>
      <c r="BF238" s="50">
        <v>0.38000000000000006</v>
      </c>
      <c r="BG238" s="50">
        <v>0.53</v>
      </c>
      <c r="BH238" s="44">
        <v>484.28</v>
      </c>
      <c r="BI238" s="45">
        <v>468.28</v>
      </c>
      <c r="BJ238" s="46">
        <v>476.28</v>
      </c>
      <c r="BK238" s="45">
        <v>40.67</v>
      </c>
      <c r="BL238" s="45">
        <v>39.31</v>
      </c>
      <c r="BM238" s="45">
        <v>39.99</v>
      </c>
      <c r="BN238" s="52">
        <v>1.07</v>
      </c>
      <c r="BO238" s="50">
        <v>0.83000000000000007</v>
      </c>
      <c r="BP238" s="51">
        <v>0.95000000000000007</v>
      </c>
      <c r="BQ238" s="45">
        <v>8.66</v>
      </c>
      <c r="BR238" s="45">
        <v>6.66</v>
      </c>
      <c r="BS238" s="45">
        <v>7.66</v>
      </c>
      <c r="BT238" s="44">
        <v>11.17</v>
      </c>
      <c r="BU238" s="45">
        <v>10.77</v>
      </c>
      <c r="BV238" s="46">
        <v>10.969999999999999</v>
      </c>
      <c r="BW238" s="44">
        <v>2.73</v>
      </c>
      <c r="BX238" s="50">
        <v>2.4500000000000002</v>
      </c>
      <c r="BY238" s="51">
        <v>2.59</v>
      </c>
      <c r="BZ238" s="44">
        <v>9.68</v>
      </c>
      <c r="CA238" s="45">
        <v>6.68</v>
      </c>
      <c r="CB238" s="46">
        <v>8.18</v>
      </c>
      <c r="CC238" s="44">
        <v>6.57</v>
      </c>
      <c r="CD238" s="45">
        <v>6.33</v>
      </c>
      <c r="CE238" s="46">
        <v>6.45</v>
      </c>
      <c r="CF238" s="44">
        <v>1.85</v>
      </c>
      <c r="CG238" s="45">
        <v>1.35</v>
      </c>
      <c r="CH238" s="46">
        <v>1.6</v>
      </c>
      <c r="CI238" s="44">
        <v>0.43</v>
      </c>
      <c r="CJ238" s="45">
        <v>0.39</v>
      </c>
      <c r="CK238" s="46">
        <v>0.41000000000000003</v>
      </c>
      <c r="CL238" s="44">
        <v>39.11</v>
      </c>
      <c r="CM238">
        <v>36.71</v>
      </c>
      <c r="CN238">
        <v>37.909999999999997</v>
      </c>
      <c r="CO238">
        <v>6.8</v>
      </c>
      <c r="CP238">
        <v>1.7999999999999998</v>
      </c>
      <c r="CQ238">
        <v>4.3</v>
      </c>
    </row>
    <row r="239" spans="1:95">
      <c r="A239" s="223">
        <v>45526</v>
      </c>
      <c r="B239" s="90" t="s">
        <v>99</v>
      </c>
      <c r="C239" s="44">
        <v>146.41</v>
      </c>
      <c r="D239" s="45">
        <v>144.41</v>
      </c>
      <c r="E239" s="46">
        <v>145.41</v>
      </c>
      <c r="F239" s="44">
        <v>163.57</v>
      </c>
      <c r="G239" s="45">
        <v>160.57</v>
      </c>
      <c r="H239" s="46">
        <v>162.07</v>
      </c>
      <c r="I239" s="44">
        <v>108.65</v>
      </c>
      <c r="J239" s="45">
        <v>105.45</v>
      </c>
      <c r="K239" s="46">
        <v>107.05000000000001</v>
      </c>
      <c r="L239" s="45">
        <v>194.33</v>
      </c>
      <c r="M239" s="45">
        <v>186.33</v>
      </c>
      <c r="N239" s="45">
        <v>190.33</v>
      </c>
      <c r="O239" s="44">
        <v>171.55</v>
      </c>
      <c r="P239" s="45">
        <v>169.75</v>
      </c>
      <c r="Q239" s="46">
        <v>170.65</v>
      </c>
      <c r="R239" s="45">
        <v>22.02</v>
      </c>
      <c r="S239" s="45">
        <v>21.419999999999998</v>
      </c>
      <c r="T239" s="45">
        <v>21.72</v>
      </c>
      <c r="U239" s="44">
        <v>14.13</v>
      </c>
      <c r="V239" s="45">
        <v>13.530000000000001</v>
      </c>
      <c r="W239" s="46">
        <v>13.830000000000002</v>
      </c>
      <c r="X239" s="44">
        <v>14.65</v>
      </c>
      <c r="Y239" s="45">
        <v>13.85</v>
      </c>
      <c r="Z239" s="46">
        <v>14.25</v>
      </c>
      <c r="AA239" s="44">
        <v>100.08</v>
      </c>
      <c r="AB239" s="45">
        <v>96.08</v>
      </c>
      <c r="AC239" s="46">
        <v>98.08</v>
      </c>
      <c r="AD239" s="44">
        <v>91.51</v>
      </c>
      <c r="AE239" s="45">
        <v>87.51</v>
      </c>
      <c r="AF239" s="46">
        <v>89.51</v>
      </c>
      <c r="AG239" s="45">
        <v>19.09</v>
      </c>
      <c r="AH239" s="45">
        <v>18.23</v>
      </c>
      <c r="AI239" s="45">
        <v>18.66</v>
      </c>
      <c r="AJ239" s="47"/>
      <c r="AK239" s="48"/>
      <c r="AL239" s="49"/>
      <c r="AM239" s="45">
        <v>112.2</v>
      </c>
      <c r="AN239" s="45">
        <v>110.54</v>
      </c>
      <c r="AO239" s="45">
        <v>111.37</v>
      </c>
      <c r="AP239" s="44">
        <v>39.619999999999997</v>
      </c>
      <c r="AQ239" s="45">
        <v>38.019999999999996</v>
      </c>
      <c r="AR239" s="46">
        <v>38.819999999999993</v>
      </c>
      <c r="AS239" s="45">
        <v>40.33</v>
      </c>
      <c r="AT239" s="45">
        <v>38.97</v>
      </c>
      <c r="AU239" s="45">
        <v>39.65</v>
      </c>
      <c r="AV239" s="44">
        <v>20.69</v>
      </c>
      <c r="AW239" s="45">
        <v>20.09</v>
      </c>
      <c r="AX239" s="46">
        <v>20.39</v>
      </c>
      <c r="AY239" s="44">
        <v>4.33</v>
      </c>
      <c r="AZ239" s="45">
        <v>4.17</v>
      </c>
      <c r="BA239" s="46">
        <v>4.25</v>
      </c>
      <c r="BB239" s="44">
        <v>1.89</v>
      </c>
      <c r="BC239" s="50">
        <v>1.5899999999999999</v>
      </c>
      <c r="BD239" s="51">
        <v>1.7399999999999998</v>
      </c>
      <c r="BE239" s="45">
        <v>0.68</v>
      </c>
      <c r="BF239" s="50">
        <v>0.38000000000000006</v>
      </c>
      <c r="BG239" s="50">
        <v>0.53</v>
      </c>
      <c r="BH239" s="44">
        <v>485.07</v>
      </c>
      <c r="BI239" s="45">
        <v>469.07</v>
      </c>
      <c r="BJ239" s="46">
        <v>477.07</v>
      </c>
      <c r="BK239" s="45">
        <v>40.630000000000003</v>
      </c>
      <c r="BL239" s="45">
        <v>39.270000000000003</v>
      </c>
      <c r="BM239" s="45">
        <v>39.950000000000003</v>
      </c>
      <c r="BN239" s="52">
        <v>1.06</v>
      </c>
      <c r="BO239" s="50">
        <v>0.82000000000000006</v>
      </c>
      <c r="BP239" s="51">
        <v>0.94000000000000006</v>
      </c>
      <c r="BQ239" s="45">
        <v>8.5399999999999991</v>
      </c>
      <c r="BR239" s="45">
        <v>6.5399999999999991</v>
      </c>
      <c r="BS239" s="45">
        <v>7.5399999999999991</v>
      </c>
      <c r="BT239" s="44">
        <v>11.13</v>
      </c>
      <c r="BU239" s="45">
        <v>10.73</v>
      </c>
      <c r="BV239" s="46">
        <v>10.93</v>
      </c>
      <c r="BW239" s="44">
        <v>2.73</v>
      </c>
      <c r="BX239" s="50">
        <v>2.4500000000000002</v>
      </c>
      <c r="BY239" s="51">
        <v>2.59</v>
      </c>
      <c r="BZ239" s="44">
        <v>9.64</v>
      </c>
      <c r="CA239" s="45">
        <v>6.6400000000000006</v>
      </c>
      <c r="CB239" s="46">
        <v>8.14</v>
      </c>
      <c r="CC239" s="44">
        <v>6.58</v>
      </c>
      <c r="CD239" s="45">
        <v>6.34</v>
      </c>
      <c r="CE239" s="46">
        <v>6.46</v>
      </c>
      <c r="CF239" s="44">
        <v>1.84</v>
      </c>
      <c r="CG239" s="45">
        <v>1.34</v>
      </c>
      <c r="CH239" s="46">
        <v>1.59</v>
      </c>
      <c r="CI239" s="44">
        <v>0.43</v>
      </c>
      <c r="CJ239" s="45">
        <v>0.39</v>
      </c>
      <c r="CK239" s="46">
        <v>0.41000000000000003</v>
      </c>
      <c r="CL239" s="44">
        <v>39.119999999999997</v>
      </c>
      <c r="CM239">
        <v>36.72</v>
      </c>
      <c r="CN239">
        <v>37.92</v>
      </c>
      <c r="CO239">
        <v>6.79</v>
      </c>
      <c r="CP239">
        <v>1.79</v>
      </c>
      <c r="CQ239">
        <v>4.29</v>
      </c>
    </row>
    <row r="240" spans="1:95">
      <c r="A240" s="223">
        <v>45527</v>
      </c>
      <c r="B240" s="90" t="s">
        <v>100</v>
      </c>
      <c r="C240" s="44">
        <v>147.27000000000001</v>
      </c>
      <c r="D240" s="45">
        <v>145.27000000000001</v>
      </c>
      <c r="E240" s="46">
        <v>146.27000000000001</v>
      </c>
      <c r="F240" s="44">
        <v>164.17</v>
      </c>
      <c r="G240" s="45">
        <v>161.16999999999999</v>
      </c>
      <c r="H240" s="46">
        <v>162.66999999999999</v>
      </c>
      <c r="I240" s="44">
        <v>109.12</v>
      </c>
      <c r="J240" s="45">
        <v>105.92</v>
      </c>
      <c r="K240" s="46">
        <v>107.52000000000001</v>
      </c>
      <c r="L240" s="45">
        <v>195.63</v>
      </c>
      <c r="M240" s="45">
        <v>187.63</v>
      </c>
      <c r="N240" s="45">
        <v>191.63</v>
      </c>
      <c r="O240" s="44">
        <v>172.62</v>
      </c>
      <c r="P240" s="45">
        <v>170.82</v>
      </c>
      <c r="Q240" s="46">
        <v>171.72</v>
      </c>
      <c r="R240" s="45">
        <v>22.1</v>
      </c>
      <c r="S240" s="45">
        <v>21.5</v>
      </c>
      <c r="T240" s="45">
        <v>21.8</v>
      </c>
      <c r="U240" s="44">
        <v>14.11</v>
      </c>
      <c r="V240" s="45">
        <v>13.51</v>
      </c>
      <c r="W240" s="46">
        <v>13.809999999999999</v>
      </c>
      <c r="X240" s="44">
        <v>14.7</v>
      </c>
      <c r="Y240" s="45">
        <v>13.899999999999999</v>
      </c>
      <c r="Z240" s="46">
        <v>14.299999999999999</v>
      </c>
      <c r="AA240" s="44">
        <v>100.15</v>
      </c>
      <c r="AB240" s="45">
        <v>96.15</v>
      </c>
      <c r="AC240" s="46">
        <v>98.15</v>
      </c>
      <c r="AD240" s="44">
        <v>91.93</v>
      </c>
      <c r="AE240" s="45">
        <v>87.93</v>
      </c>
      <c r="AF240" s="46">
        <v>89.93</v>
      </c>
      <c r="AG240" s="45">
        <v>19.190000000000001</v>
      </c>
      <c r="AH240" s="45">
        <v>18.330000000000002</v>
      </c>
      <c r="AI240" s="45">
        <v>18.760000000000002</v>
      </c>
      <c r="AJ240" s="47"/>
      <c r="AK240" s="48"/>
      <c r="AL240" s="49"/>
      <c r="AM240" s="45">
        <v>112.5</v>
      </c>
      <c r="AN240" s="45">
        <v>110.84</v>
      </c>
      <c r="AO240" s="45">
        <v>111.67</v>
      </c>
      <c r="AP240" s="44">
        <v>39.85</v>
      </c>
      <c r="AQ240" s="45">
        <v>38.25</v>
      </c>
      <c r="AR240" s="46">
        <v>39.049999999999997</v>
      </c>
      <c r="AS240" s="45">
        <v>40.47</v>
      </c>
      <c r="AT240" s="45">
        <v>39.11</v>
      </c>
      <c r="AU240" s="45">
        <v>39.79</v>
      </c>
      <c r="AV240" s="44">
        <v>20.77</v>
      </c>
      <c r="AW240" s="45">
        <v>20.169999999999998</v>
      </c>
      <c r="AX240" s="46">
        <v>20.47</v>
      </c>
      <c r="AY240" s="44">
        <v>4.33</v>
      </c>
      <c r="AZ240" s="45">
        <v>4.17</v>
      </c>
      <c r="BA240" s="46">
        <v>4.25</v>
      </c>
      <c r="BB240" s="44">
        <v>1.9</v>
      </c>
      <c r="BC240" s="50">
        <v>1.5999999999999999</v>
      </c>
      <c r="BD240" s="51">
        <v>1.75</v>
      </c>
      <c r="BE240" s="45">
        <v>0.68</v>
      </c>
      <c r="BF240" s="50">
        <v>0.38000000000000006</v>
      </c>
      <c r="BG240" s="50">
        <v>0.53</v>
      </c>
      <c r="BH240" s="44">
        <v>487.57</v>
      </c>
      <c r="BI240" s="45">
        <v>471.57</v>
      </c>
      <c r="BJ240" s="46">
        <v>479.57</v>
      </c>
      <c r="BK240" s="45">
        <v>40.880000000000003</v>
      </c>
      <c r="BL240" s="45">
        <v>39.520000000000003</v>
      </c>
      <c r="BM240" s="45">
        <v>40.200000000000003</v>
      </c>
      <c r="BN240" s="52">
        <v>1.06</v>
      </c>
      <c r="BO240" s="50">
        <v>0.82000000000000006</v>
      </c>
      <c r="BP240" s="51">
        <v>0.94000000000000006</v>
      </c>
      <c r="BQ240" s="45">
        <v>8.51</v>
      </c>
      <c r="BR240" s="45">
        <v>6.51</v>
      </c>
      <c r="BS240" s="45">
        <v>7.51</v>
      </c>
      <c r="BT240" s="44">
        <v>11.13</v>
      </c>
      <c r="BU240" s="45">
        <v>10.73</v>
      </c>
      <c r="BV240" s="46">
        <v>10.93</v>
      </c>
      <c r="BW240" s="44">
        <v>2.76</v>
      </c>
      <c r="BX240" s="50">
        <v>2.4799999999999995</v>
      </c>
      <c r="BY240" s="51">
        <v>2.6199999999999997</v>
      </c>
      <c r="BZ240" s="44">
        <v>9.6199999999999992</v>
      </c>
      <c r="CA240" s="45">
        <v>6.6199999999999992</v>
      </c>
      <c r="CB240" s="46">
        <v>8.1199999999999992</v>
      </c>
      <c r="CC240" s="44">
        <v>6.61</v>
      </c>
      <c r="CD240" s="45">
        <v>6.37</v>
      </c>
      <c r="CE240" s="46">
        <v>6.49</v>
      </c>
      <c r="CF240" s="44">
        <v>1.85</v>
      </c>
      <c r="CG240" s="45">
        <v>1.35</v>
      </c>
      <c r="CH240" s="46">
        <v>1.6</v>
      </c>
      <c r="CI240" s="44">
        <v>0.43</v>
      </c>
      <c r="CJ240" s="45">
        <v>0.39</v>
      </c>
      <c r="CK240" s="46">
        <v>0.41000000000000003</v>
      </c>
      <c r="CL240" s="44">
        <v>39.17</v>
      </c>
      <c r="CM240">
        <v>36.770000000000003</v>
      </c>
      <c r="CN240">
        <v>37.97</v>
      </c>
      <c r="CO240">
        <v>6.83</v>
      </c>
      <c r="CP240">
        <v>1.83</v>
      </c>
      <c r="CQ240">
        <v>4.33</v>
      </c>
    </row>
    <row r="241" spans="1:95">
      <c r="A241" s="223">
        <v>45528</v>
      </c>
      <c r="B241" s="90" t="s">
        <v>307</v>
      </c>
      <c r="C241" s="44"/>
      <c r="D241" s="45"/>
      <c r="E241" s="46"/>
      <c r="F241" s="44"/>
      <c r="G241" s="45"/>
      <c r="H241" s="46"/>
      <c r="I241" s="44"/>
      <c r="J241" s="45"/>
      <c r="K241" s="46"/>
      <c r="L241" s="45"/>
      <c r="M241" s="45"/>
      <c r="N241" s="45"/>
      <c r="O241" s="44"/>
      <c r="P241" s="45"/>
      <c r="Q241" s="46"/>
      <c r="R241" s="45"/>
      <c r="S241" s="45"/>
      <c r="T241" s="45"/>
      <c r="U241" s="44"/>
      <c r="V241" s="45"/>
      <c r="W241" s="46"/>
      <c r="X241" s="44"/>
      <c r="Y241" s="45"/>
      <c r="Z241" s="46"/>
      <c r="AA241" s="44"/>
      <c r="AB241" s="45"/>
      <c r="AC241" s="46"/>
      <c r="AD241" s="44"/>
      <c r="AE241" s="45"/>
      <c r="AF241" s="46"/>
      <c r="AG241" s="45"/>
      <c r="AH241" s="45"/>
      <c r="AI241" s="45"/>
      <c r="AJ241" s="47"/>
      <c r="AK241" s="48"/>
      <c r="AL241" s="49"/>
      <c r="AM241" s="45"/>
      <c r="AN241" s="45"/>
      <c r="AO241" s="45"/>
      <c r="AP241" s="44"/>
      <c r="AQ241" s="45"/>
      <c r="AR241" s="46"/>
      <c r="AS241" s="45"/>
      <c r="AT241" s="45"/>
      <c r="AU241" s="45"/>
      <c r="AV241" s="44"/>
      <c r="AW241" s="45"/>
      <c r="AX241" s="46"/>
      <c r="AY241" s="44"/>
      <c r="AZ241" s="45"/>
      <c r="BA241" s="46"/>
      <c r="BB241" s="44"/>
      <c r="BC241" s="50"/>
      <c r="BD241" s="51"/>
      <c r="BE241" s="45"/>
      <c r="BF241" s="50"/>
      <c r="BG241" s="50"/>
      <c r="BH241" s="44"/>
      <c r="BI241" s="45"/>
      <c r="BJ241" s="46"/>
      <c r="BK241" s="45"/>
      <c r="BL241" s="45"/>
      <c r="BM241" s="45"/>
      <c r="BN241" s="52"/>
      <c r="BO241" s="50"/>
      <c r="BP241" s="51"/>
      <c r="BQ241" s="45"/>
      <c r="BR241" s="45"/>
      <c r="BS241" s="45"/>
      <c r="BT241" s="44"/>
      <c r="BU241" s="45"/>
      <c r="BV241" s="46"/>
      <c r="BW241" s="44"/>
      <c r="BX241" s="50"/>
      <c r="BY241" s="51"/>
      <c r="BZ241" s="44"/>
      <c r="CA241" s="45"/>
      <c r="CB241" s="46"/>
      <c r="CC241" s="44"/>
      <c r="CD241" s="45"/>
      <c r="CE241" s="46"/>
      <c r="CF241" s="44"/>
      <c r="CG241" s="45"/>
      <c r="CH241" s="46"/>
      <c r="CI241" s="44"/>
      <c r="CJ241" s="45"/>
      <c r="CK241" s="46"/>
      <c r="CL241" s="44"/>
    </row>
    <row r="242" spans="1:95">
      <c r="A242" s="223">
        <v>45529</v>
      </c>
      <c r="B242" s="90" t="s">
        <v>308</v>
      </c>
      <c r="C242" s="44"/>
      <c r="D242" s="45"/>
      <c r="E242" s="46"/>
      <c r="F242" s="44"/>
      <c r="G242" s="45"/>
      <c r="H242" s="46"/>
      <c r="I242" s="44"/>
      <c r="J242" s="45"/>
      <c r="K242" s="46"/>
      <c r="L242" s="45"/>
      <c r="M242" s="45"/>
      <c r="N242" s="45"/>
      <c r="O242" s="44"/>
      <c r="P242" s="45"/>
      <c r="Q242" s="46"/>
      <c r="R242" s="45"/>
      <c r="S242" s="45"/>
      <c r="T242" s="45"/>
      <c r="U242" s="44"/>
      <c r="V242" s="45"/>
      <c r="W242" s="46"/>
      <c r="X242" s="44"/>
      <c r="Y242" s="45"/>
      <c r="Z242" s="46"/>
      <c r="AA242" s="44"/>
      <c r="AB242" s="45"/>
      <c r="AC242" s="46"/>
      <c r="AD242" s="44"/>
      <c r="AE242" s="45"/>
      <c r="AF242" s="46"/>
      <c r="AG242" s="45"/>
      <c r="AH242" s="45"/>
      <c r="AI242" s="45"/>
      <c r="AJ242" s="47"/>
      <c r="AK242" s="48"/>
      <c r="AL242" s="49"/>
      <c r="AM242" s="45"/>
      <c r="AN242" s="45"/>
      <c r="AO242" s="45"/>
      <c r="AP242" s="44"/>
      <c r="AQ242" s="45"/>
      <c r="AR242" s="46"/>
      <c r="AS242" s="45"/>
      <c r="AT242" s="45"/>
      <c r="AU242" s="45"/>
      <c r="AV242" s="44"/>
      <c r="AW242" s="45"/>
      <c r="AX242" s="46"/>
      <c r="AY242" s="44"/>
      <c r="AZ242" s="45"/>
      <c r="BA242" s="46"/>
      <c r="BB242" s="44"/>
      <c r="BC242" s="50"/>
      <c r="BD242" s="51"/>
      <c r="BE242" s="45"/>
      <c r="BF242" s="50"/>
      <c r="BG242" s="50"/>
      <c r="BH242" s="44"/>
      <c r="BI242" s="45"/>
      <c r="BJ242" s="46"/>
      <c r="BK242" s="45"/>
      <c r="BL242" s="45"/>
      <c r="BM242" s="45"/>
      <c r="BN242" s="52"/>
      <c r="BO242" s="50"/>
      <c r="BP242" s="51"/>
      <c r="BQ242" s="45"/>
      <c r="BR242" s="45"/>
      <c r="BS242" s="45"/>
      <c r="BT242" s="44"/>
      <c r="BU242" s="45"/>
      <c r="BV242" s="46"/>
      <c r="BW242" s="44"/>
      <c r="BX242" s="50"/>
      <c r="BY242" s="51"/>
      <c r="BZ242" s="44"/>
      <c r="CA242" s="45"/>
      <c r="CB242" s="46"/>
      <c r="CC242" s="44"/>
      <c r="CD242" s="45"/>
      <c r="CE242" s="46"/>
      <c r="CF242" s="44"/>
      <c r="CG242" s="45"/>
      <c r="CH242" s="46"/>
      <c r="CI242" s="44"/>
      <c r="CJ242" s="45"/>
      <c r="CK242" s="46"/>
      <c r="CL242" s="44"/>
    </row>
    <row r="243" spans="1:95">
      <c r="A243" s="223">
        <v>45530</v>
      </c>
      <c r="B243" s="90" t="s">
        <v>96</v>
      </c>
      <c r="C243" s="44">
        <v>144.56</v>
      </c>
      <c r="D243" s="45">
        <v>142.56</v>
      </c>
      <c r="E243" s="46">
        <v>143.56</v>
      </c>
      <c r="F243" s="44">
        <v>162.26</v>
      </c>
      <c r="G243" s="45">
        <v>159.26</v>
      </c>
      <c r="H243" s="46">
        <v>160.76</v>
      </c>
      <c r="I243" s="44">
        <v>107.92</v>
      </c>
      <c r="J243" s="45">
        <v>104.72</v>
      </c>
      <c r="K243" s="46">
        <v>106.32</v>
      </c>
      <c r="L243" s="45">
        <v>193.77</v>
      </c>
      <c r="M243" s="45">
        <v>185.77</v>
      </c>
      <c r="N243" s="45">
        <v>189.77</v>
      </c>
      <c r="O243" s="44">
        <v>170.61</v>
      </c>
      <c r="P243" s="45">
        <v>168.81</v>
      </c>
      <c r="Q243" s="46">
        <v>169.71</v>
      </c>
      <c r="R243" s="45">
        <v>21.85</v>
      </c>
      <c r="S243" s="45">
        <v>21.25</v>
      </c>
      <c r="T243" s="45">
        <v>21.55</v>
      </c>
      <c r="U243" s="44">
        <v>14.04</v>
      </c>
      <c r="V243" s="45">
        <v>13.44</v>
      </c>
      <c r="W243" s="46">
        <v>13.739999999999998</v>
      </c>
      <c r="X243" s="44">
        <v>14.48</v>
      </c>
      <c r="Y243" s="45">
        <v>13.68</v>
      </c>
      <c r="Z243" s="46">
        <v>14.08</v>
      </c>
      <c r="AA243" s="44">
        <v>99.51</v>
      </c>
      <c r="AB243" s="45">
        <v>95.51</v>
      </c>
      <c r="AC243" s="46">
        <v>97.51</v>
      </c>
      <c r="AD243" s="44">
        <v>91.41</v>
      </c>
      <c r="AE243" s="45">
        <v>87.41</v>
      </c>
      <c r="AF243" s="46">
        <v>89.41</v>
      </c>
      <c r="AG243" s="45">
        <v>18.850000000000001</v>
      </c>
      <c r="AH243" s="45">
        <v>17.990000000000002</v>
      </c>
      <c r="AI243" s="45">
        <v>18.420000000000002</v>
      </c>
      <c r="AJ243" s="47"/>
      <c r="AK243" s="48"/>
      <c r="AL243" s="49"/>
      <c r="AM243" s="45">
        <v>111.26</v>
      </c>
      <c r="AN243" s="45">
        <v>109.60000000000001</v>
      </c>
      <c r="AO243" s="45">
        <v>110.43</v>
      </c>
      <c r="AP243" s="44">
        <v>39.119999999999997</v>
      </c>
      <c r="AQ243" s="45">
        <v>37.519999999999996</v>
      </c>
      <c r="AR243" s="46">
        <v>38.319999999999993</v>
      </c>
      <c r="AS243" s="45">
        <v>39.83</v>
      </c>
      <c r="AT243" s="45">
        <v>38.47</v>
      </c>
      <c r="AU243" s="45">
        <v>39.15</v>
      </c>
      <c r="AV243" s="44">
        <v>20.49</v>
      </c>
      <c r="AW243" s="45">
        <v>19.889999999999997</v>
      </c>
      <c r="AX243" s="46">
        <v>20.189999999999998</v>
      </c>
      <c r="AY243" s="44">
        <v>4.32</v>
      </c>
      <c r="AZ243" s="45">
        <v>4.16</v>
      </c>
      <c r="BA243" s="46">
        <v>4.24</v>
      </c>
      <c r="BB243" s="44">
        <v>1.87</v>
      </c>
      <c r="BC243" s="50">
        <v>1.57</v>
      </c>
      <c r="BD243" s="51">
        <v>1.7200000000000002</v>
      </c>
      <c r="BE243" s="45">
        <v>0.67</v>
      </c>
      <c r="BF243" s="50">
        <v>0.37000000000000005</v>
      </c>
      <c r="BG243" s="50">
        <v>0.52</v>
      </c>
      <c r="BH243" s="44">
        <v>480.08</v>
      </c>
      <c r="BI243" s="45">
        <v>464.08</v>
      </c>
      <c r="BJ243" s="46">
        <v>472.08</v>
      </c>
      <c r="BK243" s="45">
        <v>40.119999999999997</v>
      </c>
      <c r="BL243" s="45">
        <v>38.76</v>
      </c>
      <c r="BM243" s="45">
        <v>39.44</v>
      </c>
      <c r="BN243" s="52">
        <v>1.05</v>
      </c>
      <c r="BO243" s="50">
        <v>0.81</v>
      </c>
      <c r="BP243" s="51">
        <v>0.93</v>
      </c>
      <c r="BQ243" s="45">
        <v>8.4700000000000006</v>
      </c>
      <c r="BR243" s="45">
        <v>6.4700000000000006</v>
      </c>
      <c r="BS243" s="45">
        <v>7.4700000000000006</v>
      </c>
      <c r="BT243" s="44">
        <v>11.08</v>
      </c>
      <c r="BU243" s="45">
        <v>10.68</v>
      </c>
      <c r="BV243" s="46">
        <v>10.879999999999999</v>
      </c>
      <c r="BW243" s="44">
        <v>2.7</v>
      </c>
      <c r="BX243" s="50">
        <v>2.42</v>
      </c>
      <c r="BY243" s="51">
        <v>2.56</v>
      </c>
      <c r="BZ243" s="44">
        <v>9.59</v>
      </c>
      <c r="CA243" s="45">
        <v>6.59</v>
      </c>
      <c r="CB243" s="46">
        <v>8.09</v>
      </c>
      <c r="CC243" s="44">
        <v>6.55</v>
      </c>
      <c r="CD243" s="45">
        <v>6.31</v>
      </c>
      <c r="CE243" s="46">
        <v>6.43</v>
      </c>
      <c r="CF243" s="44">
        <v>1.82</v>
      </c>
      <c r="CG243" s="45">
        <v>1.32</v>
      </c>
      <c r="CH243" s="46">
        <v>1.57</v>
      </c>
      <c r="CI243" s="44">
        <v>0.43</v>
      </c>
      <c r="CJ243" s="45">
        <v>0.39</v>
      </c>
      <c r="CK243" s="46">
        <v>0.41000000000000003</v>
      </c>
      <c r="CL243" s="44">
        <v>38.86</v>
      </c>
      <c r="CM243">
        <v>36.46</v>
      </c>
      <c r="CN243">
        <v>37.659999999999997</v>
      </c>
      <c r="CO243">
        <v>6.73</v>
      </c>
      <c r="CP243">
        <v>1.7300000000000004</v>
      </c>
      <c r="CQ243">
        <v>4.2300000000000004</v>
      </c>
    </row>
    <row r="244" spans="1:95">
      <c r="A244" s="223">
        <v>45531</v>
      </c>
      <c r="B244" s="90" t="s">
        <v>97</v>
      </c>
      <c r="C244" s="44">
        <v>145.86000000000001</v>
      </c>
      <c r="D244" s="45">
        <v>143.86000000000001</v>
      </c>
      <c r="E244" s="46">
        <v>144.86000000000001</v>
      </c>
      <c r="F244" s="44">
        <v>163.15</v>
      </c>
      <c r="G244" s="45">
        <v>160.15</v>
      </c>
      <c r="H244" s="46">
        <v>161.65</v>
      </c>
      <c r="I244" s="44">
        <v>109</v>
      </c>
      <c r="J244" s="45">
        <v>105.8</v>
      </c>
      <c r="K244" s="46">
        <v>107.4</v>
      </c>
      <c r="L244" s="45">
        <v>194.93</v>
      </c>
      <c r="M244" s="45">
        <v>186.93</v>
      </c>
      <c r="N244" s="45">
        <v>190.93</v>
      </c>
      <c r="O244" s="44">
        <v>171.79</v>
      </c>
      <c r="P244" s="45">
        <v>169.98999999999998</v>
      </c>
      <c r="Q244" s="46">
        <v>170.89</v>
      </c>
      <c r="R244" s="45">
        <v>21.97</v>
      </c>
      <c r="S244" s="45">
        <v>21.369999999999997</v>
      </c>
      <c r="T244" s="45">
        <v>21.669999999999998</v>
      </c>
      <c r="U244" s="44">
        <v>14.03</v>
      </c>
      <c r="V244" s="45">
        <v>13.43</v>
      </c>
      <c r="W244" s="46">
        <v>13.73</v>
      </c>
      <c r="X244" s="44">
        <v>14.58</v>
      </c>
      <c r="Y244" s="45">
        <v>13.78</v>
      </c>
      <c r="Z244" s="46">
        <v>14.18</v>
      </c>
      <c r="AA244" s="44">
        <v>99.94</v>
      </c>
      <c r="AB244" s="45">
        <v>95.94</v>
      </c>
      <c r="AC244" s="46">
        <v>97.94</v>
      </c>
      <c r="AD244" s="44">
        <v>91.74</v>
      </c>
      <c r="AE244" s="45">
        <v>87.74</v>
      </c>
      <c r="AF244" s="46">
        <v>89.74</v>
      </c>
      <c r="AG244" s="45">
        <v>19</v>
      </c>
      <c r="AH244" s="45">
        <v>18.14</v>
      </c>
      <c r="AI244" s="45">
        <v>18.57</v>
      </c>
      <c r="AJ244" s="47"/>
      <c r="AK244" s="48"/>
      <c r="AL244" s="49"/>
      <c r="AM244" s="45">
        <v>111.85</v>
      </c>
      <c r="AN244" s="45">
        <v>110.19</v>
      </c>
      <c r="AO244" s="45">
        <v>111.02</v>
      </c>
      <c r="AP244" s="44">
        <v>39.47</v>
      </c>
      <c r="AQ244" s="45">
        <v>37.869999999999997</v>
      </c>
      <c r="AR244" s="46">
        <v>38.67</v>
      </c>
      <c r="AS244" s="45">
        <v>40.18</v>
      </c>
      <c r="AT244" s="45">
        <v>38.82</v>
      </c>
      <c r="AU244" s="45">
        <v>39.5</v>
      </c>
      <c r="AV244" s="44">
        <v>20.62</v>
      </c>
      <c r="AW244" s="45">
        <v>20.02</v>
      </c>
      <c r="AX244" s="46">
        <v>20.32</v>
      </c>
      <c r="AY244" s="44">
        <v>4.33</v>
      </c>
      <c r="AZ244" s="45">
        <v>4.17</v>
      </c>
      <c r="BA244" s="46">
        <v>4.25</v>
      </c>
      <c r="BB244" s="44">
        <v>1.89</v>
      </c>
      <c r="BC244" s="50">
        <v>1.5899999999999999</v>
      </c>
      <c r="BD244" s="51">
        <v>1.7399999999999998</v>
      </c>
      <c r="BE244" s="45">
        <v>0.67</v>
      </c>
      <c r="BF244" s="50">
        <v>0.37000000000000005</v>
      </c>
      <c r="BG244" s="50">
        <v>0.52</v>
      </c>
      <c r="BH244" s="44">
        <v>482.95</v>
      </c>
      <c r="BI244" s="45">
        <v>466.95</v>
      </c>
      <c r="BJ244" s="46">
        <v>474.95</v>
      </c>
      <c r="BK244" s="45">
        <v>40.479999999999997</v>
      </c>
      <c r="BL244" s="45">
        <v>39.119999999999997</v>
      </c>
      <c r="BM244" s="45">
        <v>39.799999999999997</v>
      </c>
      <c r="BN244" s="52">
        <v>1.06</v>
      </c>
      <c r="BO244" s="50">
        <v>0.82000000000000006</v>
      </c>
      <c r="BP244" s="51">
        <v>0.94000000000000006</v>
      </c>
      <c r="BQ244" s="45">
        <v>8.4600000000000009</v>
      </c>
      <c r="BR244" s="45">
        <v>6.4600000000000009</v>
      </c>
      <c r="BS244" s="45">
        <v>7.4600000000000009</v>
      </c>
      <c r="BT244" s="44">
        <v>11.1</v>
      </c>
      <c r="BU244" s="45">
        <v>10.7</v>
      </c>
      <c r="BV244" s="46">
        <v>10.899999999999999</v>
      </c>
      <c r="BW244" s="44">
        <v>2.72</v>
      </c>
      <c r="BX244" s="50">
        <v>2.4400000000000004</v>
      </c>
      <c r="BY244" s="51">
        <v>2.58</v>
      </c>
      <c r="BZ244" s="44">
        <v>9.67</v>
      </c>
      <c r="CA244" s="45">
        <v>6.67</v>
      </c>
      <c r="CB244" s="46">
        <v>8.17</v>
      </c>
      <c r="CC244" s="44">
        <v>6.57</v>
      </c>
      <c r="CD244" s="45">
        <v>6.33</v>
      </c>
      <c r="CE244" s="46">
        <v>6.45</v>
      </c>
      <c r="CF244" s="44">
        <v>1.82</v>
      </c>
      <c r="CG244" s="45">
        <v>1.32</v>
      </c>
      <c r="CH244" s="46">
        <v>1.57</v>
      </c>
      <c r="CI244" s="44">
        <v>0.43</v>
      </c>
      <c r="CJ244" s="45">
        <v>0.39</v>
      </c>
      <c r="CK244" s="46">
        <v>0.41000000000000003</v>
      </c>
      <c r="CL244" s="44">
        <v>38.979999999999997</v>
      </c>
      <c r="CM244">
        <v>36.58</v>
      </c>
      <c r="CN244">
        <v>37.78</v>
      </c>
      <c r="CO244">
        <v>6.77</v>
      </c>
      <c r="CP244">
        <v>1.7699999999999996</v>
      </c>
      <c r="CQ244">
        <v>4.2699999999999996</v>
      </c>
    </row>
    <row r="245" spans="1:95">
      <c r="A245" s="223">
        <v>45532</v>
      </c>
      <c r="B245" s="90" t="s">
        <v>98</v>
      </c>
      <c r="C245" s="44">
        <v>145.27000000000001</v>
      </c>
      <c r="D245" s="45">
        <v>143.27000000000001</v>
      </c>
      <c r="E245" s="46">
        <v>144.27000000000001</v>
      </c>
      <c r="F245" s="44">
        <v>162.72</v>
      </c>
      <c r="G245" s="45">
        <v>159.72</v>
      </c>
      <c r="H245" s="46">
        <v>161.22</v>
      </c>
      <c r="I245" s="44">
        <v>108.91</v>
      </c>
      <c r="J245" s="45">
        <v>105.71</v>
      </c>
      <c r="K245" s="46">
        <v>107.31</v>
      </c>
      <c r="L245" s="45">
        <v>195.24</v>
      </c>
      <c r="M245" s="45">
        <v>187.24</v>
      </c>
      <c r="N245" s="45">
        <v>191.24</v>
      </c>
      <c r="O245" s="44">
        <v>172.22</v>
      </c>
      <c r="P245" s="45">
        <v>170.42</v>
      </c>
      <c r="Q245" s="46">
        <v>171.32</v>
      </c>
      <c r="R245" s="45">
        <v>21.91</v>
      </c>
      <c r="S245" s="45">
        <v>21.31</v>
      </c>
      <c r="T245" s="45">
        <v>21.61</v>
      </c>
      <c r="U245" s="44">
        <v>14.1</v>
      </c>
      <c r="V245" s="45">
        <v>13.5</v>
      </c>
      <c r="W245" s="46">
        <v>13.8</v>
      </c>
      <c r="X245" s="44">
        <v>14.61</v>
      </c>
      <c r="Y245" s="45">
        <v>13.809999999999999</v>
      </c>
      <c r="Z245" s="46">
        <v>14.209999999999999</v>
      </c>
      <c r="AA245" s="44">
        <v>99.92</v>
      </c>
      <c r="AB245" s="45">
        <v>95.92</v>
      </c>
      <c r="AC245" s="46">
        <v>97.92</v>
      </c>
      <c r="AD245" s="44">
        <v>92.13</v>
      </c>
      <c r="AE245" s="45">
        <v>88.13</v>
      </c>
      <c r="AF245" s="46">
        <v>90.13</v>
      </c>
      <c r="AG245" s="45">
        <v>18.920000000000002</v>
      </c>
      <c r="AH245" s="45">
        <v>18.060000000000002</v>
      </c>
      <c r="AI245" s="45">
        <v>18.490000000000002</v>
      </c>
      <c r="AJ245" s="47"/>
      <c r="AK245" s="48"/>
      <c r="AL245" s="49"/>
      <c r="AM245" s="45">
        <v>111.67</v>
      </c>
      <c r="AN245" s="45">
        <v>110.01</v>
      </c>
      <c r="AO245" s="45">
        <v>110.84</v>
      </c>
      <c r="AP245" s="44">
        <v>39.31</v>
      </c>
      <c r="AQ245" s="45">
        <v>37.71</v>
      </c>
      <c r="AR245" s="46">
        <v>38.510000000000005</v>
      </c>
      <c r="AS245" s="45">
        <v>40.020000000000003</v>
      </c>
      <c r="AT245" s="45">
        <v>38.660000000000004</v>
      </c>
      <c r="AU245" s="45">
        <v>39.340000000000003</v>
      </c>
      <c r="AV245" s="44">
        <v>20.54</v>
      </c>
      <c r="AW245" s="45">
        <v>19.939999999999998</v>
      </c>
      <c r="AX245" s="46">
        <v>20.239999999999998</v>
      </c>
      <c r="AY245" s="44">
        <v>4.34</v>
      </c>
      <c r="AZ245" s="45">
        <v>4.18</v>
      </c>
      <c r="BA245" s="46">
        <v>4.26</v>
      </c>
      <c r="BB245" s="44">
        <v>1.88</v>
      </c>
      <c r="BC245" s="50">
        <v>1.5799999999999998</v>
      </c>
      <c r="BD245" s="51">
        <v>1.73</v>
      </c>
      <c r="BE245" s="45">
        <v>0.67</v>
      </c>
      <c r="BF245" s="50">
        <v>0.37000000000000005</v>
      </c>
      <c r="BG245" s="50">
        <v>0.52</v>
      </c>
      <c r="BH245" s="44">
        <v>481.79</v>
      </c>
      <c r="BI245" s="45">
        <v>465.79</v>
      </c>
      <c r="BJ245" s="46">
        <v>473.79</v>
      </c>
      <c r="BK245" s="45">
        <v>40.33</v>
      </c>
      <c r="BL245" s="45">
        <v>38.97</v>
      </c>
      <c r="BM245" s="45">
        <v>39.65</v>
      </c>
      <c r="BN245" s="52">
        <v>1.05</v>
      </c>
      <c r="BO245" s="50">
        <v>0.81</v>
      </c>
      <c r="BP245" s="51">
        <v>0.93</v>
      </c>
      <c r="BQ245" s="45">
        <v>8.31</v>
      </c>
      <c r="BR245" s="45">
        <v>6.3100000000000005</v>
      </c>
      <c r="BS245" s="45">
        <v>7.3100000000000005</v>
      </c>
      <c r="BT245" s="44">
        <v>11.05</v>
      </c>
      <c r="BU245" s="45">
        <v>10.65</v>
      </c>
      <c r="BV245" s="46">
        <v>10.850000000000001</v>
      </c>
      <c r="BW245" s="44">
        <v>2.72</v>
      </c>
      <c r="BX245" s="50">
        <v>2.4400000000000004</v>
      </c>
      <c r="BY245" s="51">
        <v>2.58</v>
      </c>
      <c r="BZ245" s="44">
        <v>9.64</v>
      </c>
      <c r="CA245" s="45">
        <v>6.6400000000000006</v>
      </c>
      <c r="CB245" s="46">
        <v>8.14</v>
      </c>
      <c r="CC245" s="44">
        <v>6.57</v>
      </c>
      <c r="CD245" s="45">
        <v>6.33</v>
      </c>
      <c r="CE245" s="46">
        <v>6.45</v>
      </c>
      <c r="CF245" s="44">
        <v>1.83</v>
      </c>
      <c r="CG245" s="45">
        <v>1.33</v>
      </c>
      <c r="CH245" s="46">
        <v>1.58</v>
      </c>
      <c r="CI245" s="44">
        <v>0.43</v>
      </c>
      <c r="CJ245" s="45">
        <v>0.39</v>
      </c>
      <c r="CK245" s="46">
        <v>0.41000000000000003</v>
      </c>
      <c r="CL245" s="44">
        <v>38.869999999999997</v>
      </c>
      <c r="CM245">
        <v>36.47</v>
      </c>
      <c r="CN245">
        <v>37.67</v>
      </c>
      <c r="CO245">
        <v>6.75</v>
      </c>
      <c r="CP245">
        <v>1.75</v>
      </c>
      <c r="CQ245">
        <v>4.25</v>
      </c>
    </row>
    <row r="246" spans="1:95">
      <c r="A246" s="223">
        <v>45533</v>
      </c>
      <c r="B246" s="90" t="s">
        <v>99</v>
      </c>
      <c r="C246" s="44">
        <v>145.53</v>
      </c>
      <c r="D246" s="45">
        <v>143.53</v>
      </c>
      <c r="E246" s="46">
        <v>144.53</v>
      </c>
      <c r="F246" s="44">
        <v>162.36000000000001</v>
      </c>
      <c r="G246" s="45">
        <v>159.36000000000001</v>
      </c>
      <c r="H246" s="46">
        <v>160.86000000000001</v>
      </c>
      <c r="I246" s="44">
        <v>108.87</v>
      </c>
      <c r="J246" s="45">
        <v>105.67</v>
      </c>
      <c r="K246" s="46">
        <v>107.27000000000001</v>
      </c>
      <c r="L246" s="45">
        <v>194.84</v>
      </c>
      <c r="M246" s="45">
        <v>186.84</v>
      </c>
      <c r="N246" s="45">
        <v>190.84</v>
      </c>
      <c r="O246" s="44">
        <v>172.51</v>
      </c>
      <c r="P246" s="45">
        <v>170.70999999999998</v>
      </c>
      <c r="Q246" s="46">
        <v>171.60999999999999</v>
      </c>
      <c r="R246" s="45">
        <v>21.86</v>
      </c>
      <c r="S246" s="45">
        <v>21.259999999999998</v>
      </c>
      <c r="T246" s="45">
        <v>21.56</v>
      </c>
      <c r="U246" s="44">
        <v>14.07</v>
      </c>
      <c r="V246" s="45">
        <v>13.47</v>
      </c>
      <c r="W246" s="46">
        <v>13.77</v>
      </c>
      <c r="X246" s="44">
        <v>14.6</v>
      </c>
      <c r="Y246" s="45">
        <v>13.799999999999999</v>
      </c>
      <c r="Z246" s="46">
        <v>14.2</v>
      </c>
      <c r="AA246" s="44">
        <v>100.21</v>
      </c>
      <c r="AB246" s="45">
        <v>96.21</v>
      </c>
      <c r="AC246" s="46">
        <v>98.21</v>
      </c>
      <c r="AD246" s="44">
        <v>92.45</v>
      </c>
      <c r="AE246" s="45">
        <v>88.45</v>
      </c>
      <c r="AF246" s="46">
        <v>90.45</v>
      </c>
      <c r="AG246" s="45">
        <v>18.96</v>
      </c>
      <c r="AH246" s="45">
        <v>18.100000000000001</v>
      </c>
      <c r="AI246" s="45">
        <v>18.53</v>
      </c>
      <c r="AJ246" s="47"/>
      <c r="AK246" s="48"/>
      <c r="AL246" s="49"/>
      <c r="AM246" s="45">
        <v>111.78</v>
      </c>
      <c r="AN246" s="45">
        <v>110.12</v>
      </c>
      <c r="AO246" s="45">
        <v>110.95</v>
      </c>
      <c r="AP246" s="44">
        <v>39.380000000000003</v>
      </c>
      <c r="AQ246" s="45">
        <v>37.78</v>
      </c>
      <c r="AR246" s="46">
        <v>38.58</v>
      </c>
      <c r="AS246" s="45">
        <v>40.1</v>
      </c>
      <c r="AT246" s="45">
        <v>38.74</v>
      </c>
      <c r="AU246" s="45">
        <v>39.42</v>
      </c>
      <c r="AV246" s="44">
        <v>20.55</v>
      </c>
      <c r="AW246" s="45">
        <v>19.95</v>
      </c>
      <c r="AX246" s="46">
        <v>20.25</v>
      </c>
      <c r="AY246" s="44">
        <v>4.33</v>
      </c>
      <c r="AZ246" s="45">
        <v>4.17</v>
      </c>
      <c r="BA246" s="46">
        <v>4.25</v>
      </c>
      <c r="BB246" s="44">
        <v>1.88</v>
      </c>
      <c r="BC246" s="50">
        <v>1.5799999999999998</v>
      </c>
      <c r="BD246" s="51">
        <v>1.73</v>
      </c>
      <c r="BE246" s="45">
        <v>0.67</v>
      </c>
      <c r="BF246" s="50">
        <v>0.37000000000000005</v>
      </c>
      <c r="BG246" s="50">
        <v>0.52</v>
      </c>
      <c r="BH246" s="44">
        <v>482.34</v>
      </c>
      <c r="BI246" s="45">
        <v>466.34</v>
      </c>
      <c r="BJ246" s="46">
        <v>474.34</v>
      </c>
      <c r="BK246" s="45">
        <v>40.4</v>
      </c>
      <c r="BL246" s="45">
        <v>39.04</v>
      </c>
      <c r="BM246" s="45">
        <v>39.72</v>
      </c>
      <c r="BN246" s="52">
        <v>1.06</v>
      </c>
      <c r="BO246" s="50">
        <v>0.82000000000000006</v>
      </c>
      <c r="BP246" s="51">
        <v>0.94000000000000006</v>
      </c>
      <c r="BQ246" s="45">
        <v>8.36</v>
      </c>
      <c r="BR246" s="45">
        <v>6.3599999999999994</v>
      </c>
      <c r="BS246" s="45">
        <v>7.3599999999999994</v>
      </c>
      <c r="BT246" s="44">
        <v>11.04</v>
      </c>
      <c r="BU246" s="45">
        <v>10.639999999999999</v>
      </c>
      <c r="BV246" s="46">
        <v>10.84</v>
      </c>
      <c r="BW246" s="44">
        <v>2.73</v>
      </c>
      <c r="BX246" s="50">
        <v>2.4500000000000002</v>
      </c>
      <c r="BY246" s="51">
        <v>2.59</v>
      </c>
      <c r="BZ246" s="44">
        <v>9.61</v>
      </c>
      <c r="CA246" s="45">
        <v>6.6099999999999994</v>
      </c>
      <c r="CB246" s="46">
        <v>8.11</v>
      </c>
      <c r="CC246" s="44">
        <v>6.54</v>
      </c>
      <c r="CD246" s="45">
        <v>6.3</v>
      </c>
      <c r="CE246" s="46">
        <v>6.42</v>
      </c>
      <c r="CF246" s="44">
        <v>1.83</v>
      </c>
      <c r="CG246" s="45">
        <v>1.33</v>
      </c>
      <c r="CH246" s="46">
        <v>1.58</v>
      </c>
      <c r="CI246" s="44">
        <v>0.43</v>
      </c>
      <c r="CJ246" s="45">
        <v>0.39</v>
      </c>
      <c r="CK246" s="46">
        <v>0.41000000000000003</v>
      </c>
      <c r="CL246" s="44">
        <v>38.65</v>
      </c>
      <c r="CM246">
        <v>36.25</v>
      </c>
      <c r="CN246">
        <v>37.450000000000003</v>
      </c>
      <c r="CO246">
        <v>6.76</v>
      </c>
      <c r="CP246">
        <v>1.7599999999999998</v>
      </c>
      <c r="CQ246">
        <v>4.26</v>
      </c>
    </row>
    <row r="247" spans="1:95">
      <c r="A247" s="223">
        <v>45534</v>
      </c>
      <c r="B247" s="90" t="s">
        <v>100</v>
      </c>
      <c r="C247" s="44">
        <v>145.80000000000001</v>
      </c>
      <c r="D247" s="45">
        <v>143.80000000000001</v>
      </c>
      <c r="E247" s="46">
        <v>144.80000000000001</v>
      </c>
      <c r="F247" s="44">
        <v>161.94</v>
      </c>
      <c r="G247" s="45">
        <v>158.94</v>
      </c>
      <c r="H247" s="46">
        <v>160.44</v>
      </c>
      <c r="I247" s="44">
        <v>108.94</v>
      </c>
      <c r="J247" s="45">
        <v>105.74</v>
      </c>
      <c r="K247" s="46">
        <v>107.34</v>
      </c>
      <c r="L247" s="45">
        <v>194.7</v>
      </c>
      <c r="M247" s="45">
        <v>186.7</v>
      </c>
      <c r="N247" s="45">
        <v>190.7</v>
      </c>
      <c r="O247" s="44">
        <v>171.74</v>
      </c>
      <c r="P247" s="45">
        <v>169.94</v>
      </c>
      <c r="Q247" s="46">
        <v>170.84</v>
      </c>
      <c r="R247" s="45">
        <v>21.81</v>
      </c>
      <c r="S247" s="45">
        <v>21.209999999999997</v>
      </c>
      <c r="T247" s="45">
        <v>21.509999999999998</v>
      </c>
      <c r="U247" s="44">
        <v>14.09</v>
      </c>
      <c r="V247" s="45">
        <v>13.49</v>
      </c>
      <c r="W247" s="46">
        <v>13.79</v>
      </c>
      <c r="X247" s="44">
        <v>14.57</v>
      </c>
      <c r="Y247" s="45">
        <v>13.77</v>
      </c>
      <c r="Z247" s="46">
        <v>14.17</v>
      </c>
      <c r="AA247" s="44">
        <v>100.44</v>
      </c>
      <c r="AB247" s="45">
        <v>96.44</v>
      </c>
      <c r="AC247" s="46">
        <v>98.44</v>
      </c>
      <c r="AD247" s="44">
        <v>92.79</v>
      </c>
      <c r="AE247" s="45">
        <v>88.79</v>
      </c>
      <c r="AF247" s="46">
        <v>90.79</v>
      </c>
      <c r="AG247" s="45">
        <v>19</v>
      </c>
      <c r="AH247" s="45">
        <v>18.14</v>
      </c>
      <c r="AI247" s="45">
        <v>18.57</v>
      </c>
      <c r="AJ247" s="47"/>
      <c r="AK247" s="48"/>
      <c r="AL247" s="49"/>
      <c r="AM247" s="45">
        <v>111.98</v>
      </c>
      <c r="AN247" s="45">
        <v>110.32000000000001</v>
      </c>
      <c r="AO247" s="45">
        <v>111.15</v>
      </c>
      <c r="AP247" s="44">
        <v>39.450000000000003</v>
      </c>
      <c r="AQ247" s="45">
        <v>37.85</v>
      </c>
      <c r="AR247" s="46">
        <v>38.650000000000006</v>
      </c>
      <c r="AS247" s="45">
        <v>40.17</v>
      </c>
      <c r="AT247" s="45">
        <v>38.81</v>
      </c>
      <c r="AU247" s="45">
        <v>39.49</v>
      </c>
      <c r="AV247" s="44">
        <v>20.7</v>
      </c>
      <c r="AW247" s="45">
        <v>20.099999999999998</v>
      </c>
      <c r="AX247" s="46">
        <v>20.399999999999999</v>
      </c>
      <c r="AY247" s="44">
        <v>4.3499999999999996</v>
      </c>
      <c r="AZ247" s="45">
        <v>4.1899999999999995</v>
      </c>
      <c r="BA247" s="46">
        <v>4.2699999999999996</v>
      </c>
      <c r="BB247" s="44">
        <v>1.89</v>
      </c>
      <c r="BC247" s="50">
        <v>1.5899999999999999</v>
      </c>
      <c r="BD247" s="51">
        <v>1.7399999999999998</v>
      </c>
      <c r="BE247" s="45">
        <v>0.67</v>
      </c>
      <c r="BF247" s="50">
        <v>0.37000000000000005</v>
      </c>
      <c r="BG247" s="50">
        <v>0.52</v>
      </c>
      <c r="BH247" s="44">
        <v>483.07</v>
      </c>
      <c r="BI247" s="45">
        <v>467.07</v>
      </c>
      <c r="BJ247" s="46">
        <v>475.07</v>
      </c>
      <c r="BK247" s="45">
        <v>40.47</v>
      </c>
      <c r="BL247" s="45">
        <v>39.11</v>
      </c>
      <c r="BM247" s="45">
        <v>39.79</v>
      </c>
      <c r="BN247" s="52">
        <v>1.06</v>
      </c>
      <c r="BO247" s="50">
        <v>0.82000000000000006</v>
      </c>
      <c r="BP247" s="51">
        <v>0.94000000000000006</v>
      </c>
      <c r="BQ247" s="45">
        <v>8.2899999999999991</v>
      </c>
      <c r="BR247" s="45">
        <v>6.2899999999999991</v>
      </c>
      <c r="BS247" s="45">
        <v>7.2899999999999991</v>
      </c>
      <c r="BT247" s="44">
        <v>11.06</v>
      </c>
      <c r="BU247" s="45">
        <v>10.66</v>
      </c>
      <c r="BV247" s="46">
        <v>10.86</v>
      </c>
      <c r="BW247" s="44">
        <v>2.73</v>
      </c>
      <c r="BX247" s="50">
        <v>2.4500000000000002</v>
      </c>
      <c r="BY247" s="51">
        <v>2.59</v>
      </c>
      <c r="BZ247" s="44">
        <v>9.65</v>
      </c>
      <c r="CA247" s="45">
        <v>6.65</v>
      </c>
      <c r="CB247" s="46">
        <v>8.15</v>
      </c>
      <c r="CC247" s="44">
        <v>6.53</v>
      </c>
      <c r="CD247" s="45">
        <v>6.29</v>
      </c>
      <c r="CE247" s="46">
        <v>6.41</v>
      </c>
      <c r="CF247" s="44">
        <v>1.84</v>
      </c>
      <c r="CG247" s="45">
        <v>1.34</v>
      </c>
      <c r="CH247" s="46">
        <v>1.59</v>
      </c>
      <c r="CI247" s="44">
        <v>0.43</v>
      </c>
      <c r="CJ247" s="45">
        <v>0.39</v>
      </c>
      <c r="CK247" s="46">
        <v>0.41000000000000003</v>
      </c>
      <c r="CL247" s="44">
        <v>38.67</v>
      </c>
      <c r="CM247">
        <v>36.270000000000003</v>
      </c>
      <c r="CN247">
        <v>37.47</v>
      </c>
      <c r="CO247">
        <v>6.77</v>
      </c>
      <c r="CP247">
        <v>1.7699999999999996</v>
      </c>
      <c r="CQ247">
        <v>4.2699999999999996</v>
      </c>
    </row>
    <row r="248" spans="1:95">
      <c r="A248" s="223">
        <v>45535</v>
      </c>
      <c r="B248" s="90" t="s">
        <v>307</v>
      </c>
      <c r="C248" s="44"/>
      <c r="D248" s="45"/>
      <c r="E248" s="46"/>
      <c r="F248" s="44"/>
      <c r="G248" s="45"/>
      <c r="H248" s="46"/>
      <c r="I248" s="44"/>
      <c r="J248" s="45"/>
      <c r="K248" s="46"/>
      <c r="L248" s="45"/>
      <c r="M248" s="45"/>
      <c r="N248" s="45"/>
      <c r="O248" s="44"/>
      <c r="P248" s="45"/>
      <c r="Q248" s="46"/>
      <c r="R248" s="45"/>
      <c r="S248" s="45"/>
      <c r="T248" s="45"/>
      <c r="U248" s="44"/>
      <c r="V248" s="45"/>
      <c r="W248" s="46"/>
      <c r="X248" s="44"/>
      <c r="Y248" s="45"/>
      <c r="Z248" s="46"/>
      <c r="AA248" s="44"/>
      <c r="AB248" s="45"/>
      <c r="AC248" s="46"/>
      <c r="AD248" s="44"/>
      <c r="AE248" s="45"/>
      <c r="AF248" s="46"/>
      <c r="AG248" s="45"/>
      <c r="AH248" s="45"/>
      <c r="AI248" s="45"/>
      <c r="AJ248" s="47"/>
      <c r="AK248" s="48"/>
      <c r="AL248" s="49"/>
      <c r="AM248" s="45"/>
      <c r="AN248" s="45"/>
      <c r="AO248" s="45"/>
      <c r="AP248" s="44"/>
      <c r="AQ248" s="45"/>
      <c r="AR248" s="46"/>
      <c r="AS248" s="45"/>
      <c r="AT248" s="45"/>
      <c r="AU248" s="45"/>
      <c r="AV248" s="44"/>
      <c r="AW248" s="45"/>
      <c r="AX248" s="46"/>
      <c r="AY248" s="44"/>
      <c r="AZ248" s="45"/>
      <c r="BA248" s="46"/>
      <c r="BB248" s="44"/>
      <c r="BC248" s="50"/>
      <c r="BD248" s="51"/>
      <c r="BE248" s="45"/>
      <c r="BF248" s="50"/>
      <c r="BG248" s="50"/>
      <c r="BH248" s="44"/>
      <c r="BI248" s="45"/>
      <c r="BJ248" s="46"/>
      <c r="BK248" s="45"/>
      <c r="BL248" s="45"/>
      <c r="BM248" s="45"/>
      <c r="BN248" s="52"/>
      <c r="BO248" s="50"/>
      <c r="BP248" s="51"/>
      <c r="BQ248" s="45"/>
      <c r="BR248" s="45"/>
      <c r="BS248" s="45"/>
      <c r="BT248" s="44"/>
      <c r="BU248" s="45"/>
      <c r="BV248" s="46"/>
      <c r="BW248" s="44"/>
      <c r="BX248" s="50"/>
      <c r="BY248" s="51"/>
      <c r="BZ248" s="44"/>
      <c r="CA248" s="45"/>
      <c r="CB248" s="46"/>
      <c r="CC248" s="44"/>
      <c r="CD248" s="45"/>
      <c r="CE248" s="46"/>
      <c r="CF248" s="44"/>
      <c r="CG248" s="45"/>
      <c r="CH248" s="46"/>
      <c r="CI248" s="44"/>
      <c r="CJ248" s="45"/>
      <c r="CK248" s="46"/>
      <c r="CL248" s="44"/>
    </row>
    <row r="249" spans="1:95" ht="18.600000000000001" thickBot="1">
      <c r="A249" s="223">
        <v>45536</v>
      </c>
      <c r="B249" s="90" t="s">
        <v>308</v>
      </c>
      <c r="C249" s="44"/>
      <c r="D249" s="45"/>
      <c r="E249" s="46"/>
      <c r="F249" s="44"/>
      <c r="G249" s="45"/>
      <c r="H249" s="46"/>
      <c r="I249" s="44"/>
      <c r="J249" s="45"/>
      <c r="K249" s="46"/>
      <c r="L249" s="45"/>
      <c r="M249" s="45"/>
      <c r="N249" s="45"/>
      <c r="O249" s="44"/>
      <c r="P249" s="45"/>
      <c r="Q249" s="46"/>
      <c r="R249" s="45"/>
      <c r="S249" s="45"/>
      <c r="T249" s="45"/>
      <c r="U249" s="44"/>
      <c r="V249" s="45"/>
      <c r="W249" s="46"/>
      <c r="X249" s="44"/>
      <c r="Y249" s="45"/>
      <c r="Z249" s="46"/>
      <c r="AA249" s="44"/>
      <c r="AB249" s="45"/>
      <c r="AC249" s="46"/>
      <c r="AD249" s="44"/>
      <c r="AE249" s="45"/>
      <c r="AF249" s="46"/>
      <c r="AG249" s="45"/>
      <c r="AH249" s="45"/>
      <c r="AI249" s="45"/>
      <c r="AJ249" s="47"/>
      <c r="AK249" s="48"/>
      <c r="AL249" s="49"/>
      <c r="AM249" s="45"/>
      <c r="AN249" s="45"/>
      <c r="AO249" s="45"/>
      <c r="AP249" s="44"/>
      <c r="AQ249" s="45"/>
      <c r="AR249" s="46"/>
      <c r="AS249" s="45"/>
      <c r="AT249" s="45"/>
      <c r="AU249" s="45"/>
      <c r="AV249" s="44"/>
      <c r="AW249" s="45"/>
      <c r="AX249" s="46"/>
      <c r="AY249" s="44"/>
      <c r="AZ249" s="45"/>
      <c r="BA249" s="46"/>
      <c r="BB249" s="44"/>
      <c r="BC249" s="50"/>
      <c r="BD249" s="51"/>
      <c r="BE249" s="45"/>
      <c r="BF249" s="50"/>
      <c r="BG249" s="50"/>
      <c r="BH249" s="44"/>
      <c r="BI249" s="45"/>
      <c r="BJ249" s="46"/>
      <c r="BK249" s="45"/>
      <c r="BL249" s="45"/>
      <c r="BM249" s="45"/>
      <c r="BN249" s="52"/>
      <c r="BO249" s="50"/>
      <c r="BP249" s="51"/>
      <c r="BQ249" s="45"/>
      <c r="BR249" s="45"/>
      <c r="BS249" s="45"/>
      <c r="BT249" s="44"/>
      <c r="BU249" s="45"/>
      <c r="BV249" s="46"/>
      <c r="BW249" s="44"/>
      <c r="BX249" s="50"/>
      <c r="BY249" s="51"/>
      <c r="BZ249" s="44"/>
      <c r="CA249" s="45"/>
      <c r="CB249" s="46"/>
      <c r="CC249" s="44"/>
      <c r="CD249" s="45"/>
      <c r="CE249" s="46"/>
      <c r="CF249" s="44"/>
      <c r="CG249" s="45"/>
      <c r="CH249" s="46"/>
      <c r="CI249" s="44"/>
      <c r="CJ249" s="45"/>
      <c r="CK249" s="46"/>
      <c r="CL249" s="44"/>
    </row>
    <row r="250" spans="1:95">
      <c r="A250" s="225">
        <v>45537</v>
      </c>
      <c r="B250" s="107" t="s">
        <v>96</v>
      </c>
      <c r="C250" s="108">
        <v>147.24</v>
      </c>
      <c r="D250" s="109">
        <v>145.24</v>
      </c>
      <c r="E250" s="110">
        <v>146.24</v>
      </c>
      <c r="F250" s="108">
        <v>163.13999999999999</v>
      </c>
      <c r="G250" s="109">
        <v>160.13999999999999</v>
      </c>
      <c r="H250" s="110">
        <v>161.63999999999999</v>
      </c>
      <c r="I250" s="108">
        <v>110.01</v>
      </c>
      <c r="J250" s="109">
        <v>106.81</v>
      </c>
      <c r="K250" s="110">
        <v>108.41</v>
      </c>
      <c r="L250" s="109">
        <v>196.1</v>
      </c>
      <c r="M250" s="109">
        <v>188.1</v>
      </c>
      <c r="N250" s="109">
        <v>192.1</v>
      </c>
      <c r="O250" s="108">
        <v>172.89</v>
      </c>
      <c r="P250" s="109">
        <v>171.08999999999997</v>
      </c>
      <c r="Q250" s="110">
        <v>171.98999999999998</v>
      </c>
      <c r="R250" s="109">
        <v>21.97</v>
      </c>
      <c r="S250" s="109">
        <v>21.369999999999997</v>
      </c>
      <c r="T250" s="109">
        <v>21.669999999999998</v>
      </c>
      <c r="U250" s="108">
        <v>14.08</v>
      </c>
      <c r="V250" s="109">
        <v>13.48</v>
      </c>
      <c r="W250" s="110">
        <v>13.780000000000001</v>
      </c>
      <c r="X250" s="108">
        <v>14.66</v>
      </c>
      <c r="Y250" s="109">
        <v>13.86</v>
      </c>
      <c r="Z250" s="110">
        <v>14.26</v>
      </c>
      <c r="AA250" s="108">
        <v>101.09</v>
      </c>
      <c r="AB250" s="109">
        <v>97.09</v>
      </c>
      <c r="AC250" s="110">
        <v>99.09</v>
      </c>
      <c r="AD250" s="108">
        <v>93.37</v>
      </c>
      <c r="AE250" s="109">
        <v>89.37</v>
      </c>
      <c r="AF250" s="110">
        <v>91.37</v>
      </c>
      <c r="AG250" s="109">
        <v>19.18</v>
      </c>
      <c r="AH250" s="109">
        <v>18.32</v>
      </c>
      <c r="AI250" s="109">
        <v>18.75</v>
      </c>
      <c r="AJ250" s="111"/>
      <c r="AK250" s="112"/>
      <c r="AL250" s="113"/>
      <c r="AM250" s="109">
        <v>112.81</v>
      </c>
      <c r="AN250" s="109">
        <v>111.15</v>
      </c>
      <c r="AO250" s="109">
        <v>111.98</v>
      </c>
      <c r="AP250" s="108">
        <v>39.83</v>
      </c>
      <c r="AQ250" s="109">
        <v>38.229999999999997</v>
      </c>
      <c r="AR250" s="110">
        <v>39.03</v>
      </c>
      <c r="AS250" s="109">
        <v>40.56</v>
      </c>
      <c r="AT250" s="109">
        <v>39.200000000000003</v>
      </c>
      <c r="AU250" s="109">
        <v>39.880000000000003</v>
      </c>
      <c r="AV250" s="108">
        <v>20.9</v>
      </c>
      <c r="AW250" s="109">
        <v>20.299999999999997</v>
      </c>
      <c r="AX250" s="110">
        <v>20.599999999999998</v>
      </c>
      <c r="AY250" s="108">
        <v>4.37</v>
      </c>
      <c r="AZ250" s="109">
        <v>4.21</v>
      </c>
      <c r="BA250" s="110">
        <v>4.29</v>
      </c>
      <c r="BB250" s="108">
        <v>1.9</v>
      </c>
      <c r="BC250" s="114">
        <v>1.5999999999999999</v>
      </c>
      <c r="BD250" s="115">
        <v>1.75</v>
      </c>
      <c r="BE250" s="109">
        <v>0.68</v>
      </c>
      <c r="BF250" s="114">
        <v>0.38000000000000006</v>
      </c>
      <c r="BG250" s="114">
        <v>0.53</v>
      </c>
      <c r="BH250" s="108">
        <v>486.85</v>
      </c>
      <c r="BI250" s="109">
        <v>470.85</v>
      </c>
      <c r="BJ250" s="110">
        <v>478.85</v>
      </c>
      <c r="BK250" s="109">
        <v>40.869999999999997</v>
      </c>
      <c r="BL250" s="109">
        <v>39.51</v>
      </c>
      <c r="BM250" s="109">
        <v>40.19</v>
      </c>
      <c r="BN250" s="116">
        <v>1.07</v>
      </c>
      <c r="BO250" s="114">
        <v>0.83000000000000007</v>
      </c>
      <c r="BP250" s="115">
        <v>0.95000000000000007</v>
      </c>
      <c r="BQ250" s="109">
        <v>8.41</v>
      </c>
      <c r="BR250" s="109">
        <v>6.41</v>
      </c>
      <c r="BS250" s="109">
        <v>7.41</v>
      </c>
      <c r="BT250" s="108">
        <v>11.13</v>
      </c>
      <c r="BU250" s="109">
        <v>10.73</v>
      </c>
      <c r="BV250" s="110">
        <v>10.93</v>
      </c>
      <c r="BW250" s="108">
        <v>2.76</v>
      </c>
      <c r="BX250" s="114">
        <v>2.4799999999999995</v>
      </c>
      <c r="BY250" s="115">
        <v>2.6199999999999997</v>
      </c>
      <c r="BZ250" s="108">
        <v>9.69</v>
      </c>
      <c r="CA250" s="109">
        <v>6.6899999999999995</v>
      </c>
      <c r="CB250" s="110">
        <v>8.19</v>
      </c>
      <c r="CC250" s="108">
        <v>6.58</v>
      </c>
      <c r="CD250" s="109">
        <v>6.34</v>
      </c>
      <c r="CE250" s="110">
        <v>6.46</v>
      </c>
      <c r="CF250" s="108">
        <v>1.86</v>
      </c>
      <c r="CG250" s="109">
        <v>1.36</v>
      </c>
      <c r="CH250" s="110">
        <v>1.61</v>
      </c>
      <c r="CI250" s="108">
        <v>0.43</v>
      </c>
      <c r="CJ250" s="109">
        <v>0.39</v>
      </c>
      <c r="CK250" s="110">
        <v>0.41000000000000003</v>
      </c>
      <c r="CL250" s="108">
        <v>38.950000000000003</v>
      </c>
      <c r="CM250">
        <v>36.550000000000004</v>
      </c>
      <c r="CN250">
        <v>37.75</v>
      </c>
      <c r="CO250">
        <v>6.8</v>
      </c>
      <c r="CP250">
        <v>1.7999999999999998</v>
      </c>
      <c r="CQ250">
        <v>4.3</v>
      </c>
    </row>
    <row r="251" spans="1:95">
      <c r="A251" s="226">
        <v>45538</v>
      </c>
      <c r="B251" s="16" t="s">
        <v>97</v>
      </c>
      <c r="C251" s="44">
        <v>148.16</v>
      </c>
      <c r="D251" s="45">
        <v>146.16</v>
      </c>
      <c r="E251" s="46">
        <v>147.16</v>
      </c>
      <c r="F251" s="44">
        <v>164.26</v>
      </c>
      <c r="G251" s="45">
        <v>161.26</v>
      </c>
      <c r="H251" s="46">
        <v>162.76</v>
      </c>
      <c r="I251" s="44">
        <v>110.6</v>
      </c>
      <c r="J251" s="45">
        <v>107.39999999999999</v>
      </c>
      <c r="K251" s="46">
        <v>109</v>
      </c>
      <c r="L251" s="45">
        <v>197.31</v>
      </c>
      <c r="M251" s="45">
        <v>189.31</v>
      </c>
      <c r="N251" s="45">
        <v>193.31</v>
      </c>
      <c r="O251" s="44">
        <v>173.5</v>
      </c>
      <c r="P251" s="45">
        <v>171.7</v>
      </c>
      <c r="Q251" s="46">
        <v>172.6</v>
      </c>
      <c r="R251" s="45">
        <v>22.12</v>
      </c>
      <c r="S251" s="45">
        <v>21.52</v>
      </c>
      <c r="T251" s="45">
        <v>21.82</v>
      </c>
      <c r="U251" s="44">
        <v>14.19</v>
      </c>
      <c r="V251" s="45">
        <v>13.59</v>
      </c>
      <c r="W251" s="46">
        <v>13.89</v>
      </c>
      <c r="X251" s="44">
        <v>14.76</v>
      </c>
      <c r="Y251" s="45">
        <v>13.959999999999999</v>
      </c>
      <c r="Z251" s="46">
        <v>14.36</v>
      </c>
      <c r="AA251" s="44">
        <v>101.82</v>
      </c>
      <c r="AB251" s="45">
        <v>97.82</v>
      </c>
      <c r="AC251" s="46">
        <v>99.82</v>
      </c>
      <c r="AD251" s="44">
        <v>93.52</v>
      </c>
      <c r="AE251" s="45">
        <v>89.52</v>
      </c>
      <c r="AF251" s="46">
        <v>91.52</v>
      </c>
      <c r="AG251" s="45">
        <v>19.3</v>
      </c>
      <c r="AH251" s="45">
        <v>18.440000000000001</v>
      </c>
      <c r="AI251" s="45">
        <v>18.87</v>
      </c>
      <c r="AJ251" s="47"/>
      <c r="AK251" s="48"/>
      <c r="AL251" s="49"/>
      <c r="AM251" s="45">
        <v>113.34</v>
      </c>
      <c r="AN251" s="45">
        <v>111.68</v>
      </c>
      <c r="AO251" s="45">
        <v>112.51</v>
      </c>
      <c r="AP251" s="44">
        <v>40.07</v>
      </c>
      <c r="AQ251" s="45">
        <v>38.47</v>
      </c>
      <c r="AR251" s="46">
        <v>39.269999999999996</v>
      </c>
      <c r="AS251" s="45">
        <v>40.81</v>
      </c>
      <c r="AT251" s="45">
        <v>39.450000000000003</v>
      </c>
      <c r="AU251" s="45">
        <v>40.130000000000003</v>
      </c>
      <c r="AV251" s="44">
        <v>20.97</v>
      </c>
      <c r="AW251" s="45">
        <v>20.369999999999997</v>
      </c>
      <c r="AX251" s="46">
        <v>20.669999999999998</v>
      </c>
      <c r="AY251" s="44">
        <v>4.38</v>
      </c>
      <c r="AZ251" s="45">
        <v>4.22</v>
      </c>
      <c r="BA251" s="46">
        <v>4.3</v>
      </c>
      <c r="BB251" s="44">
        <v>1.91</v>
      </c>
      <c r="BC251" s="50">
        <v>1.6099999999999999</v>
      </c>
      <c r="BD251" s="51">
        <v>1.7599999999999998</v>
      </c>
      <c r="BE251" s="45">
        <v>0.68</v>
      </c>
      <c r="BF251" s="50">
        <v>0.38000000000000006</v>
      </c>
      <c r="BG251" s="50">
        <v>0.53</v>
      </c>
      <c r="BH251" s="44">
        <v>488.76</v>
      </c>
      <c r="BI251" s="45">
        <v>472.76</v>
      </c>
      <c r="BJ251" s="46">
        <v>480.76</v>
      </c>
      <c r="BK251" s="45">
        <v>41.12</v>
      </c>
      <c r="BL251" s="45">
        <v>39.76</v>
      </c>
      <c r="BM251" s="45">
        <v>40.44</v>
      </c>
      <c r="BN251" s="52">
        <v>1.07</v>
      </c>
      <c r="BO251" s="50">
        <v>0.83000000000000007</v>
      </c>
      <c r="BP251" s="51">
        <v>0.95000000000000007</v>
      </c>
      <c r="BQ251" s="45">
        <v>8.42</v>
      </c>
      <c r="BR251" s="45">
        <v>6.42</v>
      </c>
      <c r="BS251" s="45">
        <v>7.42</v>
      </c>
      <c r="BT251" s="44">
        <v>11.19</v>
      </c>
      <c r="BU251" s="45">
        <v>10.79</v>
      </c>
      <c r="BV251" s="46">
        <v>10.989999999999998</v>
      </c>
      <c r="BW251" s="44">
        <v>2.77</v>
      </c>
      <c r="BX251" s="50">
        <v>2.4900000000000002</v>
      </c>
      <c r="BY251" s="51">
        <v>2.63</v>
      </c>
      <c r="BZ251" s="44">
        <v>9.75</v>
      </c>
      <c r="CA251" s="45">
        <v>6.75</v>
      </c>
      <c r="CB251" s="46">
        <v>8.25</v>
      </c>
      <c r="CC251" s="44">
        <v>6.63</v>
      </c>
      <c r="CD251" s="45">
        <v>6.39</v>
      </c>
      <c r="CE251" s="46">
        <v>6.51</v>
      </c>
      <c r="CF251" s="44">
        <v>1.89</v>
      </c>
      <c r="CG251" s="45">
        <v>1.39</v>
      </c>
      <c r="CH251" s="46">
        <v>1.64</v>
      </c>
      <c r="CI251" s="44">
        <v>0.44</v>
      </c>
      <c r="CJ251" s="45">
        <v>0.4</v>
      </c>
      <c r="CK251" s="46">
        <v>0.42000000000000004</v>
      </c>
      <c r="CL251" s="44">
        <v>39.35</v>
      </c>
      <c r="CM251">
        <v>36.950000000000003</v>
      </c>
      <c r="CN251">
        <v>38.150000000000006</v>
      </c>
      <c r="CO251">
        <v>6.85</v>
      </c>
      <c r="CP251">
        <v>1.8499999999999996</v>
      </c>
      <c r="CQ251">
        <v>4.3499999999999996</v>
      </c>
    </row>
    <row r="252" spans="1:95" ht="18.600000000000001" thickBot="1">
      <c r="A252" s="227">
        <v>45539</v>
      </c>
      <c r="B252" s="117" t="s">
        <v>98</v>
      </c>
      <c r="C252" s="118">
        <v>146.4</v>
      </c>
      <c r="D252" s="119">
        <v>144.4</v>
      </c>
      <c r="E252" s="120">
        <v>145.4</v>
      </c>
      <c r="F252" s="118">
        <v>162.13999999999999</v>
      </c>
      <c r="G252" s="119">
        <v>159.13999999999999</v>
      </c>
      <c r="H252" s="120">
        <v>160.63999999999999</v>
      </c>
      <c r="I252" s="118">
        <v>108.91</v>
      </c>
      <c r="J252" s="119">
        <v>105.71</v>
      </c>
      <c r="K252" s="120">
        <v>107.31</v>
      </c>
      <c r="L252" s="119">
        <v>194.56</v>
      </c>
      <c r="M252" s="119">
        <v>186.56</v>
      </c>
      <c r="N252" s="119">
        <v>190.56</v>
      </c>
      <c r="O252" s="118">
        <v>172.18</v>
      </c>
      <c r="P252" s="119">
        <v>170.38</v>
      </c>
      <c r="Q252" s="120">
        <v>171.28</v>
      </c>
      <c r="R252" s="119">
        <v>21.83</v>
      </c>
      <c r="S252" s="119">
        <v>21.229999999999997</v>
      </c>
      <c r="T252" s="119">
        <v>21.529999999999998</v>
      </c>
      <c r="U252" s="118">
        <v>13.89</v>
      </c>
      <c r="V252" s="119">
        <v>13.290000000000001</v>
      </c>
      <c r="W252" s="120">
        <v>13.59</v>
      </c>
      <c r="X252" s="118">
        <v>14.52</v>
      </c>
      <c r="Y252" s="119">
        <v>13.719999999999999</v>
      </c>
      <c r="Z252" s="120">
        <v>14.12</v>
      </c>
      <c r="AA252" s="118">
        <v>99.39</v>
      </c>
      <c r="AB252" s="119">
        <v>95.39</v>
      </c>
      <c r="AC252" s="120">
        <v>97.39</v>
      </c>
      <c r="AD252" s="118">
        <v>91.83</v>
      </c>
      <c r="AE252" s="119">
        <v>87.83</v>
      </c>
      <c r="AF252" s="120">
        <v>89.83</v>
      </c>
      <c r="AG252" s="119">
        <v>19.079999999999998</v>
      </c>
      <c r="AH252" s="119">
        <v>18.22</v>
      </c>
      <c r="AI252" s="119">
        <v>18.649999999999999</v>
      </c>
      <c r="AJ252" s="121"/>
      <c r="AK252" s="122"/>
      <c r="AL252" s="123"/>
      <c r="AM252" s="119">
        <v>112.03</v>
      </c>
      <c r="AN252" s="119">
        <v>110.37</v>
      </c>
      <c r="AO252" s="119">
        <v>111.2</v>
      </c>
      <c r="AP252" s="118">
        <v>39.64</v>
      </c>
      <c r="AQ252" s="119">
        <v>38.04</v>
      </c>
      <c r="AR252" s="120">
        <v>38.840000000000003</v>
      </c>
      <c r="AS252" s="119">
        <v>40.33</v>
      </c>
      <c r="AT252" s="119">
        <v>38.97</v>
      </c>
      <c r="AU252" s="119">
        <v>39.65</v>
      </c>
      <c r="AV252" s="118">
        <v>20.73</v>
      </c>
      <c r="AW252" s="119">
        <v>20.13</v>
      </c>
      <c r="AX252" s="120">
        <v>20.43</v>
      </c>
      <c r="AY252" s="118">
        <v>4.33</v>
      </c>
      <c r="AZ252" s="119">
        <v>4.17</v>
      </c>
      <c r="BA252" s="120">
        <v>4.25</v>
      </c>
      <c r="BB252" s="118">
        <v>1.89</v>
      </c>
      <c r="BC252" s="124">
        <v>1.5899999999999999</v>
      </c>
      <c r="BD252" s="125">
        <v>1.7399999999999998</v>
      </c>
      <c r="BE252" s="119">
        <v>0.67</v>
      </c>
      <c r="BF252" s="124">
        <v>0.37000000000000005</v>
      </c>
      <c r="BG252" s="124">
        <v>0.52</v>
      </c>
      <c r="BH252" s="118">
        <v>484.88</v>
      </c>
      <c r="BI252" s="119">
        <v>468.88</v>
      </c>
      <c r="BJ252" s="120">
        <v>476.88</v>
      </c>
      <c r="BK252" s="119">
        <v>40.64</v>
      </c>
      <c r="BL252" s="119">
        <v>39.28</v>
      </c>
      <c r="BM252" s="119">
        <v>39.96</v>
      </c>
      <c r="BN252" s="126">
        <v>1.06</v>
      </c>
      <c r="BO252" s="124">
        <v>0.82000000000000006</v>
      </c>
      <c r="BP252" s="125">
        <v>0.94000000000000006</v>
      </c>
      <c r="BQ252" s="119">
        <v>8.34</v>
      </c>
      <c r="BR252" s="119">
        <v>6.34</v>
      </c>
      <c r="BS252" s="119">
        <v>7.34</v>
      </c>
      <c r="BT252" s="118">
        <v>11.04</v>
      </c>
      <c r="BU252" s="119">
        <v>10.639999999999999</v>
      </c>
      <c r="BV252" s="120">
        <v>10.84</v>
      </c>
      <c r="BW252" s="118">
        <v>2.73</v>
      </c>
      <c r="BX252" s="124">
        <v>2.4500000000000002</v>
      </c>
      <c r="BY252" s="125">
        <v>2.59</v>
      </c>
      <c r="BZ252" s="118">
        <v>9.58</v>
      </c>
      <c r="CA252" s="119">
        <v>6.58</v>
      </c>
      <c r="CB252" s="120">
        <v>8.08</v>
      </c>
      <c r="CC252" s="118">
        <v>6.53</v>
      </c>
      <c r="CD252" s="119">
        <v>6.29</v>
      </c>
      <c r="CE252" s="120">
        <v>6.41</v>
      </c>
      <c r="CF252" s="118">
        <v>1.9</v>
      </c>
      <c r="CG252" s="119">
        <v>1.4</v>
      </c>
      <c r="CH252" s="120">
        <v>1.65</v>
      </c>
      <c r="CI252" s="118">
        <v>0.43</v>
      </c>
      <c r="CJ252" s="119">
        <v>0.39</v>
      </c>
      <c r="CK252" s="120">
        <v>0.41000000000000003</v>
      </c>
      <c r="CL252" s="118">
        <v>38.71</v>
      </c>
      <c r="CM252">
        <v>36.31</v>
      </c>
      <c r="CN252">
        <v>37.510000000000005</v>
      </c>
      <c r="CO252">
        <v>6.78</v>
      </c>
      <c r="CP252">
        <v>1.7800000000000002</v>
      </c>
      <c r="CQ252">
        <v>4.28</v>
      </c>
    </row>
    <row r="253" spans="1:95">
      <c r="A253" s="223">
        <v>45540</v>
      </c>
      <c r="B253" s="90" t="s">
        <v>99</v>
      </c>
      <c r="C253" s="127">
        <v>144.79</v>
      </c>
      <c r="D253" s="127">
        <v>142.79</v>
      </c>
      <c r="E253" s="127">
        <v>143.79</v>
      </c>
      <c r="F253" s="91">
        <v>160.75</v>
      </c>
      <c r="G253" s="127">
        <v>157.75</v>
      </c>
      <c r="H253" s="128">
        <v>159.25</v>
      </c>
      <c r="I253" s="127">
        <v>108.05</v>
      </c>
      <c r="J253" s="127">
        <v>104.85</v>
      </c>
      <c r="K253" s="127">
        <v>106.44999999999999</v>
      </c>
      <c r="L253" s="91">
        <v>192.98</v>
      </c>
      <c r="M253" s="127">
        <v>184.98</v>
      </c>
      <c r="N253" s="128">
        <v>188.98</v>
      </c>
      <c r="O253" s="127">
        <v>170.6</v>
      </c>
      <c r="P253" s="127">
        <v>168.79999999999998</v>
      </c>
      <c r="Q253" s="127">
        <v>169.7</v>
      </c>
      <c r="R253" s="91">
        <v>21.65</v>
      </c>
      <c r="S253" s="127">
        <v>21.049999999999997</v>
      </c>
      <c r="T253" s="128">
        <v>21.349999999999998</v>
      </c>
      <c r="U253" s="91">
        <v>13.8</v>
      </c>
      <c r="V253" s="127">
        <v>13.200000000000001</v>
      </c>
      <c r="W253" s="128">
        <v>13.5</v>
      </c>
      <c r="X253" s="91">
        <v>14.39</v>
      </c>
      <c r="Y253" s="127">
        <v>13.59</v>
      </c>
      <c r="Z253" s="128">
        <v>13.99</v>
      </c>
      <c r="AA253" s="91">
        <v>98.64</v>
      </c>
      <c r="AB253" s="127">
        <v>94.64</v>
      </c>
      <c r="AC253" s="128">
        <v>96.64</v>
      </c>
      <c r="AD253" s="127">
        <v>90.93</v>
      </c>
      <c r="AE253" s="127">
        <v>86.93</v>
      </c>
      <c r="AF253" s="127">
        <v>88.93</v>
      </c>
      <c r="AG253" s="91">
        <v>18.87</v>
      </c>
      <c r="AH253" s="127">
        <v>18.010000000000002</v>
      </c>
      <c r="AI253" s="128">
        <v>18.440000000000001</v>
      </c>
      <c r="AJ253" s="87"/>
      <c r="AK253" s="88"/>
      <c r="AL253" s="89"/>
      <c r="AM253" s="91">
        <v>111.15</v>
      </c>
      <c r="AN253" s="127">
        <v>109.49000000000001</v>
      </c>
      <c r="AO253" s="128">
        <v>110.32000000000001</v>
      </c>
      <c r="AP253" s="91">
        <v>39.17</v>
      </c>
      <c r="AQ253" s="127">
        <v>37.57</v>
      </c>
      <c r="AR253" s="128">
        <v>38.370000000000005</v>
      </c>
      <c r="AS253" s="127">
        <v>39.89</v>
      </c>
      <c r="AT253" s="127">
        <v>38.53</v>
      </c>
      <c r="AU253" s="127">
        <v>39.21</v>
      </c>
      <c r="AV253" s="52">
        <v>20.52</v>
      </c>
      <c r="AW253" s="50">
        <v>19.919999999999998</v>
      </c>
      <c r="AX253" s="51">
        <v>20.22</v>
      </c>
      <c r="AY253" s="91">
        <v>4.3099999999999996</v>
      </c>
      <c r="AZ253" s="127">
        <v>4.1499999999999995</v>
      </c>
      <c r="BA253" s="128">
        <v>4.2299999999999995</v>
      </c>
      <c r="BB253" s="91">
        <v>1.87</v>
      </c>
      <c r="BC253" s="129">
        <v>1.57</v>
      </c>
      <c r="BD253" s="130">
        <v>1.7200000000000002</v>
      </c>
      <c r="BE253" s="91">
        <v>0.67</v>
      </c>
      <c r="BF253" s="129">
        <v>0.37000000000000005</v>
      </c>
      <c r="BG253" s="130">
        <v>0.52</v>
      </c>
      <c r="BH253" s="91">
        <v>478.52</v>
      </c>
      <c r="BI253" s="127">
        <v>462.52</v>
      </c>
      <c r="BJ253" s="128">
        <v>470.52</v>
      </c>
      <c r="BK253" s="127">
        <v>40.19</v>
      </c>
      <c r="BL253" s="127">
        <v>38.83</v>
      </c>
      <c r="BM253" s="127">
        <v>39.51</v>
      </c>
      <c r="BN253" s="131">
        <v>1.05</v>
      </c>
      <c r="BO253" s="129">
        <v>0.81</v>
      </c>
      <c r="BP253" s="130">
        <v>0.93</v>
      </c>
      <c r="BQ253" s="127">
        <v>8.2200000000000006</v>
      </c>
      <c r="BR253" s="127">
        <v>6.2200000000000006</v>
      </c>
      <c r="BS253" s="127">
        <v>7.2200000000000006</v>
      </c>
      <c r="BT253" s="91">
        <v>10.98</v>
      </c>
      <c r="BU253" s="127">
        <v>10.58</v>
      </c>
      <c r="BV253" s="128">
        <v>10.780000000000001</v>
      </c>
      <c r="BW253" s="91">
        <v>2.7</v>
      </c>
      <c r="BX253" s="129">
        <v>2.42</v>
      </c>
      <c r="BY253" s="130">
        <v>2.56</v>
      </c>
      <c r="BZ253" s="91">
        <v>9.5399999999999991</v>
      </c>
      <c r="CA253" s="127">
        <v>6.5399999999999991</v>
      </c>
      <c r="CB253" s="128">
        <v>8.0399999999999991</v>
      </c>
      <c r="CC253" s="91">
        <v>6.48</v>
      </c>
      <c r="CD253" s="127">
        <v>6.24</v>
      </c>
      <c r="CE253" s="128">
        <v>6.36</v>
      </c>
      <c r="CF253" s="127">
        <v>1.9</v>
      </c>
      <c r="CG253" s="127">
        <v>1.4</v>
      </c>
      <c r="CH253" s="127">
        <v>1.65</v>
      </c>
      <c r="CI253" s="91">
        <v>0.42</v>
      </c>
      <c r="CJ253" s="127">
        <v>0.38</v>
      </c>
      <c r="CK253" s="128">
        <v>0.4</v>
      </c>
      <c r="CL253" s="91">
        <v>38.450000000000003</v>
      </c>
      <c r="CM253">
        <v>36.050000000000004</v>
      </c>
      <c r="CN253">
        <v>37.25</v>
      </c>
      <c r="CO253">
        <v>6.73</v>
      </c>
      <c r="CP253">
        <v>1.7300000000000004</v>
      </c>
      <c r="CQ253">
        <v>4.2300000000000004</v>
      </c>
    </row>
    <row r="254" spans="1:95">
      <c r="A254" s="223">
        <v>45541</v>
      </c>
      <c r="B254" s="16" t="s">
        <v>100</v>
      </c>
      <c r="C254" s="17">
        <v>144.24</v>
      </c>
      <c r="D254" s="18">
        <v>142.24</v>
      </c>
      <c r="E254" s="19">
        <v>143.24</v>
      </c>
      <c r="F254" s="17">
        <v>160.68</v>
      </c>
      <c r="G254" s="18">
        <v>157.68</v>
      </c>
      <c r="H254" s="19">
        <v>159.18</v>
      </c>
      <c r="I254" s="17">
        <v>107.73</v>
      </c>
      <c r="J254" s="18">
        <v>104.53</v>
      </c>
      <c r="K254" s="19">
        <v>106.13</v>
      </c>
      <c r="L254" s="18">
        <v>192.83</v>
      </c>
      <c r="M254" s="18">
        <v>184.83</v>
      </c>
      <c r="N254" s="18">
        <v>188.83</v>
      </c>
      <c r="O254" s="17">
        <v>170.72</v>
      </c>
      <c r="P254" s="18">
        <v>168.92</v>
      </c>
      <c r="Q254" s="19">
        <v>169.82</v>
      </c>
      <c r="R254" s="18">
        <v>21.64</v>
      </c>
      <c r="S254" s="18">
        <v>21.04</v>
      </c>
      <c r="T254" s="18">
        <v>21.34</v>
      </c>
      <c r="U254" s="17">
        <v>13.78</v>
      </c>
      <c r="V254" s="18">
        <v>13.18</v>
      </c>
      <c r="W254" s="19">
        <v>13.48</v>
      </c>
      <c r="X254" s="17">
        <v>14.38</v>
      </c>
      <c r="Y254" s="18">
        <v>13.58</v>
      </c>
      <c r="Z254" s="19">
        <v>13.98</v>
      </c>
      <c r="AA254" s="17">
        <v>98.59</v>
      </c>
      <c r="AB254" s="18">
        <v>94.59</v>
      </c>
      <c r="AC254" s="19">
        <v>96.59</v>
      </c>
      <c r="AD254" s="17">
        <v>91.14</v>
      </c>
      <c r="AE254" s="18">
        <v>87.14</v>
      </c>
      <c r="AF254" s="19">
        <v>89.14</v>
      </c>
      <c r="AG254" s="18">
        <v>18.809999999999999</v>
      </c>
      <c r="AH254" s="18">
        <v>17.95</v>
      </c>
      <c r="AI254" s="18">
        <v>18.38</v>
      </c>
      <c r="AJ254" s="20"/>
      <c r="AK254" s="21"/>
      <c r="AL254" s="22"/>
      <c r="AM254" s="18">
        <v>111.07</v>
      </c>
      <c r="AN254" s="18">
        <v>109.41</v>
      </c>
      <c r="AO254" s="18">
        <v>110.24</v>
      </c>
      <c r="AP254" s="17">
        <v>39.020000000000003</v>
      </c>
      <c r="AQ254" s="18">
        <v>37.42</v>
      </c>
      <c r="AR254" s="19">
        <v>38.22</v>
      </c>
      <c r="AS254" s="18">
        <v>39.74</v>
      </c>
      <c r="AT254" s="18">
        <v>38.380000000000003</v>
      </c>
      <c r="AU254" s="18">
        <v>39.06</v>
      </c>
      <c r="AV254" s="17">
        <v>20.51</v>
      </c>
      <c r="AW254" s="18">
        <v>19.91</v>
      </c>
      <c r="AX254" s="19">
        <v>20.21</v>
      </c>
      <c r="AY254" s="17">
        <v>4.3499999999999996</v>
      </c>
      <c r="AZ254" s="18">
        <v>4.1899999999999995</v>
      </c>
      <c r="BA254" s="19">
        <v>4.2699999999999996</v>
      </c>
      <c r="BB254" s="17">
        <v>1.87</v>
      </c>
      <c r="BC254" s="23">
        <v>1.57</v>
      </c>
      <c r="BD254" s="24">
        <v>1.7200000000000002</v>
      </c>
      <c r="BE254" s="18">
        <v>0.67</v>
      </c>
      <c r="BF254" s="23">
        <v>0.37000000000000005</v>
      </c>
      <c r="BG254" s="23">
        <v>0.52</v>
      </c>
      <c r="BH254" s="17">
        <v>477.95</v>
      </c>
      <c r="BI254" s="18">
        <v>461.95</v>
      </c>
      <c r="BJ254" s="19">
        <v>469.95</v>
      </c>
      <c r="BK254" s="18">
        <v>40.04</v>
      </c>
      <c r="BL254" s="18">
        <v>38.68</v>
      </c>
      <c r="BM254" s="18">
        <v>39.36</v>
      </c>
      <c r="BN254" s="25">
        <v>1.05</v>
      </c>
      <c r="BO254" s="23">
        <v>0.81</v>
      </c>
      <c r="BP254" s="24">
        <v>0.93</v>
      </c>
      <c r="BQ254" s="18">
        <v>8.1999999999999993</v>
      </c>
      <c r="BR254" s="18">
        <v>6.1999999999999993</v>
      </c>
      <c r="BS254" s="18">
        <v>7.1999999999999993</v>
      </c>
      <c r="BT254" s="17">
        <v>10.97</v>
      </c>
      <c r="BU254" s="18">
        <v>10.57</v>
      </c>
      <c r="BV254" s="19">
        <v>10.77</v>
      </c>
      <c r="BW254" s="17">
        <v>2.71</v>
      </c>
      <c r="BX254" s="23">
        <v>2.4299999999999997</v>
      </c>
      <c r="BY254" s="24">
        <v>2.57</v>
      </c>
      <c r="BZ254" s="17">
        <v>9.59</v>
      </c>
      <c r="CA254" s="18">
        <v>6.59</v>
      </c>
      <c r="CB254" s="19">
        <v>8.09</v>
      </c>
      <c r="CC254" s="17">
        <v>6.49</v>
      </c>
      <c r="CD254" s="18">
        <v>6.25</v>
      </c>
      <c r="CE254" s="19">
        <v>6.37</v>
      </c>
      <c r="CF254" s="17">
        <v>1.88</v>
      </c>
      <c r="CG254" s="18">
        <v>1.38</v>
      </c>
      <c r="CH254" s="19">
        <v>1.63</v>
      </c>
      <c r="CI254" s="17">
        <v>0.43</v>
      </c>
      <c r="CJ254" s="18">
        <v>0.39</v>
      </c>
      <c r="CK254" s="19">
        <v>0.41000000000000003</v>
      </c>
      <c r="CL254" s="17">
        <v>38.4</v>
      </c>
      <c r="CM254">
        <v>36</v>
      </c>
      <c r="CN254">
        <v>37.200000000000003</v>
      </c>
      <c r="CO254">
        <v>6.73</v>
      </c>
      <c r="CP254">
        <v>1.7300000000000004</v>
      </c>
      <c r="CQ254">
        <v>4.2300000000000004</v>
      </c>
    </row>
    <row r="255" spans="1:95">
      <c r="A255" s="223">
        <v>45542</v>
      </c>
      <c r="B255" s="16" t="s">
        <v>307</v>
      </c>
      <c r="C255" s="17"/>
      <c r="D255" s="18"/>
      <c r="E255" s="19"/>
      <c r="F255" s="17"/>
      <c r="G255" s="18"/>
      <c r="H255" s="19"/>
      <c r="I255" s="17"/>
      <c r="J255" s="18"/>
      <c r="K255" s="19"/>
      <c r="L255" s="18"/>
      <c r="M255" s="18"/>
      <c r="N255" s="18"/>
      <c r="O255" s="17"/>
      <c r="P255" s="18"/>
      <c r="Q255" s="19"/>
      <c r="R255" s="18"/>
      <c r="S255" s="18"/>
      <c r="T255" s="18"/>
      <c r="U255" s="17"/>
      <c r="V255" s="18"/>
      <c r="W255" s="19"/>
      <c r="X255" s="17"/>
      <c r="Y255" s="18"/>
      <c r="Z255" s="19"/>
      <c r="AA255" s="17"/>
      <c r="AB255" s="18"/>
      <c r="AC255" s="19"/>
      <c r="AD255" s="17"/>
      <c r="AE255" s="18"/>
      <c r="AF255" s="19"/>
      <c r="AG255" s="18"/>
      <c r="AH255" s="18"/>
      <c r="AI255" s="18"/>
      <c r="AJ255" s="20"/>
      <c r="AK255" s="21"/>
      <c r="AL255" s="22"/>
      <c r="AM255" s="18"/>
      <c r="AN255" s="18"/>
      <c r="AO255" s="18"/>
      <c r="AP255" s="17"/>
      <c r="AQ255" s="18"/>
      <c r="AR255" s="19"/>
      <c r="AS255" s="18"/>
      <c r="AT255" s="18"/>
      <c r="AU255" s="18"/>
      <c r="AV255" s="17"/>
      <c r="AW255" s="18"/>
      <c r="AX255" s="19"/>
      <c r="AY255" s="17"/>
      <c r="AZ255" s="18"/>
      <c r="BA255" s="19"/>
      <c r="BB255" s="17"/>
      <c r="BC255" s="23"/>
      <c r="BD255" s="24"/>
      <c r="BE255" s="18"/>
      <c r="BF255" s="23"/>
      <c r="BG255" s="23"/>
      <c r="BH255" s="17"/>
      <c r="BI255" s="18"/>
      <c r="BJ255" s="19"/>
      <c r="BK255" s="18"/>
      <c r="BL255" s="18"/>
      <c r="BM255" s="18"/>
      <c r="BN255" s="25"/>
      <c r="BO255" s="23"/>
      <c r="BP255" s="24"/>
      <c r="BQ255" s="18"/>
      <c r="BR255" s="18"/>
      <c r="BS255" s="18"/>
      <c r="BT255" s="17"/>
      <c r="BU255" s="18"/>
      <c r="BV255" s="19"/>
      <c r="BW255" s="17"/>
      <c r="BX255" s="23"/>
      <c r="BY255" s="24"/>
      <c r="BZ255" s="17"/>
      <c r="CA255" s="18"/>
      <c r="CB255" s="19"/>
      <c r="CC255" s="17"/>
      <c r="CD255" s="18"/>
      <c r="CE255" s="19"/>
      <c r="CF255" s="17"/>
      <c r="CG255" s="18"/>
      <c r="CH255" s="19"/>
      <c r="CI255" s="17"/>
      <c r="CJ255" s="18"/>
      <c r="CK255" s="19"/>
      <c r="CL255" s="17"/>
    </row>
    <row r="256" spans="1:95">
      <c r="A256" s="223">
        <v>45543</v>
      </c>
      <c r="B256" s="16" t="s">
        <v>308</v>
      </c>
      <c r="C256" s="17"/>
      <c r="D256" s="18"/>
      <c r="E256" s="19"/>
      <c r="F256" s="17"/>
      <c r="G256" s="18"/>
      <c r="H256" s="19"/>
      <c r="I256" s="17"/>
      <c r="J256" s="18"/>
      <c r="K256" s="19"/>
      <c r="L256" s="18"/>
      <c r="M256" s="18"/>
      <c r="N256" s="18"/>
      <c r="O256" s="17"/>
      <c r="P256" s="18"/>
      <c r="Q256" s="19"/>
      <c r="R256" s="18"/>
      <c r="S256" s="18"/>
      <c r="T256" s="18"/>
      <c r="U256" s="17"/>
      <c r="V256" s="18"/>
      <c r="W256" s="19"/>
      <c r="X256" s="17"/>
      <c r="Y256" s="18"/>
      <c r="Z256" s="19"/>
      <c r="AA256" s="17"/>
      <c r="AB256" s="18"/>
      <c r="AC256" s="19"/>
      <c r="AD256" s="17"/>
      <c r="AE256" s="18"/>
      <c r="AF256" s="19"/>
      <c r="AG256" s="18"/>
      <c r="AH256" s="18"/>
      <c r="AI256" s="18"/>
      <c r="AJ256" s="20"/>
      <c r="AK256" s="21"/>
      <c r="AL256" s="22"/>
      <c r="AM256" s="18"/>
      <c r="AN256" s="18"/>
      <c r="AO256" s="18"/>
      <c r="AP256" s="17"/>
      <c r="AQ256" s="18"/>
      <c r="AR256" s="19"/>
      <c r="AS256" s="18"/>
      <c r="AT256" s="18"/>
      <c r="AU256" s="18"/>
      <c r="AV256" s="17"/>
      <c r="AW256" s="18"/>
      <c r="AX256" s="19"/>
      <c r="AY256" s="17"/>
      <c r="AZ256" s="18"/>
      <c r="BA256" s="19"/>
      <c r="BB256" s="17"/>
      <c r="BC256" s="23"/>
      <c r="BD256" s="24"/>
      <c r="BE256" s="18"/>
      <c r="BF256" s="23"/>
      <c r="BG256" s="23"/>
      <c r="BH256" s="17"/>
      <c r="BI256" s="18"/>
      <c r="BJ256" s="19"/>
      <c r="BK256" s="18"/>
      <c r="BL256" s="18"/>
      <c r="BM256" s="18"/>
      <c r="BN256" s="25"/>
      <c r="BO256" s="23"/>
      <c r="BP256" s="24"/>
      <c r="BQ256" s="18"/>
      <c r="BR256" s="18"/>
      <c r="BS256" s="18"/>
      <c r="BT256" s="17"/>
      <c r="BU256" s="18"/>
      <c r="BV256" s="19"/>
      <c r="BW256" s="17"/>
      <c r="BX256" s="23"/>
      <c r="BY256" s="24"/>
      <c r="BZ256" s="17"/>
      <c r="CA256" s="18"/>
      <c r="CB256" s="19"/>
      <c r="CC256" s="17"/>
      <c r="CD256" s="18"/>
      <c r="CE256" s="19"/>
      <c r="CF256" s="17"/>
      <c r="CG256" s="18"/>
      <c r="CH256" s="19"/>
      <c r="CI256" s="17"/>
      <c r="CJ256" s="18"/>
      <c r="CK256" s="19"/>
      <c r="CL256" s="17"/>
    </row>
    <row r="257" spans="1:95">
      <c r="A257" s="223">
        <v>45544</v>
      </c>
      <c r="B257" s="16" t="s">
        <v>96</v>
      </c>
      <c r="C257" s="18">
        <v>143.78</v>
      </c>
      <c r="D257" s="18">
        <v>141.78</v>
      </c>
      <c r="E257" s="18">
        <v>142.78</v>
      </c>
      <c r="F257" s="17">
        <v>159.72999999999999</v>
      </c>
      <c r="G257" s="18">
        <v>156.72999999999999</v>
      </c>
      <c r="H257" s="19">
        <v>158.22999999999999</v>
      </c>
      <c r="I257" s="18">
        <v>106.87</v>
      </c>
      <c r="J257" s="18">
        <v>103.67</v>
      </c>
      <c r="K257" s="18">
        <v>105.27000000000001</v>
      </c>
      <c r="L257" s="17">
        <v>191.51</v>
      </c>
      <c r="M257" s="18">
        <v>183.51</v>
      </c>
      <c r="N257" s="19">
        <v>187.51</v>
      </c>
      <c r="O257" s="18">
        <v>169.97</v>
      </c>
      <c r="P257" s="18">
        <v>168.17</v>
      </c>
      <c r="Q257" s="18">
        <v>169.07</v>
      </c>
      <c r="R257" s="17">
        <v>21.51</v>
      </c>
      <c r="S257" s="18">
        <v>20.91</v>
      </c>
      <c r="T257" s="19">
        <v>21.21</v>
      </c>
      <c r="U257" s="17">
        <v>13.62</v>
      </c>
      <c r="V257" s="18">
        <v>13.02</v>
      </c>
      <c r="W257" s="19">
        <v>13.32</v>
      </c>
      <c r="X257" s="17">
        <v>14.24</v>
      </c>
      <c r="Y257" s="18">
        <v>13.44</v>
      </c>
      <c r="Z257" s="19">
        <v>13.84</v>
      </c>
      <c r="AA257" s="17">
        <v>97.28</v>
      </c>
      <c r="AB257" s="18">
        <v>93.28</v>
      </c>
      <c r="AC257" s="19">
        <v>95.28</v>
      </c>
      <c r="AD257" s="18">
        <v>90.17</v>
      </c>
      <c r="AE257" s="18">
        <v>86.17</v>
      </c>
      <c r="AF257" s="18">
        <v>88.17</v>
      </c>
      <c r="AG257" s="17">
        <v>18.739999999999998</v>
      </c>
      <c r="AH257" s="18">
        <v>17.88</v>
      </c>
      <c r="AI257" s="19">
        <v>18.309999999999999</v>
      </c>
      <c r="AJ257" s="20"/>
      <c r="AK257" s="21"/>
      <c r="AL257" s="22"/>
      <c r="AM257" s="17">
        <v>110.34</v>
      </c>
      <c r="AN257" s="18">
        <v>108.68</v>
      </c>
      <c r="AO257" s="19">
        <v>109.51</v>
      </c>
      <c r="AP257" s="17">
        <v>38.89</v>
      </c>
      <c r="AQ257" s="18">
        <v>37.29</v>
      </c>
      <c r="AR257" s="19">
        <v>38.090000000000003</v>
      </c>
      <c r="AS257" s="18">
        <v>39.619999999999997</v>
      </c>
      <c r="AT257" s="18">
        <v>38.26</v>
      </c>
      <c r="AU257" s="18">
        <v>38.94</v>
      </c>
      <c r="AV257" s="17">
        <v>20.399999999999999</v>
      </c>
      <c r="AW257" s="18">
        <v>19.799999999999997</v>
      </c>
      <c r="AX257" s="19">
        <v>20.099999999999998</v>
      </c>
      <c r="AY257" s="17">
        <v>4.32</v>
      </c>
      <c r="AZ257" s="18">
        <v>4.16</v>
      </c>
      <c r="BA257" s="19">
        <v>4.24</v>
      </c>
      <c r="BB257" s="17">
        <v>1.86</v>
      </c>
      <c r="BC257" s="23">
        <v>1.56</v>
      </c>
      <c r="BD257" s="24">
        <v>1.71</v>
      </c>
      <c r="BE257" s="17">
        <v>0.66</v>
      </c>
      <c r="BF257" s="23">
        <v>0.36000000000000004</v>
      </c>
      <c r="BG257" s="24">
        <v>0.51</v>
      </c>
      <c r="BH257" s="17">
        <v>475.82</v>
      </c>
      <c r="BI257" s="18">
        <v>459.82</v>
      </c>
      <c r="BJ257" s="19">
        <v>467.82</v>
      </c>
      <c r="BK257" s="18">
        <v>39.799999999999997</v>
      </c>
      <c r="BL257" s="18">
        <v>38.44</v>
      </c>
      <c r="BM257" s="18">
        <v>39.119999999999997</v>
      </c>
      <c r="BN257" s="25">
        <v>1.05</v>
      </c>
      <c r="BO257" s="23">
        <v>0.81</v>
      </c>
      <c r="BP257" s="24">
        <v>0.93</v>
      </c>
      <c r="BQ257" s="18">
        <v>8.15</v>
      </c>
      <c r="BR257" s="18">
        <v>6.15</v>
      </c>
      <c r="BS257" s="18">
        <v>7.15</v>
      </c>
      <c r="BT257" s="17">
        <v>10.87</v>
      </c>
      <c r="BU257" s="18">
        <v>10.469999999999999</v>
      </c>
      <c r="BV257" s="19">
        <v>10.669999999999998</v>
      </c>
      <c r="BW257" s="17">
        <v>2.71</v>
      </c>
      <c r="BX257" s="23">
        <v>2.4299999999999997</v>
      </c>
      <c r="BY257" s="24">
        <v>2.57</v>
      </c>
      <c r="BZ257" s="17">
        <v>9.51</v>
      </c>
      <c r="CA257" s="18">
        <v>6.51</v>
      </c>
      <c r="CB257" s="19">
        <v>8.01</v>
      </c>
      <c r="CC257" s="17">
        <v>6.44</v>
      </c>
      <c r="CD257" s="18">
        <v>6.2</v>
      </c>
      <c r="CE257" s="19">
        <v>6.32</v>
      </c>
      <c r="CF257" s="18">
        <v>1.83</v>
      </c>
      <c r="CG257" s="18">
        <v>1.33</v>
      </c>
      <c r="CH257" s="18">
        <v>1.58</v>
      </c>
      <c r="CI257" s="17">
        <v>0.42</v>
      </c>
      <c r="CJ257" s="18">
        <v>0.38</v>
      </c>
      <c r="CK257" s="19">
        <v>0.4</v>
      </c>
      <c r="CL257" s="17">
        <v>38.15</v>
      </c>
      <c r="CM257">
        <v>35.75</v>
      </c>
      <c r="CN257">
        <v>36.950000000000003</v>
      </c>
      <c r="CO257">
        <v>6.7</v>
      </c>
      <c r="CP257">
        <v>1.7000000000000002</v>
      </c>
      <c r="CQ257">
        <v>4.2</v>
      </c>
    </row>
    <row r="258" spans="1:95">
      <c r="A258" s="223">
        <v>45545</v>
      </c>
      <c r="B258" s="16" t="s">
        <v>97</v>
      </c>
      <c r="C258" s="17">
        <v>144.53</v>
      </c>
      <c r="D258" s="18">
        <v>142.53</v>
      </c>
      <c r="E258" s="19">
        <v>143.53</v>
      </c>
      <c r="F258" s="17">
        <v>159.83000000000001</v>
      </c>
      <c r="G258" s="18">
        <v>156.83000000000001</v>
      </c>
      <c r="H258" s="19">
        <v>158.33000000000001</v>
      </c>
      <c r="I258" s="17">
        <v>107.38</v>
      </c>
      <c r="J258" s="18">
        <v>104.17999999999999</v>
      </c>
      <c r="K258" s="19">
        <v>105.78</v>
      </c>
      <c r="L258" s="18">
        <v>191.52</v>
      </c>
      <c r="M258" s="18">
        <v>183.52</v>
      </c>
      <c r="N258" s="18">
        <v>187.52</v>
      </c>
      <c r="O258" s="17">
        <v>169.82</v>
      </c>
      <c r="P258" s="18">
        <v>168.01999999999998</v>
      </c>
      <c r="Q258" s="19">
        <v>168.92</v>
      </c>
      <c r="R258" s="18">
        <v>21.52</v>
      </c>
      <c r="S258" s="18">
        <v>20.919999999999998</v>
      </c>
      <c r="T258" s="18">
        <v>21.22</v>
      </c>
      <c r="U258" s="17">
        <v>13.53</v>
      </c>
      <c r="V258" s="18">
        <v>12.93</v>
      </c>
      <c r="W258" s="19">
        <v>13.23</v>
      </c>
      <c r="X258" s="17">
        <v>14.23</v>
      </c>
      <c r="Y258" s="18">
        <v>13.43</v>
      </c>
      <c r="Z258" s="19">
        <v>13.83</v>
      </c>
      <c r="AA258" s="17">
        <v>97.45</v>
      </c>
      <c r="AB258" s="18">
        <v>93.45</v>
      </c>
      <c r="AC258" s="19">
        <v>95.45</v>
      </c>
      <c r="AD258" s="17">
        <v>90.03</v>
      </c>
      <c r="AE258" s="18">
        <v>86.03</v>
      </c>
      <c r="AF258" s="19">
        <v>88.03</v>
      </c>
      <c r="AG258" s="18">
        <v>18.829999999999998</v>
      </c>
      <c r="AH258" s="18">
        <v>17.97</v>
      </c>
      <c r="AI258" s="18">
        <v>18.399999999999999</v>
      </c>
      <c r="AJ258" s="20"/>
      <c r="AK258" s="21"/>
      <c r="AL258" s="22"/>
      <c r="AM258" s="18">
        <v>110.65</v>
      </c>
      <c r="AN258" s="18">
        <v>108.99000000000001</v>
      </c>
      <c r="AO258" s="18">
        <v>109.82000000000001</v>
      </c>
      <c r="AP258" s="17">
        <v>38.979999999999997</v>
      </c>
      <c r="AQ258" s="18">
        <v>37.379999999999995</v>
      </c>
      <c r="AR258" s="19">
        <v>38.179999999999993</v>
      </c>
      <c r="AS258" s="18">
        <v>39.69</v>
      </c>
      <c r="AT258" s="18">
        <v>38.33</v>
      </c>
      <c r="AU258" s="18">
        <v>39.01</v>
      </c>
      <c r="AV258" s="17">
        <v>20.45</v>
      </c>
      <c r="AW258" s="18">
        <v>19.849999999999998</v>
      </c>
      <c r="AX258" s="19">
        <v>20.149999999999999</v>
      </c>
      <c r="AY258" s="17">
        <v>4.32</v>
      </c>
      <c r="AZ258" s="18">
        <v>4.16</v>
      </c>
      <c r="BA258" s="19">
        <v>4.24</v>
      </c>
      <c r="BB258" s="17">
        <v>1.87</v>
      </c>
      <c r="BC258" s="23">
        <v>1.57</v>
      </c>
      <c r="BD258" s="24">
        <v>1.7200000000000002</v>
      </c>
      <c r="BE258" s="18">
        <v>0.67</v>
      </c>
      <c r="BF258" s="23">
        <v>0.37000000000000005</v>
      </c>
      <c r="BG258" s="23">
        <v>0.52</v>
      </c>
      <c r="BH258" s="17">
        <v>477.36</v>
      </c>
      <c r="BI258" s="18">
        <v>461.36</v>
      </c>
      <c r="BJ258" s="19">
        <v>469.36</v>
      </c>
      <c r="BK258" s="18">
        <v>40.119999999999997</v>
      </c>
      <c r="BL258" s="18">
        <v>38.76</v>
      </c>
      <c r="BM258" s="18">
        <v>39.44</v>
      </c>
      <c r="BN258" s="25">
        <v>1.05</v>
      </c>
      <c r="BO258" s="23">
        <v>0.81</v>
      </c>
      <c r="BP258" s="24">
        <v>0.93</v>
      </c>
      <c r="BQ258" s="18">
        <v>8.2100000000000009</v>
      </c>
      <c r="BR258" s="18">
        <v>6.2100000000000009</v>
      </c>
      <c r="BS258" s="18">
        <v>7.2100000000000009</v>
      </c>
      <c r="BT258" s="17">
        <v>10.88</v>
      </c>
      <c r="BU258" s="18">
        <v>10.48</v>
      </c>
      <c r="BV258" s="19">
        <v>10.68</v>
      </c>
      <c r="BW258" s="17">
        <v>2.7</v>
      </c>
      <c r="BX258" s="23">
        <v>2.42</v>
      </c>
      <c r="BY258" s="24">
        <v>2.56</v>
      </c>
      <c r="BZ258" s="17">
        <v>9.51</v>
      </c>
      <c r="CA258" s="18">
        <v>6.51</v>
      </c>
      <c r="CB258" s="19">
        <v>8.01</v>
      </c>
      <c r="CC258" s="17">
        <v>6.45</v>
      </c>
      <c r="CD258" s="18">
        <v>6.21</v>
      </c>
      <c r="CE258" s="19">
        <v>6.33</v>
      </c>
      <c r="CF258" s="17">
        <v>1.84</v>
      </c>
      <c r="CG258" s="18">
        <v>1.34</v>
      </c>
      <c r="CH258" s="19">
        <v>1.59</v>
      </c>
      <c r="CI258" s="17">
        <v>0.42</v>
      </c>
      <c r="CJ258" s="18">
        <v>0.38</v>
      </c>
      <c r="CK258" s="19">
        <v>0.4</v>
      </c>
      <c r="CL258" s="17">
        <v>38.25</v>
      </c>
      <c r="CM258">
        <v>35.85</v>
      </c>
      <c r="CN258">
        <v>37.049999999999997</v>
      </c>
      <c r="CO258">
        <v>6.72</v>
      </c>
      <c r="CP258">
        <v>1.7199999999999998</v>
      </c>
      <c r="CQ258">
        <v>4.22</v>
      </c>
    </row>
    <row r="259" spans="1:95">
      <c r="A259" s="223">
        <v>45546</v>
      </c>
      <c r="B259" s="16" t="s">
        <v>98</v>
      </c>
      <c r="C259" s="17">
        <v>143.12</v>
      </c>
      <c r="D259" s="18">
        <v>141.12</v>
      </c>
      <c r="E259" s="19">
        <v>142.12</v>
      </c>
      <c r="F259" s="17">
        <v>158.13</v>
      </c>
      <c r="G259" s="18">
        <v>155.13</v>
      </c>
      <c r="H259" s="19">
        <v>156.63</v>
      </c>
      <c r="I259" s="17">
        <v>106</v>
      </c>
      <c r="J259" s="18">
        <v>102.8</v>
      </c>
      <c r="K259" s="19">
        <v>104.4</v>
      </c>
      <c r="L259" s="18">
        <v>189.77</v>
      </c>
      <c r="M259" s="18">
        <v>181.77</v>
      </c>
      <c r="N259" s="18">
        <v>185.77</v>
      </c>
      <c r="O259" s="17">
        <v>168.81</v>
      </c>
      <c r="P259" s="18">
        <v>167.01</v>
      </c>
      <c r="Q259" s="19">
        <v>167.91</v>
      </c>
      <c r="R259" s="18">
        <v>21.29</v>
      </c>
      <c r="S259" s="18">
        <v>20.689999999999998</v>
      </c>
      <c r="T259" s="18">
        <v>20.99</v>
      </c>
      <c r="U259" s="17">
        <v>13.43</v>
      </c>
      <c r="V259" s="18">
        <v>12.83</v>
      </c>
      <c r="W259" s="19">
        <v>13.129999999999999</v>
      </c>
      <c r="X259" s="17">
        <v>14.11</v>
      </c>
      <c r="Y259" s="18">
        <v>13.309999999999999</v>
      </c>
      <c r="Z259" s="19">
        <v>13.709999999999999</v>
      </c>
      <c r="AA259" s="17">
        <v>96.51</v>
      </c>
      <c r="AB259" s="18">
        <v>92.51</v>
      </c>
      <c r="AC259" s="19">
        <v>94.51</v>
      </c>
      <c r="AD259" s="17">
        <v>89.29</v>
      </c>
      <c r="AE259" s="18">
        <v>85.29</v>
      </c>
      <c r="AF259" s="19">
        <v>87.29</v>
      </c>
      <c r="AG259" s="18">
        <v>18.66</v>
      </c>
      <c r="AH259" s="18">
        <v>17.8</v>
      </c>
      <c r="AI259" s="18">
        <v>18.23</v>
      </c>
      <c r="AJ259" s="20"/>
      <c r="AK259" s="21"/>
      <c r="AL259" s="22"/>
      <c r="AM259" s="18">
        <v>109.77</v>
      </c>
      <c r="AN259" s="18">
        <v>108.11</v>
      </c>
      <c r="AO259" s="18">
        <v>108.94</v>
      </c>
      <c r="AP259" s="17">
        <v>38.74</v>
      </c>
      <c r="AQ259" s="18">
        <v>37.14</v>
      </c>
      <c r="AR259" s="19">
        <v>37.94</v>
      </c>
      <c r="AS259" s="18">
        <v>39.44</v>
      </c>
      <c r="AT259" s="18">
        <v>38.08</v>
      </c>
      <c r="AU259" s="18">
        <v>38.76</v>
      </c>
      <c r="AV259" s="17">
        <v>20.21</v>
      </c>
      <c r="AW259" s="18">
        <v>19.61</v>
      </c>
      <c r="AX259" s="19">
        <v>19.91</v>
      </c>
      <c r="AY259" s="17">
        <v>4.3099999999999996</v>
      </c>
      <c r="AZ259" s="18">
        <v>4.1499999999999995</v>
      </c>
      <c r="BA259" s="19">
        <v>4.2299999999999995</v>
      </c>
      <c r="BB259" s="17">
        <v>1.85</v>
      </c>
      <c r="BC259" s="23">
        <v>1.55</v>
      </c>
      <c r="BD259" s="24">
        <v>1.7000000000000002</v>
      </c>
      <c r="BE259" s="18">
        <v>0.66</v>
      </c>
      <c r="BF259" s="23">
        <v>0.36000000000000004</v>
      </c>
      <c r="BG259" s="23">
        <v>0.51</v>
      </c>
      <c r="BH259" s="17">
        <v>474.12</v>
      </c>
      <c r="BI259" s="18">
        <v>458.12</v>
      </c>
      <c r="BJ259" s="19">
        <v>466.12</v>
      </c>
      <c r="BK259" s="18">
        <v>39.729999999999997</v>
      </c>
      <c r="BL259" s="18">
        <v>38.369999999999997</v>
      </c>
      <c r="BM259" s="18">
        <v>39.049999999999997</v>
      </c>
      <c r="BN259" s="25">
        <v>1.04</v>
      </c>
      <c r="BO259" s="23">
        <v>0.8</v>
      </c>
      <c r="BP259" s="24">
        <v>0.92</v>
      </c>
      <c r="BQ259" s="18">
        <v>8.06</v>
      </c>
      <c r="BR259" s="18">
        <v>6.0600000000000005</v>
      </c>
      <c r="BS259" s="18">
        <v>7.0600000000000005</v>
      </c>
      <c r="BT259" s="17">
        <v>10.79</v>
      </c>
      <c r="BU259" s="18">
        <v>10.389999999999999</v>
      </c>
      <c r="BV259" s="19">
        <v>10.59</v>
      </c>
      <c r="BW259" s="17">
        <v>2.68</v>
      </c>
      <c r="BX259" s="23">
        <v>2.4000000000000004</v>
      </c>
      <c r="BY259" s="24">
        <v>2.54</v>
      </c>
      <c r="BZ259" s="17">
        <v>9.41</v>
      </c>
      <c r="CA259" s="18">
        <v>6.41</v>
      </c>
      <c r="CB259" s="19">
        <v>7.91</v>
      </c>
      <c r="CC259" s="17">
        <v>6.38</v>
      </c>
      <c r="CD259" s="18">
        <v>6.14</v>
      </c>
      <c r="CE259" s="19">
        <v>6.26</v>
      </c>
      <c r="CF259" s="17">
        <v>1.81</v>
      </c>
      <c r="CG259" s="18">
        <v>1.31</v>
      </c>
      <c r="CH259" s="19">
        <v>1.56</v>
      </c>
      <c r="CI259" s="17">
        <v>0.41</v>
      </c>
      <c r="CJ259" s="18">
        <v>0.37</v>
      </c>
      <c r="CK259" s="19">
        <v>0.39</v>
      </c>
      <c r="CL259" s="17">
        <v>37.86</v>
      </c>
      <c r="CM259">
        <v>35.46</v>
      </c>
      <c r="CN259">
        <v>36.659999999999997</v>
      </c>
      <c r="CO259">
        <v>6.68</v>
      </c>
      <c r="CP259">
        <v>1.6799999999999997</v>
      </c>
      <c r="CQ259">
        <v>4.18</v>
      </c>
    </row>
    <row r="260" spans="1:95">
      <c r="A260" s="223">
        <v>45547</v>
      </c>
      <c r="B260" s="16" t="s">
        <v>99</v>
      </c>
      <c r="C260" s="17">
        <v>143.85</v>
      </c>
      <c r="D260" s="18">
        <v>141.85</v>
      </c>
      <c r="E260" s="19">
        <v>142.85</v>
      </c>
      <c r="F260" s="17">
        <v>158.71</v>
      </c>
      <c r="G260" s="18">
        <v>155.71</v>
      </c>
      <c r="H260" s="19">
        <v>157.21</v>
      </c>
      <c r="I260" s="17">
        <v>106.8</v>
      </c>
      <c r="J260" s="18">
        <v>103.6</v>
      </c>
      <c r="K260" s="19">
        <v>105.19999999999999</v>
      </c>
      <c r="L260" s="18">
        <v>190.22</v>
      </c>
      <c r="M260" s="18">
        <v>182.22</v>
      </c>
      <c r="N260" s="18">
        <v>186.22</v>
      </c>
      <c r="O260" s="17">
        <v>168.31</v>
      </c>
      <c r="P260" s="18">
        <v>166.51</v>
      </c>
      <c r="Q260" s="19">
        <v>167.41</v>
      </c>
      <c r="R260" s="18">
        <v>21.37</v>
      </c>
      <c r="S260" s="18">
        <v>20.77</v>
      </c>
      <c r="T260" s="18">
        <v>21.07</v>
      </c>
      <c r="U260" s="17">
        <v>13.44</v>
      </c>
      <c r="V260" s="18">
        <v>12.84</v>
      </c>
      <c r="W260" s="19">
        <v>13.14</v>
      </c>
      <c r="X260" s="17">
        <v>14.13</v>
      </c>
      <c r="Y260" s="18">
        <v>13.33</v>
      </c>
      <c r="Z260" s="19">
        <v>13.73</v>
      </c>
      <c r="AA260" s="17">
        <v>97.38</v>
      </c>
      <c r="AB260" s="18">
        <v>93.38</v>
      </c>
      <c r="AC260" s="19">
        <v>95.38</v>
      </c>
      <c r="AD260" s="17">
        <v>89.57</v>
      </c>
      <c r="AE260" s="18">
        <v>85.57</v>
      </c>
      <c r="AF260" s="19">
        <v>87.57</v>
      </c>
      <c r="AG260" s="18">
        <v>18.75</v>
      </c>
      <c r="AH260" s="18">
        <v>17.89</v>
      </c>
      <c r="AI260" s="18">
        <v>18.32</v>
      </c>
      <c r="AJ260" s="20"/>
      <c r="AK260" s="21"/>
      <c r="AL260" s="22"/>
      <c r="AM260" s="18">
        <v>110.3</v>
      </c>
      <c r="AN260" s="18">
        <v>108.64</v>
      </c>
      <c r="AO260" s="18">
        <v>109.47</v>
      </c>
      <c r="AP260" s="17">
        <v>38.92</v>
      </c>
      <c r="AQ260" s="18">
        <v>37.32</v>
      </c>
      <c r="AR260" s="19">
        <v>38.120000000000005</v>
      </c>
      <c r="AS260" s="18">
        <v>39.64</v>
      </c>
      <c r="AT260" s="18">
        <v>38.28</v>
      </c>
      <c r="AU260" s="18">
        <v>38.96</v>
      </c>
      <c r="AV260" s="17">
        <v>20.329999999999998</v>
      </c>
      <c r="AW260" s="18">
        <v>19.729999999999997</v>
      </c>
      <c r="AX260" s="19">
        <v>20.029999999999998</v>
      </c>
      <c r="AY260" s="17">
        <v>4.3099999999999996</v>
      </c>
      <c r="AZ260" s="18">
        <v>4.1499999999999995</v>
      </c>
      <c r="BA260" s="19">
        <v>4.2299999999999995</v>
      </c>
      <c r="BB260" s="17">
        <v>1.86</v>
      </c>
      <c r="BC260" s="23">
        <v>1.56</v>
      </c>
      <c r="BD260" s="24">
        <v>1.71</v>
      </c>
      <c r="BE260" s="18">
        <v>0.67</v>
      </c>
      <c r="BF260" s="23">
        <v>0.37000000000000005</v>
      </c>
      <c r="BG260" s="23">
        <v>0.52</v>
      </c>
      <c r="BH260" s="17">
        <v>476.21</v>
      </c>
      <c r="BI260" s="18">
        <v>460.21</v>
      </c>
      <c r="BJ260" s="19">
        <v>468.21</v>
      </c>
      <c r="BK260" s="18">
        <v>39.94</v>
      </c>
      <c r="BL260" s="18">
        <v>38.58</v>
      </c>
      <c r="BM260" s="18">
        <v>39.26</v>
      </c>
      <c r="BN260" s="25">
        <v>1.05</v>
      </c>
      <c r="BO260" s="23">
        <v>0.81</v>
      </c>
      <c r="BP260" s="24">
        <v>0.93</v>
      </c>
      <c r="BQ260" s="18">
        <v>8.2100000000000009</v>
      </c>
      <c r="BR260" s="18">
        <v>6.2100000000000009</v>
      </c>
      <c r="BS260" s="18">
        <v>7.2100000000000009</v>
      </c>
      <c r="BT260" s="17">
        <v>10.89</v>
      </c>
      <c r="BU260" s="18">
        <v>10.49</v>
      </c>
      <c r="BV260" s="19">
        <v>10.690000000000001</v>
      </c>
      <c r="BW260" s="17">
        <v>2.71</v>
      </c>
      <c r="BX260" s="23">
        <v>2.4299999999999997</v>
      </c>
      <c r="BY260" s="24">
        <v>2.57</v>
      </c>
      <c r="BZ260" s="17">
        <v>9.4600000000000009</v>
      </c>
      <c r="CA260" s="18">
        <v>6.4600000000000009</v>
      </c>
      <c r="CB260" s="19">
        <v>7.9600000000000009</v>
      </c>
      <c r="CC260" s="17">
        <v>6.39</v>
      </c>
      <c r="CD260" s="18">
        <v>6.1499999999999995</v>
      </c>
      <c r="CE260" s="19">
        <v>6.27</v>
      </c>
      <c r="CF260" s="17">
        <v>1.81</v>
      </c>
      <c r="CG260" s="18">
        <v>1.31</v>
      </c>
      <c r="CH260" s="19">
        <v>1.56</v>
      </c>
      <c r="CI260" s="17">
        <v>0.42</v>
      </c>
      <c r="CJ260" s="18">
        <v>0.38</v>
      </c>
      <c r="CK260" s="19">
        <v>0.4</v>
      </c>
      <c r="CL260" s="17">
        <v>37.89</v>
      </c>
      <c r="CM260">
        <v>35.49</v>
      </c>
      <c r="CN260">
        <v>36.69</v>
      </c>
      <c r="CO260">
        <v>6.71</v>
      </c>
      <c r="CP260">
        <v>1.71</v>
      </c>
      <c r="CQ260">
        <v>4.21</v>
      </c>
    </row>
    <row r="261" spans="1:95">
      <c r="A261" s="223">
        <v>45548</v>
      </c>
      <c r="B261" s="16" t="s">
        <v>100</v>
      </c>
      <c r="C261" s="18">
        <v>142.54</v>
      </c>
      <c r="D261" s="18">
        <v>140.54</v>
      </c>
      <c r="E261" s="18">
        <v>141.54</v>
      </c>
      <c r="F261" s="17">
        <v>158.38</v>
      </c>
      <c r="G261" s="18">
        <v>155.38</v>
      </c>
      <c r="H261" s="19">
        <v>156.88</v>
      </c>
      <c r="I261" s="18">
        <v>105.9</v>
      </c>
      <c r="J261" s="18">
        <v>102.7</v>
      </c>
      <c r="K261" s="18">
        <v>104.30000000000001</v>
      </c>
      <c r="L261" s="17">
        <v>190.01</v>
      </c>
      <c r="M261" s="18">
        <v>182.01</v>
      </c>
      <c r="N261" s="19">
        <v>186.01</v>
      </c>
      <c r="O261" s="18">
        <v>167.36</v>
      </c>
      <c r="P261" s="18">
        <v>165.56</v>
      </c>
      <c r="Q261" s="18">
        <v>166.46</v>
      </c>
      <c r="R261" s="17">
        <v>21.32</v>
      </c>
      <c r="S261" s="18">
        <v>20.72</v>
      </c>
      <c r="T261" s="19">
        <v>21.02</v>
      </c>
      <c r="U261" s="17">
        <v>13.53</v>
      </c>
      <c r="V261" s="18">
        <v>12.93</v>
      </c>
      <c r="W261" s="19">
        <v>13.23</v>
      </c>
      <c r="X261" s="17">
        <v>14.19</v>
      </c>
      <c r="Y261" s="18">
        <v>13.389999999999999</v>
      </c>
      <c r="Z261" s="19">
        <v>13.79</v>
      </c>
      <c r="AA261" s="17">
        <v>97.2</v>
      </c>
      <c r="AB261" s="18">
        <v>93.2</v>
      </c>
      <c r="AC261" s="19">
        <v>95.2</v>
      </c>
      <c r="AD261" s="18">
        <v>89.58</v>
      </c>
      <c r="AE261" s="18">
        <v>85.58</v>
      </c>
      <c r="AF261" s="18">
        <v>87.58</v>
      </c>
      <c r="AG261" s="17">
        <v>18.57</v>
      </c>
      <c r="AH261" s="18">
        <v>17.71</v>
      </c>
      <c r="AI261" s="19">
        <v>18.14</v>
      </c>
      <c r="AJ261" s="20"/>
      <c r="AK261" s="21"/>
      <c r="AL261" s="22"/>
      <c r="AM261" s="17">
        <v>109.72</v>
      </c>
      <c r="AN261" s="18">
        <v>108.06</v>
      </c>
      <c r="AO261" s="19">
        <v>108.89</v>
      </c>
      <c r="AP261" s="17">
        <v>38.57</v>
      </c>
      <c r="AQ261" s="18">
        <v>36.97</v>
      </c>
      <c r="AR261" s="19">
        <v>37.769999999999996</v>
      </c>
      <c r="AS261" s="18">
        <v>39.28</v>
      </c>
      <c r="AT261" s="18">
        <v>37.92</v>
      </c>
      <c r="AU261" s="18">
        <v>38.6</v>
      </c>
      <c r="AV261" s="17">
        <v>20.2</v>
      </c>
      <c r="AW261" s="18">
        <v>19.599999999999998</v>
      </c>
      <c r="AX261" s="19">
        <v>19.899999999999999</v>
      </c>
      <c r="AY261" s="17">
        <v>4.33</v>
      </c>
      <c r="AZ261" s="18">
        <v>4.17</v>
      </c>
      <c r="BA261" s="19">
        <v>4.25</v>
      </c>
      <c r="BB261" s="17">
        <v>1.85</v>
      </c>
      <c r="BC261" s="23">
        <v>1.55</v>
      </c>
      <c r="BD261" s="24">
        <v>1.7000000000000002</v>
      </c>
      <c r="BE261" s="17">
        <v>0.66</v>
      </c>
      <c r="BF261" s="23">
        <v>0.36000000000000004</v>
      </c>
      <c r="BG261" s="24">
        <v>0.51</v>
      </c>
      <c r="BH261" s="17">
        <v>472.52</v>
      </c>
      <c r="BI261" s="18">
        <v>456.52</v>
      </c>
      <c r="BJ261" s="19">
        <v>464.52</v>
      </c>
      <c r="BK261" s="18">
        <v>39.58</v>
      </c>
      <c r="BL261" s="18">
        <v>38.22</v>
      </c>
      <c r="BM261" s="18">
        <v>38.9</v>
      </c>
      <c r="BN261" s="25">
        <v>1.04</v>
      </c>
      <c r="BO261" s="23">
        <v>0.8</v>
      </c>
      <c r="BP261" s="24">
        <v>0.92</v>
      </c>
      <c r="BQ261" s="18">
        <v>8.25</v>
      </c>
      <c r="BR261" s="18">
        <v>6.25</v>
      </c>
      <c r="BS261" s="18">
        <v>7.25</v>
      </c>
      <c r="BT261" s="17">
        <v>10.85</v>
      </c>
      <c r="BU261" s="18">
        <v>10.45</v>
      </c>
      <c r="BV261" s="19">
        <v>10.649999999999999</v>
      </c>
      <c r="BW261" s="17">
        <v>2.68</v>
      </c>
      <c r="BX261" s="23">
        <v>2.4000000000000004</v>
      </c>
      <c r="BY261" s="24">
        <v>2.54</v>
      </c>
      <c r="BZ261" s="17">
        <v>9.4700000000000006</v>
      </c>
      <c r="CA261" s="18">
        <v>6.4700000000000006</v>
      </c>
      <c r="CB261" s="19">
        <v>7.9700000000000006</v>
      </c>
      <c r="CC261" s="17">
        <v>6.37</v>
      </c>
      <c r="CD261" s="18">
        <v>6.13</v>
      </c>
      <c r="CE261" s="19">
        <v>6.25</v>
      </c>
      <c r="CF261" s="18">
        <v>1.84</v>
      </c>
      <c r="CG261" s="18">
        <v>1.34</v>
      </c>
      <c r="CH261" s="18">
        <v>1.59</v>
      </c>
      <c r="CI261" s="17">
        <v>0.42</v>
      </c>
      <c r="CJ261" s="18">
        <v>0.38</v>
      </c>
      <c r="CK261" s="19">
        <v>0.4</v>
      </c>
      <c r="CL261" s="17">
        <v>37.83</v>
      </c>
      <c r="CM261">
        <v>35.43</v>
      </c>
      <c r="CN261">
        <v>36.629999999999995</v>
      </c>
      <c r="CO261">
        <v>6.69</v>
      </c>
      <c r="CP261">
        <v>1.6900000000000004</v>
      </c>
      <c r="CQ261">
        <v>4.1900000000000004</v>
      </c>
    </row>
    <row r="262" spans="1:95">
      <c r="A262" s="223">
        <v>45549</v>
      </c>
      <c r="B262" s="16" t="s">
        <v>307</v>
      </c>
      <c r="C262" s="17"/>
      <c r="D262" s="18"/>
      <c r="E262" s="19"/>
      <c r="F262" s="17"/>
      <c r="G262" s="18"/>
      <c r="H262" s="19"/>
      <c r="I262" s="17"/>
      <c r="J262" s="18"/>
      <c r="K262" s="19"/>
      <c r="L262" s="18"/>
      <c r="M262" s="18"/>
      <c r="N262" s="18"/>
      <c r="O262" s="17"/>
      <c r="P262" s="18"/>
      <c r="Q262" s="19"/>
      <c r="R262" s="18"/>
      <c r="S262" s="18"/>
      <c r="T262" s="18"/>
      <c r="U262" s="17"/>
      <c r="V262" s="18"/>
      <c r="W262" s="19"/>
      <c r="X262" s="17"/>
      <c r="Y262" s="18"/>
      <c r="Z262" s="19"/>
      <c r="AA262" s="17"/>
      <c r="AB262" s="18"/>
      <c r="AC262" s="19"/>
      <c r="AD262" s="17"/>
      <c r="AE262" s="18"/>
      <c r="AF262" s="19"/>
      <c r="AG262" s="18"/>
      <c r="AH262" s="18"/>
      <c r="AI262" s="18"/>
      <c r="AJ262" s="20"/>
      <c r="AK262" s="21"/>
      <c r="AL262" s="22"/>
      <c r="AM262" s="18"/>
      <c r="AN262" s="18"/>
      <c r="AO262" s="18"/>
      <c r="AP262" s="17"/>
      <c r="AQ262" s="18"/>
      <c r="AR262" s="19"/>
      <c r="AS262" s="18"/>
      <c r="AT262" s="18"/>
      <c r="AU262" s="18"/>
      <c r="AV262" s="17"/>
      <c r="AW262" s="18"/>
      <c r="AX262" s="19"/>
      <c r="AY262" s="17"/>
      <c r="AZ262" s="18"/>
      <c r="BA262" s="19"/>
      <c r="BB262" s="17"/>
      <c r="BC262" s="23"/>
      <c r="BD262" s="24"/>
      <c r="BE262" s="18"/>
      <c r="BF262" s="23"/>
      <c r="BG262" s="23"/>
      <c r="BH262" s="17"/>
      <c r="BI262" s="18"/>
      <c r="BJ262" s="19"/>
      <c r="BK262" s="18"/>
      <c r="BL262" s="18"/>
      <c r="BM262" s="18"/>
      <c r="BN262" s="25"/>
      <c r="BO262" s="23"/>
      <c r="BP262" s="24"/>
      <c r="BQ262" s="18"/>
      <c r="BR262" s="18"/>
      <c r="BS262" s="18"/>
      <c r="BT262" s="17"/>
      <c r="BU262" s="18"/>
      <c r="BV262" s="19"/>
      <c r="BW262" s="17"/>
      <c r="BX262" s="23"/>
      <c r="BY262" s="24"/>
      <c r="BZ262" s="17"/>
      <c r="CA262" s="18"/>
      <c r="CB262" s="19"/>
      <c r="CC262" s="17"/>
      <c r="CD262" s="18"/>
      <c r="CE262" s="19"/>
      <c r="CF262" s="17"/>
      <c r="CG262" s="18"/>
      <c r="CH262" s="19"/>
      <c r="CI262" s="17"/>
      <c r="CJ262" s="18"/>
      <c r="CK262" s="19"/>
      <c r="CL262" s="17"/>
    </row>
    <row r="263" spans="1:95">
      <c r="A263" s="223">
        <v>45550</v>
      </c>
      <c r="B263" s="16" t="s">
        <v>308</v>
      </c>
      <c r="C263" s="17"/>
      <c r="D263" s="18"/>
      <c r="E263" s="19"/>
      <c r="F263" s="17"/>
      <c r="G263" s="18"/>
      <c r="H263" s="19"/>
      <c r="I263" s="17"/>
      <c r="J263" s="18"/>
      <c r="K263" s="19"/>
      <c r="L263" s="18"/>
      <c r="M263" s="18"/>
      <c r="N263" s="18"/>
      <c r="O263" s="17"/>
      <c r="P263" s="18"/>
      <c r="Q263" s="19"/>
      <c r="R263" s="18"/>
      <c r="S263" s="18"/>
      <c r="T263" s="18"/>
      <c r="U263" s="17"/>
      <c r="V263" s="18"/>
      <c r="W263" s="19"/>
      <c r="X263" s="17"/>
      <c r="Y263" s="18"/>
      <c r="Z263" s="19"/>
      <c r="AA263" s="17"/>
      <c r="AB263" s="18"/>
      <c r="AC263" s="19"/>
      <c r="AD263" s="17"/>
      <c r="AE263" s="18"/>
      <c r="AF263" s="19"/>
      <c r="AG263" s="18"/>
      <c r="AH263" s="18"/>
      <c r="AI263" s="18"/>
      <c r="AJ263" s="20"/>
      <c r="AK263" s="21"/>
      <c r="AL263" s="22"/>
      <c r="AM263" s="18"/>
      <c r="AN263" s="18"/>
      <c r="AO263" s="18"/>
      <c r="AP263" s="17"/>
      <c r="AQ263" s="18"/>
      <c r="AR263" s="19"/>
      <c r="AS263" s="18"/>
      <c r="AT263" s="18"/>
      <c r="AU263" s="18"/>
      <c r="AV263" s="17"/>
      <c r="AW263" s="18"/>
      <c r="AX263" s="19"/>
      <c r="AY263" s="17"/>
      <c r="AZ263" s="18"/>
      <c r="BA263" s="19"/>
      <c r="BB263" s="17"/>
      <c r="BC263" s="23"/>
      <c r="BD263" s="24"/>
      <c r="BE263" s="18"/>
      <c r="BF263" s="23"/>
      <c r="BG263" s="23"/>
      <c r="BH263" s="17"/>
      <c r="BI263" s="18"/>
      <c r="BJ263" s="19"/>
      <c r="BK263" s="18"/>
      <c r="BL263" s="18"/>
      <c r="BM263" s="18"/>
      <c r="BN263" s="25"/>
      <c r="BO263" s="23"/>
      <c r="BP263" s="24"/>
      <c r="BQ263" s="18"/>
      <c r="BR263" s="18"/>
      <c r="BS263" s="18"/>
      <c r="BT263" s="17"/>
      <c r="BU263" s="18"/>
      <c r="BV263" s="19"/>
      <c r="BW263" s="17"/>
      <c r="BX263" s="23"/>
      <c r="BY263" s="24"/>
      <c r="BZ263" s="17"/>
      <c r="CA263" s="18"/>
      <c r="CB263" s="19"/>
      <c r="CC263" s="17"/>
      <c r="CD263" s="18"/>
      <c r="CE263" s="19"/>
      <c r="CF263" s="17"/>
      <c r="CG263" s="18"/>
      <c r="CH263" s="19"/>
      <c r="CI263" s="17"/>
      <c r="CJ263" s="18"/>
      <c r="CK263" s="19"/>
      <c r="CL263" s="17"/>
    </row>
    <row r="264" spans="1:95">
      <c r="A264" s="223">
        <v>45551</v>
      </c>
      <c r="B264" s="16" t="s">
        <v>96</v>
      </c>
      <c r="C264" s="17"/>
      <c r="D264" s="18"/>
      <c r="E264" s="19"/>
      <c r="F264" s="17"/>
      <c r="G264" s="18"/>
      <c r="H264" s="19"/>
      <c r="I264" s="17"/>
      <c r="J264" s="18"/>
      <c r="K264" s="19"/>
      <c r="L264" s="18"/>
      <c r="M264" s="18"/>
      <c r="N264" s="18"/>
      <c r="O264" s="17"/>
      <c r="P264" s="18"/>
      <c r="Q264" s="19"/>
      <c r="R264" s="18"/>
      <c r="S264" s="18"/>
      <c r="T264" s="18"/>
      <c r="U264" s="17"/>
      <c r="V264" s="18"/>
      <c r="W264" s="19"/>
      <c r="X264" s="17"/>
      <c r="Y264" s="18"/>
      <c r="Z264" s="19"/>
      <c r="AA264" s="17"/>
      <c r="AB264" s="18"/>
      <c r="AC264" s="19"/>
      <c r="AD264" s="17"/>
      <c r="AE264" s="18"/>
      <c r="AF264" s="19"/>
      <c r="AG264" s="18"/>
      <c r="AH264" s="18"/>
      <c r="AI264" s="18"/>
      <c r="AJ264" s="20"/>
      <c r="AK264" s="21"/>
      <c r="AL264" s="22"/>
      <c r="AM264" s="18"/>
      <c r="AN264" s="18"/>
      <c r="AO264" s="18"/>
      <c r="AP264" s="17"/>
      <c r="AQ264" s="18"/>
      <c r="AR264" s="19"/>
      <c r="AS264" s="18"/>
      <c r="AT264" s="18"/>
      <c r="AU264" s="18"/>
      <c r="AV264" s="17"/>
      <c r="AW264" s="18"/>
      <c r="AX264" s="19"/>
      <c r="AY264" s="17"/>
      <c r="AZ264" s="18"/>
      <c r="BA264" s="19"/>
      <c r="BB264" s="17"/>
      <c r="BC264" s="23"/>
      <c r="BD264" s="24"/>
      <c r="BE264" s="18"/>
      <c r="BF264" s="23"/>
      <c r="BG264" s="23"/>
      <c r="BH264" s="17"/>
      <c r="BI264" s="18"/>
      <c r="BJ264" s="19"/>
      <c r="BK264" s="18"/>
      <c r="BL264" s="18"/>
      <c r="BM264" s="18"/>
      <c r="BN264" s="25"/>
      <c r="BO264" s="23"/>
      <c r="BP264" s="24"/>
      <c r="BQ264" s="18"/>
      <c r="BR264" s="18"/>
      <c r="BS264" s="18"/>
      <c r="BT264" s="17"/>
      <c r="BU264" s="18"/>
      <c r="BV264" s="19"/>
      <c r="BW264" s="17"/>
      <c r="BX264" s="23"/>
      <c r="BY264" s="24"/>
      <c r="BZ264" s="17"/>
      <c r="CA264" s="18"/>
      <c r="CB264" s="19"/>
      <c r="CC264" s="17"/>
      <c r="CD264" s="18"/>
      <c r="CE264" s="19"/>
      <c r="CF264" s="17"/>
      <c r="CG264" s="18"/>
      <c r="CH264" s="19"/>
      <c r="CI264" s="17"/>
      <c r="CJ264" s="18"/>
      <c r="CK264" s="19"/>
      <c r="CL264" s="17"/>
    </row>
    <row r="265" spans="1:95">
      <c r="A265" s="223">
        <v>45552</v>
      </c>
      <c r="B265" s="16" t="s">
        <v>97</v>
      </c>
      <c r="C265" s="17">
        <v>141.77000000000001</v>
      </c>
      <c r="D265" s="18">
        <v>139.77000000000001</v>
      </c>
      <c r="E265" s="19">
        <v>140.77000000000001</v>
      </c>
      <c r="F265" s="17">
        <v>158.05000000000001</v>
      </c>
      <c r="G265" s="18">
        <v>155.05000000000001</v>
      </c>
      <c r="H265" s="19">
        <v>156.55000000000001</v>
      </c>
      <c r="I265" s="17">
        <v>105.16</v>
      </c>
      <c r="J265" s="18">
        <v>101.96</v>
      </c>
      <c r="K265" s="19">
        <v>103.56</v>
      </c>
      <c r="L265" s="18">
        <v>189.84</v>
      </c>
      <c r="M265" s="18">
        <v>181.84</v>
      </c>
      <c r="N265" s="18">
        <v>185.84</v>
      </c>
      <c r="O265" s="17">
        <v>167.47</v>
      </c>
      <c r="P265" s="18">
        <v>165.67</v>
      </c>
      <c r="Q265" s="19">
        <v>166.57</v>
      </c>
      <c r="R265" s="18">
        <v>21.28</v>
      </c>
      <c r="S265" s="18">
        <v>20.68</v>
      </c>
      <c r="T265" s="18">
        <v>20.98</v>
      </c>
      <c r="U265" s="17">
        <v>13.58</v>
      </c>
      <c r="V265" s="18">
        <v>12.98</v>
      </c>
      <c r="W265" s="19">
        <v>13.280000000000001</v>
      </c>
      <c r="X265" s="17">
        <v>14.22</v>
      </c>
      <c r="Y265" s="18">
        <v>13.42</v>
      </c>
      <c r="Z265" s="19">
        <v>13.82</v>
      </c>
      <c r="AA265" s="17">
        <v>96.89</v>
      </c>
      <c r="AB265" s="18">
        <v>92.89</v>
      </c>
      <c r="AC265" s="19">
        <v>94.89</v>
      </c>
      <c r="AD265" s="17">
        <v>89.07</v>
      </c>
      <c r="AE265" s="18">
        <v>85.07</v>
      </c>
      <c r="AF265" s="19">
        <v>87.07</v>
      </c>
      <c r="AG265" s="18">
        <v>18.489999999999998</v>
      </c>
      <c r="AH265" s="18">
        <v>17.63</v>
      </c>
      <c r="AI265" s="18">
        <v>18.059999999999999</v>
      </c>
      <c r="AJ265" s="20"/>
      <c r="AK265" s="21"/>
      <c r="AL265" s="22"/>
      <c r="AM265" s="18">
        <v>109.42</v>
      </c>
      <c r="AN265" s="18">
        <v>107.76</v>
      </c>
      <c r="AO265" s="18">
        <v>108.59</v>
      </c>
      <c r="AP265" s="17">
        <v>38.369999999999997</v>
      </c>
      <c r="AQ265" s="18">
        <v>36.769999999999996</v>
      </c>
      <c r="AR265" s="19">
        <v>37.569999999999993</v>
      </c>
      <c r="AS265" s="18">
        <v>39.07</v>
      </c>
      <c r="AT265" s="18">
        <v>37.71</v>
      </c>
      <c r="AU265" s="18">
        <v>38.39</v>
      </c>
      <c r="AV265" s="17">
        <v>20.12</v>
      </c>
      <c r="AW265" s="18">
        <v>19.52</v>
      </c>
      <c r="AX265" s="19">
        <v>19.82</v>
      </c>
      <c r="AY265" s="17">
        <v>4.3</v>
      </c>
      <c r="AZ265" s="18">
        <v>4.1399999999999997</v>
      </c>
      <c r="BA265" s="19">
        <v>4.22</v>
      </c>
      <c r="BB265" s="17">
        <v>1.84</v>
      </c>
      <c r="BC265" s="23">
        <v>1.54</v>
      </c>
      <c r="BD265" s="24">
        <v>1.69</v>
      </c>
      <c r="BE265" s="18">
        <v>0.66</v>
      </c>
      <c r="BF265" s="23">
        <v>0.36000000000000004</v>
      </c>
      <c r="BG265" s="23">
        <v>0.51</v>
      </c>
      <c r="BH265" s="17">
        <v>470.6</v>
      </c>
      <c r="BI265" s="18">
        <v>454.6</v>
      </c>
      <c r="BJ265" s="19">
        <v>462.6</v>
      </c>
      <c r="BK265" s="18">
        <v>39.35</v>
      </c>
      <c r="BL265" s="18">
        <v>37.99</v>
      </c>
      <c r="BM265" s="18">
        <v>38.67</v>
      </c>
      <c r="BN265" s="25">
        <v>1.04</v>
      </c>
      <c r="BO265" s="23">
        <v>0.8</v>
      </c>
      <c r="BP265" s="24">
        <v>0.92</v>
      </c>
      <c r="BQ265" s="18">
        <v>8.32</v>
      </c>
      <c r="BR265" s="18">
        <v>6.32</v>
      </c>
      <c r="BS265" s="18">
        <v>7.32</v>
      </c>
      <c r="BT265" s="17">
        <v>10.87</v>
      </c>
      <c r="BU265" s="18">
        <v>10.469999999999999</v>
      </c>
      <c r="BV265" s="19">
        <v>10.669999999999998</v>
      </c>
      <c r="BW265" s="17">
        <v>2.68</v>
      </c>
      <c r="BX265" s="23">
        <v>2.4000000000000004</v>
      </c>
      <c r="BY265" s="24">
        <v>2.54</v>
      </c>
      <c r="BZ265" s="17">
        <v>9.48</v>
      </c>
      <c r="CA265" s="18">
        <v>6.48</v>
      </c>
      <c r="CB265" s="19">
        <v>7.98</v>
      </c>
      <c r="CC265" s="17">
        <v>6.35</v>
      </c>
      <c r="CD265" s="18">
        <v>6.1099999999999994</v>
      </c>
      <c r="CE265" s="19">
        <v>6.2299999999999995</v>
      </c>
      <c r="CF265" s="17">
        <v>1.79</v>
      </c>
      <c r="CG265" s="18">
        <v>1.29</v>
      </c>
      <c r="CH265" s="19">
        <v>1.54</v>
      </c>
      <c r="CI265" s="17">
        <v>0.42</v>
      </c>
      <c r="CJ265" s="18">
        <v>0.38</v>
      </c>
      <c r="CK265" s="19">
        <v>0.4</v>
      </c>
      <c r="CL265" s="17">
        <v>37.83</v>
      </c>
      <c r="CM265">
        <v>35.43</v>
      </c>
      <c r="CN265">
        <v>36.629999999999995</v>
      </c>
      <c r="CO265">
        <v>6.65</v>
      </c>
      <c r="CP265">
        <v>1.6500000000000004</v>
      </c>
      <c r="CQ265">
        <v>4.1500000000000004</v>
      </c>
    </row>
    <row r="266" spans="1:95">
      <c r="A266" s="223">
        <v>45553</v>
      </c>
      <c r="B266" s="16" t="s">
        <v>98</v>
      </c>
      <c r="C266" s="18">
        <v>142.62</v>
      </c>
      <c r="D266" s="18">
        <v>140.62</v>
      </c>
      <c r="E266" s="18">
        <v>141.62</v>
      </c>
      <c r="F266" s="17">
        <v>159.07</v>
      </c>
      <c r="G266" s="18">
        <v>156.07</v>
      </c>
      <c r="H266" s="19">
        <v>157.57</v>
      </c>
      <c r="I266" s="18">
        <v>105.81</v>
      </c>
      <c r="J266" s="18">
        <v>102.61</v>
      </c>
      <c r="K266" s="18">
        <v>104.21000000000001</v>
      </c>
      <c r="L266" s="17">
        <v>190.53</v>
      </c>
      <c r="M266" s="18">
        <v>182.53</v>
      </c>
      <c r="N266" s="19">
        <v>186.53</v>
      </c>
      <c r="O266" s="18">
        <v>168.36</v>
      </c>
      <c r="P266" s="18">
        <v>166.56</v>
      </c>
      <c r="Q266" s="18">
        <v>167.46</v>
      </c>
      <c r="R266" s="17">
        <v>21.42</v>
      </c>
      <c r="S266" s="18">
        <v>20.82</v>
      </c>
      <c r="T266" s="19">
        <v>21.12</v>
      </c>
      <c r="U266" s="17">
        <v>13.65</v>
      </c>
      <c r="V266" s="18">
        <v>13.05</v>
      </c>
      <c r="W266" s="19">
        <v>13.350000000000001</v>
      </c>
      <c r="X266" s="17">
        <v>14.31</v>
      </c>
      <c r="Y266" s="18">
        <v>13.51</v>
      </c>
      <c r="Z266" s="19">
        <v>13.91</v>
      </c>
      <c r="AA266" s="17">
        <v>97.85</v>
      </c>
      <c r="AB266" s="18">
        <v>93.85</v>
      </c>
      <c r="AC266" s="19">
        <v>95.85</v>
      </c>
      <c r="AD266" s="18">
        <v>89.83</v>
      </c>
      <c r="AE266" s="18">
        <v>85.83</v>
      </c>
      <c r="AF266" s="18">
        <v>87.83</v>
      </c>
      <c r="AG266" s="17">
        <v>18.600000000000001</v>
      </c>
      <c r="AH266" s="18">
        <v>17.740000000000002</v>
      </c>
      <c r="AI266" s="19">
        <v>18.170000000000002</v>
      </c>
      <c r="AJ266" s="20"/>
      <c r="AK266" s="21"/>
      <c r="AL266" s="22"/>
      <c r="AM266" s="17">
        <v>110.18</v>
      </c>
      <c r="AN266" s="18">
        <v>108.52000000000001</v>
      </c>
      <c r="AO266" s="19">
        <v>109.35000000000001</v>
      </c>
      <c r="AP266" s="17">
        <v>38.47</v>
      </c>
      <c r="AQ266" s="18">
        <v>36.869999999999997</v>
      </c>
      <c r="AR266" s="19">
        <v>37.67</v>
      </c>
      <c r="AS266" s="18">
        <v>39.299999999999997</v>
      </c>
      <c r="AT266" s="18">
        <v>37.94</v>
      </c>
      <c r="AU266" s="18">
        <v>38.619999999999997</v>
      </c>
      <c r="AV266" s="17">
        <v>20.23</v>
      </c>
      <c r="AW266" s="18">
        <v>19.63</v>
      </c>
      <c r="AX266" s="19">
        <v>19.93</v>
      </c>
      <c r="AY266" s="17">
        <v>4.33</v>
      </c>
      <c r="AZ266" s="18">
        <v>4.17</v>
      </c>
      <c r="BA266" s="19">
        <v>4.25</v>
      </c>
      <c r="BB266" s="17">
        <v>1.85</v>
      </c>
      <c r="BC266" s="23">
        <v>1.55</v>
      </c>
      <c r="BD266" s="24">
        <v>1.7000000000000002</v>
      </c>
      <c r="BE266" s="17">
        <v>0.66</v>
      </c>
      <c r="BF266" s="23">
        <v>0.36000000000000004</v>
      </c>
      <c r="BG266" s="24">
        <v>0.51</v>
      </c>
      <c r="BH266" s="17">
        <v>473.09</v>
      </c>
      <c r="BI266" s="18">
        <v>457.09</v>
      </c>
      <c r="BJ266" s="19">
        <v>465.09</v>
      </c>
      <c r="BK266" s="18">
        <v>39.6</v>
      </c>
      <c r="BL266" s="18">
        <v>38.24</v>
      </c>
      <c r="BM266" s="18">
        <v>38.92</v>
      </c>
      <c r="BN266" s="25">
        <v>1.05</v>
      </c>
      <c r="BO266" s="23">
        <v>0.81</v>
      </c>
      <c r="BP266" s="24">
        <v>0.93</v>
      </c>
      <c r="BQ266" s="18">
        <v>8.4</v>
      </c>
      <c r="BR266" s="18">
        <v>6.4</v>
      </c>
      <c r="BS266" s="18">
        <v>7.4</v>
      </c>
      <c r="BT266" s="17">
        <v>10.94</v>
      </c>
      <c r="BU266" s="18">
        <v>10.54</v>
      </c>
      <c r="BV266" s="19">
        <v>10.739999999999998</v>
      </c>
      <c r="BW266" s="17">
        <v>2.7</v>
      </c>
      <c r="BX266" s="23">
        <v>2.42</v>
      </c>
      <c r="BY266" s="24">
        <v>2.56</v>
      </c>
      <c r="BZ266" s="17">
        <v>9.5500000000000007</v>
      </c>
      <c r="CA266" s="18">
        <v>6.5500000000000007</v>
      </c>
      <c r="CB266" s="19">
        <v>8.0500000000000007</v>
      </c>
      <c r="CC266" s="17">
        <v>6.4</v>
      </c>
      <c r="CD266" s="18">
        <v>6.16</v>
      </c>
      <c r="CE266" s="19">
        <v>6.28</v>
      </c>
      <c r="CF266" s="18">
        <v>1.81</v>
      </c>
      <c r="CG266" s="18">
        <v>1.31</v>
      </c>
      <c r="CH266" s="18">
        <v>1.56</v>
      </c>
      <c r="CI266" s="17">
        <v>0.42</v>
      </c>
      <c r="CJ266" s="18">
        <v>0.38</v>
      </c>
      <c r="CK266" s="19">
        <v>0.4</v>
      </c>
      <c r="CL266" s="17">
        <v>38</v>
      </c>
      <c r="CM266">
        <v>35.6</v>
      </c>
      <c r="CN266">
        <v>36.799999999999997</v>
      </c>
      <c r="CO266">
        <v>6.66</v>
      </c>
      <c r="CP266">
        <v>1.6600000000000001</v>
      </c>
      <c r="CQ266">
        <v>4.16</v>
      </c>
    </row>
    <row r="267" spans="1:95">
      <c r="A267" s="223">
        <v>45554</v>
      </c>
      <c r="B267" s="16" t="s">
        <v>99</v>
      </c>
      <c r="C267" s="17">
        <v>144.63999999999999</v>
      </c>
      <c r="D267" s="18">
        <v>142.63999999999999</v>
      </c>
      <c r="E267" s="19">
        <v>143.63999999999999</v>
      </c>
      <c r="F267" s="17">
        <v>160.77000000000001</v>
      </c>
      <c r="G267" s="18">
        <v>157.77000000000001</v>
      </c>
      <c r="H267" s="19">
        <v>159.27000000000001</v>
      </c>
      <c r="I267" s="17">
        <v>106.95</v>
      </c>
      <c r="J267" s="18">
        <v>103.75</v>
      </c>
      <c r="K267" s="19">
        <v>105.35</v>
      </c>
      <c r="L267" s="18">
        <v>193.27</v>
      </c>
      <c r="M267" s="18">
        <v>185.27</v>
      </c>
      <c r="N267" s="18">
        <v>189.27</v>
      </c>
      <c r="O267" s="17">
        <v>169.89</v>
      </c>
      <c r="P267" s="18">
        <v>168.08999999999997</v>
      </c>
      <c r="Q267" s="19">
        <v>168.98999999999998</v>
      </c>
      <c r="R267" s="18">
        <v>21.65</v>
      </c>
      <c r="S267" s="18">
        <v>21.049999999999997</v>
      </c>
      <c r="T267" s="18">
        <v>21.349999999999998</v>
      </c>
      <c r="U267" s="17">
        <v>13.81</v>
      </c>
      <c r="V267" s="18">
        <v>13.21</v>
      </c>
      <c r="W267" s="19">
        <v>13.510000000000002</v>
      </c>
      <c r="X267" s="17">
        <v>14.44</v>
      </c>
      <c r="Y267" s="18">
        <v>13.639999999999999</v>
      </c>
      <c r="Z267" s="19">
        <v>14.04</v>
      </c>
      <c r="AA267" s="17">
        <v>98.91</v>
      </c>
      <c r="AB267" s="18">
        <v>94.91</v>
      </c>
      <c r="AC267" s="19">
        <v>96.91</v>
      </c>
      <c r="AD267" s="17">
        <v>90.96</v>
      </c>
      <c r="AE267" s="18">
        <v>86.96</v>
      </c>
      <c r="AF267" s="19">
        <v>88.96</v>
      </c>
      <c r="AG267" s="18">
        <v>18.850000000000001</v>
      </c>
      <c r="AH267" s="18">
        <v>17.990000000000002</v>
      </c>
      <c r="AI267" s="18">
        <v>18.420000000000002</v>
      </c>
      <c r="AJ267" s="20"/>
      <c r="AK267" s="21"/>
      <c r="AL267" s="22"/>
      <c r="AM267" s="18">
        <v>111.44</v>
      </c>
      <c r="AN267" s="18">
        <v>109.78</v>
      </c>
      <c r="AO267" s="18">
        <v>110.61</v>
      </c>
      <c r="AP267" s="17">
        <v>39.130000000000003</v>
      </c>
      <c r="AQ267" s="18">
        <v>37.53</v>
      </c>
      <c r="AR267" s="19">
        <v>38.33</v>
      </c>
      <c r="AS267" s="18">
        <v>39.85</v>
      </c>
      <c r="AT267" s="18">
        <v>38.49</v>
      </c>
      <c r="AU267" s="18">
        <v>39.17</v>
      </c>
      <c r="AV267" s="17">
        <v>20.52</v>
      </c>
      <c r="AW267" s="18">
        <v>19.919999999999998</v>
      </c>
      <c r="AX267" s="19">
        <v>20.22</v>
      </c>
      <c r="AY267" s="17">
        <v>4.37</v>
      </c>
      <c r="AZ267" s="18">
        <v>4.21</v>
      </c>
      <c r="BA267" s="19">
        <v>4.29</v>
      </c>
      <c r="BB267" s="17">
        <v>1.88</v>
      </c>
      <c r="BC267" s="23">
        <v>1.5799999999999998</v>
      </c>
      <c r="BD267" s="24">
        <v>1.73</v>
      </c>
      <c r="BE267" s="18">
        <v>0.67</v>
      </c>
      <c r="BF267" s="23">
        <v>0.37000000000000005</v>
      </c>
      <c r="BG267" s="23">
        <v>0.52</v>
      </c>
      <c r="BH267" s="17">
        <v>479.88</v>
      </c>
      <c r="BI267" s="18">
        <v>463.88</v>
      </c>
      <c r="BJ267" s="19">
        <v>471.88</v>
      </c>
      <c r="BK267" s="18">
        <v>40.15</v>
      </c>
      <c r="BL267" s="18">
        <v>38.79</v>
      </c>
      <c r="BM267" s="18">
        <v>39.47</v>
      </c>
      <c r="BN267" s="25">
        <v>1.06</v>
      </c>
      <c r="BO267" s="23">
        <v>0.82000000000000006</v>
      </c>
      <c r="BP267" s="24">
        <v>0.94000000000000006</v>
      </c>
      <c r="BQ267" s="18">
        <v>8.4499999999999993</v>
      </c>
      <c r="BR267" s="18">
        <v>6.4499999999999993</v>
      </c>
      <c r="BS267" s="18">
        <v>7.4499999999999993</v>
      </c>
      <c r="BT267" s="17">
        <v>11.01</v>
      </c>
      <c r="BU267" s="18">
        <v>10.61</v>
      </c>
      <c r="BV267" s="19">
        <v>10.809999999999999</v>
      </c>
      <c r="BW267" s="17">
        <v>2.74</v>
      </c>
      <c r="BX267" s="23">
        <v>2.46</v>
      </c>
      <c r="BY267" s="24">
        <v>2.6</v>
      </c>
      <c r="BZ267" s="17">
        <v>9.66</v>
      </c>
      <c r="CA267" s="18">
        <v>6.66</v>
      </c>
      <c r="CB267" s="19">
        <v>8.16</v>
      </c>
      <c r="CC267" s="17">
        <v>6.48</v>
      </c>
      <c r="CD267" s="18">
        <v>6.24</v>
      </c>
      <c r="CE267" s="19">
        <v>6.36</v>
      </c>
      <c r="CF267" s="17">
        <v>1.81</v>
      </c>
      <c r="CG267" s="18">
        <v>1.31</v>
      </c>
      <c r="CH267" s="19">
        <v>1.56</v>
      </c>
      <c r="CI267" s="17">
        <v>0.42</v>
      </c>
      <c r="CJ267" s="18">
        <v>0.38</v>
      </c>
      <c r="CK267" s="19">
        <v>0.4</v>
      </c>
      <c r="CL267" s="17">
        <v>38.520000000000003</v>
      </c>
      <c r="CM267">
        <v>36.120000000000005</v>
      </c>
      <c r="CN267">
        <v>37.320000000000007</v>
      </c>
      <c r="CO267">
        <v>6.72</v>
      </c>
      <c r="CP267">
        <v>1.7199999999999998</v>
      </c>
      <c r="CQ267">
        <v>4.22</v>
      </c>
    </row>
    <row r="268" spans="1:95">
      <c r="A268" s="223">
        <v>45555</v>
      </c>
      <c r="B268" s="16" t="s">
        <v>100</v>
      </c>
      <c r="C268" s="17">
        <v>143.76</v>
      </c>
      <c r="D268" s="18">
        <v>141.76</v>
      </c>
      <c r="E268" s="19">
        <v>142.76</v>
      </c>
      <c r="F268" s="17">
        <v>160.81</v>
      </c>
      <c r="G268" s="18">
        <v>157.81</v>
      </c>
      <c r="H268" s="19">
        <v>159.31</v>
      </c>
      <c r="I268" s="17">
        <v>106.85</v>
      </c>
      <c r="J268" s="18">
        <v>103.64999999999999</v>
      </c>
      <c r="K268" s="19">
        <v>105.25</v>
      </c>
      <c r="L268" s="18">
        <v>193.57</v>
      </c>
      <c r="M268" s="18">
        <v>185.57</v>
      </c>
      <c r="N268" s="18">
        <v>189.57</v>
      </c>
      <c r="O268" s="17">
        <v>169.41</v>
      </c>
      <c r="P268" s="18">
        <v>167.60999999999999</v>
      </c>
      <c r="Q268" s="19">
        <v>168.51</v>
      </c>
      <c r="R268" s="18">
        <v>21.66</v>
      </c>
      <c r="S268" s="18">
        <v>21.06</v>
      </c>
      <c r="T268" s="18">
        <v>21.36</v>
      </c>
      <c r="U268" s="17">
        <v>13.89</v>
      </c>
      <c r="V268" s="18">
        <v>13.290000000000001</v>
      </c>
      <c r="W268" s="19">
        <v>13.59</v>
      </c>
      <c r="X268" s="17">
        <v>14.45</v>
      </c>
      <c r="Y268" s="18">
        <v>13.649999999999999</v>
      </c>
      <c r="Z268" s="19">
        <v>14.049999999999999</v>
      </c>
      <c r="AA268" s="17">
        <v>99.16</v>
      </c>
      <c r="AB268" s="18">
        <v>95.16</v>
      </c>
      <c r="AC268" s="19">
        <v>97.16</v>
      </c>
      <c r="AD268" s="17">
        <v>91.04</v>
      </c>
      <c r="AE268" s="18">
        <v>87.04</v>
      </c>
      <c r="AF268" s="19">
        <v>89.04</v>
      </c>
      <c r="AG268" s="18">
        <v>18.75</v>
      </c>
      <c r="AH268" s="18">
        <v>17.89</v>
      </c>
      <c r="AI268" s="18">
        <v>18.32</v>
      </c>
      <c r="AJ268" s="20"/>
      <c r="AK268" s="21"/>
      <c r="AL268" s="22"/>
      <c r="AM268" s="18">
        <v>111.3</v>
      </c>
      <c r="AN268" s="18">
        <v>109.64</v>
      </c>
      <c r="AO268" s="18">
        <v>110.47</v>
      </c>
      <c r="AP268" s="17">
        <v>38.909999999999997</v>
      </c>
      <c r="AQ268" s="18">
        <v>37.309999999999995</v>
      </c>
      <c r="AR268" s="19">
        <v>38.11</v>
      </c>
      <c r="AS268" s="18">
        <v>39.61</v>
      </c>
      <c r="AT268" s="18">
        <v>38.25</v>
      </c>
      <c r="AU268" s="18">
        <v>38.93</v>
      </c>
      <c r="AV268" s="17">
        <v>20.49</v>
      </c>
      <c r="AW268" s="18">
        <v>19.889999999999997</v>
      </c>
      <c r="AX268" s="19">
        <v>20.189999999999998</v>
      </c>
      <c r="AY268" s="17">
        <v>4.4000000000000004</v>
      </c>
      <c r="AZ268" s="18">
        <v>4.24</v>
      </c>
      <c r="BA268" s="19">
        <v>4.32</v>
      </c>
      <c r="BB268" s="17">
        <v>1.87</v>
      </c>
      <c r="BC268" s="23">
        <v>1.57</v>
      </c>
      <c r="BD268" s="24">
        <v>1.7200000000000002</v>
      </c>
      <c r="BE268" s="18">
        <v>0.67</v>
      </c>
      <c r="BF268" s="23">
        <v>0.37000000000000005</v>
      </c>
      <c r="BG268" s="23">
        <v>0.52</v>
      </c>
      <c r="BH268" s="17">
        <v>477.14</v>
      </c>
      <c r="BI268" s="18">
        <v>461.14</v>
      </c>
      <c r="BJ268" s="19">
        <v>469.14</v>
      </c>
      <c r="BK268" s="18">
        <v>39.909999999999997</v>
      </c>
      <c r="BL268" s="18">
        <v>38.549999999999997</v>
      </c>
      <c r="BM268" s="18">
        <v>39.229999999999997</v>
      </c>
      <c r="BN268" s="25">
        <v>1.06</v>
      </c>
      <c r="BO268" s="23">
        <v>0.82000000000000006</v>
      </c>
      <c r="BP268" s="24">
        <v>0.94000000000000006</v>
      </c>
      <c r="BQ268" s="18">
        <v>8.39</v>
      </c>
      <c r="BR268" s="18">
        <v>6.3900000000000006</v>
      </c>
      <c r="BS268" s="18">
        <v>7.3900000000000006</v>
      </c>
      <c r="BT268" s="17">
        <v>10.94</v>
      </c>
      <c r="BU268" s="18">
        <v>10.54</v>
      </c>
      <c r="BV268" s="19">
        <v>10.739999999999998</v>
      </c>
      <c r="BW268" s="17">
        <v>2.73</v>
      </c>
      <c r="BX268" s="23">
        <v>2.4500000000000002</v>
      </c>
      <c r="BY268" s="24">
        <v>2.59</v>
      </c>
      <c r="BZ268" s="17">
        <v>9.64</v>
      </c>
      <c r="CA268" s="18">
        <v>6.6400000000000006</v>
      </c>
      <c r="CB268" s="19">
        <v>8.14</v>
      </c>
      <c r="CC268" s="17">
        <v>6.47</v>
      </c>
      <c r="CD268" s="18">
        <v>6.2299999999999995</v>
      </c>
      <c r="CE268" s="19">
        <v>6.35</v>
      </c>
      <c r="CF268" s="17">
        <v>1.8</v>
      </c>
      <c r="CG268" s="18">
        <v>1.3</v>
      </c>
      <c r="CH268" s="19">
        <v>1.55</v>
      </c>
      <c r="CI268" s="17">
        <v>0.42</v>
      </c>
      <c r="CJ268" s="18">
        <v>0.38</v>
      </c>
      <c r="CK268" s="19">
        <v>0.4</v>
      </c>
      <c r="CL268" s="17">
        <v>38.5</v>
      </c>
      <c r="CM268">
        <v>36.1</v>
      </c>
      <c r="CN268">
        <v>37.299999999999997</v>
      </c>
      <c r="CO268">
        <v>6.71</v>
      </c>
      <c r="CP268">
        <v>1.71</v>
      </c>
      <c r="CQ268">
        <v>4.21</v>
      </c>
    </row>
    <row r="269" spans="1:95">
      <c r="A269" s="223">
        <v>45556</v>
      </c>
      <c r="B269" s="16" t="s">
        <v>307</v>
      </c>
      <c r="C269" s="17"/>
      <c r="D269" s="18"/>
      <c r="E269" s="19"/>
      <c r="F269" s="17"/>
      <c r="G269" s="18"/>
      <c r="H269" s="19"/>
      <c r="I269" s="17"/>
      <c r="J269" s="18"/>
      <c r="K269" s="19"/>
      <c r="L269" s="18"/>
      <c r="M269" s="18"/>
      <c r="N269" s="18"/>
      <c r="O269" s="17"/>
      <c r="P269" s="18"/>
      <c r="Q269" s="19"/>
      <c r="R269" s="18"/>
      <c r="S269" s="18"/>
      <c r="T269" s="18"/>
      <c r="U269" s="17"/>
      <c r="V269" s="18"/>
      <c r="W269" s="19"/>
      <c r="X269" s="17"/>
      <c r="Y269" s="18"/>
      <c r="Z269" s="19"/>
      <c r="AA269" s="17"/>
      <c r="AB269" s="18"/>
      <c r="AC269" s="19"/>
      <c r="AD269" s="17"/>
      <c r="AE269" s="18"/>
      <c r="AF269" s="19"/>
      <c r="AG269" s="18"/>
      <c r="AH269" s="18"/>
      <c r="AI269" s="18"/>
      <c r="AJ269" s="20"/>
      <c r="AK269" s="21"/>
      <c r="AL269" s="22"/>
      <c r="AM269" s="18"/>
      <c r="AN269" s="18"/>
      <c r="AO269" s="18"/>
      <c r="AP269" s="17"/>
      <c r="AQ269" s="18"/>
      <c r="AR269" s="19"/>
      <c r="AS269" s="18"/>
      <c r="AT269" s="18"/>
      <c r="AU269" s="18"/>
      <c r="AV269" s="17"/>
      <c r="AW269" s="18"/>
      <c r="AX269" s="19"/>
      <c r="AY269" s="17"/>
      <c r="AZ269" s="18"/>
      <c r="BA269" s="19"/>
      <c r="BB269" s="17"/>
      <c r="BC269" s="23"/>
      <c r="BD269" s="24"/>
      <c r="BE269" s="18"/>
      <c r="BF269" s="23"/>
      <c r="BG269" s="23"/>
      <c r="BH269" s="17"/>
      <c r="BI269" s="18"/>
      <c r="BJ269" s="19"/>
      <c r="BK269" s="18"/>
      <c r="BL269" s="18"/>
      <c r="BM269" s="18"/>
      <c r="BN269" s="25"/>
      <c r="BO269" s="23"/>
      <c r="BP269" s="24"/>
      <c r="BQ269" s="18"/>
      <c r="BR269" s="18"/>
      <c r="BS269" s="18"/>
      <c r="BT269" s="17"/>
      <c r="BU269" s="18"/>
      <c r="BV269" s="19"/>
      <c r="BW269" s="17"/>
      <c r="BX269" s="23"/>
      <c r="BY269" s="24"/>
      <c r="BZ269" s="17"/>
      <c r="CA269" s="18"/>
      <c r="CB269" s="19"/>
      <c r="CC269" s="17"/>
      <c r="CD269" s="18"/>
      <c r="CE269" s="19"/>
      <c r="CF269" s="17"/>
      <c r="CG269" s="18"/>
      <c r="CH269" s="19"/>
      <c r="CI269" s="17"/>
      <c r="CJ269" s="18"/>
      <c r="CK269" s="19"/>
      <c r="CL269" s="17"/>
    </row>
    <row r="270" spans="1:95">
      <c r="A270" s="223">
        <v>45557</v>
      </c>
      <c r="B270" s="16" t="s">
        <v>308</v>
      </c>
      <c r="C270" s="17"/>
      <c r="D270" s="18"/>
      <c r="E270" s="19"/>
      <c r="F270" s="17"/>
      <c r="G270" s="18"/>
      <c r="H270" s="19"/>
      <c r="I270" s="17"/>
      <c r="J270" s="18"/>
      <c r="K270" s="19"/>
      <c r="L270" s="18"/>
      <c r="M270" s="18"/>
      <c r="N270" s="18"/>
      <c r="O270" s="17"/>
      <c r="P270" s="18"/>
      <c r="Q270" s="19"/>
      <c r="R270" s="18"/>
      <c r="S270" s="18"/>
      <c r="T270" s="18"/>
      <c r="U270" s="17"/>
      <c r="V270" s="18"/>
      <c r="W270" s="19"/>
      <c r="X270" s="17"/>
      <c r="Y270" s="18"/>
      <c r="Z270" s="19"/>
      <c r="AA270" s="17"/>
      <c r="AB270" s="18"/>
      <c r="AC270" s="19"/>
      <c r="AD270" s="17"/>
      <c r="AE270" s="18"/>
      <c r="AF270" s="19"/>
      <c r="AG270" s="18"/>
      <c r="AH270" s="18"/>
      <c r="AI270" s="18"/>
      <c r="AJ270" s="20"/>
      <c r="AK270" s="21"/>
      <c r="AL270" s="22"/>
      <c r="AM270" s="18"/>
      <c r="AN270" s="18"/>
      <c r="AO270" s="18"/>
      <c r="AP270" s="17"/>
      <c r="AQ270" s="18"/>
      <c r="AR270" s="19"/>
      <c r="AS270" s="18"/>
      <c r="AT270" s="18"/>
      <c r="AU270" s="18"/>
      <c r="AV270" s="17"/>
      <c r="AW270" s="18"/>
      <c r="AX270" s="19"/>
      <c r="AY270" s="17"/>
      <c r="AZ270" s="18"/>
      <c r="BA270" s="19"/>
      <c r="BB270" s="17"/>
      <c r="BC270" s="23"/>
      <c r="BD270" s="24"/>
      <c r="BE270" s="18"/>
      <c r="BF270" s="23"/>
      <c r="BG270" s="23"/>
      <c r="BH270" s="17"/>
      <c r="BI270" s="18"/>
      <c r="BJ270" s="19"/>
      <c r="BK270" s="18"/>
      <c r="BL270" s="18"/>
      <c r="BM270" s="18"/>
      <c r="BN270" s="25"/>
      <c r="BO270" s="23"/>
      <c r="BP270" s="24"/>
      <c r="BQ270" s="18"/>
      <c r="BR270" s="18"/>
      <c r="BS270" s="18"/>
      <c r="BT270" s="17"/>
      <c r="BU270" s="18"/>
      <c r="BV270" s="19"/>
      <c r="BW270" s="17"/>
      <c r="BX270" s="23"/>
      <c r="BY270" s="24"/>
      <c r="BZ270" s="17"/>
      <c r="CA270" s="18"/>
      <c r="CB270" s="19"/>
      <c r="CC270" s="17"/>
      <c r="CD270" s="18"/>
      <c r="CE270" s="19"/>
      <c r="CF270" s="17"/>
      <c r="CG270" s="18"/>
      <c r="CH270" s="19"/>
      <c r="CI270" s="17"/>
      <c r="CJ270" s="18"/>
      <c r="CK270" s="19"/>
      <c r="CL270" s="17"/>
    </row>
    <row r="271" spans="1:95">
      <c r="A271" s="223">
        <v>45558</v>
      </c>
      <c r="B271" s="16" t="s">
        <v>96</v>
      </c>
      <c r="C271" s="18"/>
      <c r="D271" s="18"/>
      <c r="E271" s="18"/>
      <c r="F271" s="17"/>
      <c r="G271" s="18"/>
      <c r="H271" s="19"/>
      <c r="I271" s="18"/>
      <c r="J271" s="18"/>
      <c r="K271" s="18"/>
      <c r="L271" s="17"/>
      <c r="M271" s="18"/>
      <c r="N271" s="19"/>
      <c r="O271" s="18"/>
      <c r="P271" s="18"/>
      <c r="Q271" s="18"/>
      <c r="R271" s="17"/>
      <c r="S271" s="18"/>
      <c r="T271" s="19"/>
      <c r="U271" s="17"/>
      <c r="V271" s="18"/>
      <c r="W271" s="19"/>
      <c r="X271" s="17"/>
      <c r="Y271" s="18"/>
      <c r="Z271" s="19"/>
      <c r="AA271" s="17"/>
      <c r="AB271" s="18"/>
      <c r="AC271" s="19"/>
      <c r="AD271" s="18"/>
      <c r="AE271" s="18"/>
      <c r="AF271" s="18"/>
      <c r="AG271" s="17"/>
      <c r="AH271" s="18"/>
      <c r="AI271" s="19"/>
      <c r="AJ271" s="20"/>
      <c r="AK271" s="21"/>
      <c r="AL271" s="22"/>
      <c r="AM271" s="17"/>
      <c r="AN271" s="18"/>
      <c r="AO271" s="19"/>
      <c r="AP271" s="17"/>
      <c r="AQ271" s="18"/>
      <c r="AR271" s="19"/>
      <c r="AS271" s="18"/>
      <c r="AT271" s="18"/>
      <c r="AU271" s="18"/>
      <c r="AV271" s="17"/>
      <c r="AW271" s="18"/>
      <c r="AX271" s="19"/>
      <c r="AY271" s="17"/>
      <c r="AZ271" s="18"/>
      <c r="BA271" s="19"/>
      <c r="BB271" s="17"/>
      <c r="BC271" s="23"/>
      <c r="BD271" s="24"/>
      <c r="BE271" s="17"/>
      <c r="BF271" s="23"/>
      <c r="BG271" s="24"/>
      <c r="BH271" s="17"/>
      <c r="BI271" s="18"/>
      <c r="BJ271" s="19"/>
      <c r="BK271" s="18"/>
      <c r="BL271" s="18"/>
      <c r="BM271" s="18"/>
      <c r="BN271" s="25"/>
      <c r="BO271" s="23"/>
      <c r="BP271" s="24"/>
      <c r="BQ271" s="18"/>
      <c r="BR271" s="18"/>
      <c r="BS271" s="18"/>
      <c r="BT271" s="17"/>
      <c r="BU271" s="18"/>
      <c r="BV271" s="19"/>
      <c r="BW271" s="17"/>
      <c r="BX271" s="23"/>
      <c r="BY271" s="24"/>
      <c r="BZ271" s="17"/>
      <c r="CA271" s="18"/>
      <c r="CB271" s="19"/>
      <c r="CC271" s="17"/>
      <c r="CD271" s="18"/>
      <c r="CE271" s="19"/>
      <c r="CF271" s="18"/>
      <c r="CG271" s="18"/>
      <c r="CH271" s="18"/>
      <c r="CI271" s="17"/>
      <c r="CJ271" s="18"/>
      <c r="CK271" s="19"/>
      <c r="CL271" s="17"/>
    </row>
    <row r="272" spans="1:95">
      <c r="A272" s="223">
        <v>45559</v>
      </c>
      <c r="B272" s="16" t="s">
        <v>97</v>
      </c>
      <c r="C272" s="17">
        <v>144.74</v>
      </c>
      <c r="D272" s="18">
        <v>142.74</v>
      </c>
      <c r="E272" s="19">
        <v>143.74</v>
      </c>
      <c r="F272" s="17">
        <v>161.12</v>
      </c>
      <c r="G272" s="18">
        <v>158.12</v>
      </c>
      <c r="H272" s="19">
        <v>159.62</v>
      </c>
      <c r="I272" s="17">
        <v>107.83</v>
      </c>
      <c r="J272" s="18">
        <v>104.63</v>
      </c>
      <c r="K272" s="19">
        <v>106.22999999999999</v>
      </c>
      <c r="L272" s="18">
        <v>195.86</v>
      </c>
      <c r="M272" s="18">
        <v>187.86</v>
      </c>
      <c r="N272" s="18">
        <v>191.86</v>
      </c>
      <c r="O272" s="17">
        <v>170.54</v>
      </c>
      <c r="P272" s="18">
        <v>168.73999999999998</v>
      </c>
      <c r="Q272" s="19">
        <v>169.64</v>
      </c>
      <c r="R272" s="18">
        <v>21.7</v>
      </c>
      <c r="S272" s="18">
        <v>21.099999999999998</v>
      </c>
      <c r="T272" s="18">
        <v>21.4</v>
      </c>
      <c r="U272" s="17">
        <v>13.98</v>
      </c>
      <c r="V272" s="18">
        <v>13.38</v>
      </c>
      <c r="W272" s="19">
        <v>13.68</v>
      </c>
      <c r="X272" s="17">
        <v>14.5</v>
      </c>
      <c r="Y272" s="18">
        <v>13.7</v>
      </c>
      <c r="Z272" s="19">
        <v>14.1</v>
      </c>
      <c r="AA272" s="17">
        <v>100.13</v>
      </c>
      <c r="AB272" s="18">
        <v>96.13</v>
      </c>
      <c r="AC272" s="19">
        <v>98.13</v>
      </c>
      <c r="AD272" s="17">
        <v>91.98</v>
      </c>
      <c r="AE272" s="18">
        <v>87.98</v>
      </c>
      <c r="AF272" s="19">
        <v>89.98</v>
      </c>
      <c r="AG272" s="18">
        <v>18.89</v>
      </c>
      <c r="AH272" s="18">
        <v>18.03</v>
      </c>
      <c r="AI272" s="18">
        <v>18.46</v>
      </c>
      <c r="AJ272" s="20"/>
      <c r="AK272" s="21"/>
      <c r="AL272" s="22"/>
      <c r="AM272" s="18">
        <v>112.16</v>
      </c>
      <c r="AN272" s="18">
        <v>110.5</v>
      </c>
      <c r="AO272" s="18">
        <v>111.33</v>
      </c>
      <c r="AP272" s="17">
        <v>39.17</v>
      </c>
      <c r="AQ272" s="18">
        <v>37.57</v>
      </c>
      <c r="AR272" s="19">
        <v>38.370000000000005</v>
      </c>
      <c r="AS272" s="18">
        <v>39.880000000000003</v>
      </c>
      <c r="AT272" s="18">
        <v>38.520000000000003</v>
      </c>
      <c r="AU272" s="18">
        <v>39.200000000000003</v>
      </c>
      <c r="AV272" s="17">
        <v>20.66</v>
      </c>
      <c r="AW272" s="18">
        <v>20.059999999999999</v>
      </c>
      <c r="AX272" s="19">
        <v>20.36</v>
      </c>
      <c r="AY272" s="17">
        <v>4.45</v>
      </c>
      <c r="AZ272" s="18">
        <v>4.29</v>
      </c>
      <c r="BA272" s="19">
        <v>4.37</v>
      </c>
      <c r="BB272" s="17">
        <v>1.88</v>
      </c>
      <c r="BC272" s="23">
        <v>1.5799999999999998</v>
      </c>
      <c r="BD272" s="24">
        <v>1.73</v>
      </c>
      <c r="BE272" s="18">
        <v>0.67</v>
      </c>
      <c r="BF272" s="23">
        <v>0.37000000000000005</v>
      </c>
      <c r="BG272" s="23">
        <v>0.52</v>
      </c>
      <c r="BH272" s="17">
        <v>480.05</v>
      </c>
      <c r="BI272" s="18">
        <v>464.05</v>
      </c>
      <c r="BJ272" s="19">
        <v>472.05</v>
      </c>
      <c r="BK272" s="18">
        <v>40.18</v>
      </c>
      <c r="BL272" s="18">
        <v>38.82</v>
      </c>
      <c r="BM272" s="18">
        <v>39.5</v>
      </c>
      <c r="BN272" s="25">
        <v>1.07</v>
      </c>
      <c r="BO272" s="23">
        <v>0.83000000000000007</v>
      </c>
      <c r="BP272" s="24">
        <v>0.95000000000000007</v>
      </c>
      <c r="BQ272" s="18">
        <v>8.4</v>
      </c>
      <c r="BR272" s="18">
        <v>6.4</v>
      </c>
      <c r="BS272" s="18">
        <v>7.4</v>
      </c>
      <c r="BT272" s="17">
        <v>10.97</v>
      </c>
      <c r="BU272" s="18">
        <v>10.57</v>
      </c>
      <c r="BV272" s="19">
        <v>10.77</v>
      </c>
      <c r="BW272" s="17">
        <v>2.73</v>
      </c>
      <c r="BX272" s="23">
        <v>2.4500000000000002</v>
      </c>
      <c r="BY272" s="24">
        <v>2.59</v>
      </c>
      <c r="BZ272" s="17">
        <v>9.7799999999999994</v>
      </c>
      <c r="CA272" s="18">
        <v>6.7799999999999994</v>
      </c>
      <c r="CB272" s="19">
        <v>8.2799999999999994</v>
      </c>
      <c r="CC272" s="17">
        <v>6.48</v>
      </c>
      <c r="CD272" s="18">
        <v>6.24</v>
      </c>
      <c r="CE272" s="19">
        <v>6.36</v>
      </c>
      <c r="CF272" s="17">
        <v>1.82</v>
      </c>
      <c r="CG272" s="18">
        <v>1.32</v>
      </c>
      <c r="CH272" s="19">
        <v>1.57</v>
      </c>
      <c r="CI272" s="17">
        <v>0.42</v>
      </c>
      <c r="CJ272" s="18">
        <v>0.38</v>
      </c>
      <c r="CK272" s="19">
        <v>0.4</v>
      </c>
      <c r="CL272" s="17">
        <v>38.58</v>
      </c>
      <c r="CM272">
        <v>36.18</v>
      </c>
      <c r="CN272">
        <v>37.379999999999995</v>
      </c>
      <c r="CO272">
        <v>6.71</v>
      </c>
      <c r="CP272">
        <v>1.71</v>
      </c>
      <c r="CQ272">
        <v>4.21</v>
      </c>
    </row>
    <row r="273" spans="1:95">
      <c r="A273" s="223">
        <v>45560</v>
      </c>
      <c r="B273" s="16" t="s">
        <v>98</v>
      </c>
      <c r="C273" s="17">
        <v>144.33000000000001</v>
      </c>
      <c r="D273" s="18">
        <v>142.33000000000001</v>
      </c>
      <c r="E273" s="19">
        <v>143.33000000000001</v>
      </c>
      <c r="F273" s="17">
        <v>161.91</v>
      </c>
      <c r="G273" s="18">
        <v>158.91</v>
      </c>
      <c r="H273" s="19">
        <v>160.41</v>
      </c>
      <c r="I273" s="17">
        <v>108.37</v>
      </c>
      <c r="J273" s="18">
        <v>105.17</v>
      </c>
      <c r="K273" s="19">
        <v>106.77000000000001</v>
      </c>
      <c r="L273" s="18">
        <v>196.41</v>
      </c>
      <c r="M273" s="18">
        <v>188.41</v>
      </c>
      <c r="N273" s="18">
        <v>192.41</v>
      </c>
      <c r="O273" s="17">
        <v>171.13</v>
      </c>
      <c r="P273" s="18">
        <v>169.32999999999998</v>
      </c>
      <c r="Q273" s="19">
        <v>170.23</v>
      </c>
      <c r="R273" s="18">
        <v>21.81</v>
      </c>
      <c r="S273" s="18">
        <v>21.209999999999997</v>
      </c>
      <c r="T273" s="18">
        <v>21.509999999999998</v>
      </c>
      <c r="U273" s="17">
        <v>14.08</v>
      </c>
      <c r="V273" s="18">
        <v>13.48</v>
      </c>
      <c r="W273" s="19">
        <v>13.780000000000001</v>
      </c>
      <c r="X273" s="17">
        <v>14.6</v>
      </c>
      <c r="Y273" s="18">
        <v>13.799999999999999</v>
      </c>
      <c r="Z273" s="19">
        <v>14.2</v>
      </c>
      <c r="AA273" s="17">
        <v>100.8</v>
      </c>
      <c r="AB273" s="18">
        <v>96.8</v>
      </c>
      <c r="AC273" s="19">
        <v>98.8</v>
      </c>
      <c r="AD273" s="17">
        <v>93.03</v>
      </c>
      <c r="AE273" s="18">
        <v>89.03</v>
      </c>
      <c r="AF273" s="19">
        <v>91.03</v>
      </c>
      <c r="AG273" s="18">
        <v>18.84</v>
      </c>
      <c r="AH273" s="18">
        <v>17.98</v>
      </c>
      <c r="AI273" s="18">
        <v>18.41</v>
      </c>
      <c r="AJ273" s="20"/>
      <c r="AK273" s="21"/>
      <c r="AL273" s="22"/>
      <c r="AM273" s="18">
        <v>112.54</v>
      </c>
      <c r="AN273" s="18">
        <v>110.88000000000001</v>
      </c>
      <c r="AO273" s="18">
        <v>111.71000000000001</v>
      </c>
      <c r="AP273" s="17">
        <v>39.07</v>
      </c>
      <c r="AQ273" s="18">
        <v>37.47</v>
      </c>
      <c r="AR273" s="19">
        <v>38.269999999999996</v>
      </c>
      <c r="AS273" s="18">
        <v>39.770000000000003</v>
      </c>
      <c r="AT273" s="18">
        <v>38.410000000000004</v>
      </c>
      <c r="AU273" s="18">
        <v>39.090000000000003</v>
      </c>
      <c r="AV273" s="17">
        <v>20.76</v>
      </c>
      <c r="AW273" s="18">
        <v>20.16</v>
      </c>
      <c r="AX273" s="19">
        <v>20.46</v>
      </c>
      <c r="AY273" s="17">
        <v>4.4800000000000004</v>
      </c>
      <c r="AZ273" s="18">
        <v>4.32</v>
      </c>
      <c r="BA273" s="19">
        <v>4.4000000000000004</v>
      </c>
      <c r="BB273" s="17">
        <v>1.87</v>
      </c>
      <c r="BC273" s="23">
        <v>1.57</v>
      </c>
      <c r="BD273" s="24">
        <v>1.7200000000000002</v>
      </c>
      <c r="BE273" s="18">
        <v>0.67</v>
      </c>
      <c r="BF273" s="23">
        <v>0.37000000000000005</v>
      </c>
      <c r="BG273" s="23">
        <v>0.52</v>
      </c>
      <c r="BH273" s="17">
        <v>478.55</v>
      </c>
      <c r="BI273" s="18">
        <v>462.55</v>
      </c>
      <c r="BJ273" s="19">
        <v>470.55</v>
      </c>
      <c r="BK273" s="18">
        <v>40.07</v>
      </c>
      <c r="BL273" s="18">
        <v>38.71</v>
      </c>
      <c r="BM273" s="18">
        <v>39.39</v>
      </c>
      <c r="BN273" s="25">
        <v>1.07</v>
      </c>
      <c r="BO273" s="23">
        <v>0.83000000000000007</v>
      </c>
      <c r="BP273" s="24">
        <v>0.95000000000000007</v>
      </c>
      <c r="BQ273" s="18">
        <v>8.42</v>
      </c>
      <c r="BR273" s="18">
        <v>6.42</v>
      </c>
      <c r="BS273" s="18">
        <v>7.42</v>
      </c>
      <c r="BT273" s="17">
        <v>11</v>
      </c>
      <c r="BU273" s="18">
        <v>10.6</v>
      </c>
      <c r="BV273" s="19">
        <v>10.8</v>
      </c>
      <c r="BW273" s="17">
        <v>2.71</v>
      </c>
      <c r="BX273" s="23">
        <v>2.4299999999999997</v>
      </c>
      <c r="BY273" s="24">
        <v>2.57</v>
      </c>
      <c r="BZ273" s="17">
        <v>9.7899999999999991</v>
      </c>
      <c r="CA273" s="18">
        <v>6.7899999999999991</v>
      </c>
      <c r="CB273" s="19">
        <v>8.2899999999999991</v>
      </c>
      <c r="CC273" s="17">
        <v>6.52</v>
      </c>
      <c r="CD273" s="18">
        <v>6.2799999999999994</v>
      </c>
      <c r="CE273" s="19">
        <v>6.3999999999999995</v>
      </c>
      <c r="CF273" s="17">
        <v>1.8</v>
      </c>
      <c r="CG273" s="18">
        <v>1.3</v>
      </c>
      <c r="CH273" s="19">
        <v>1.55</v>
      </c>
      <c r="CI273" s="17">
        <v>0.43</v>
      </c>
      <c r="CJ273" s="18">
        <v>0.39</v>
      </c>
      <c r="CK273" s="19">
        <v>0.41000000000000003</v>
      </c>
      <c r="CL273" s="17">
        <v>38.93</v>
      </c>
      <c r="CM273">
        <v>36.53</v>
      </c>
      <c r="CN273">
        <v>37.730000000000004</v>
      </c>
      <c r="CO273">
        <v>6.71</v>
      </c>
      <c r="CP273">
        <v>1.71</v>
      </c>
      <c r="CQ273">
        <v>4.21</v>
      </c>
    </row>
    <row r="274" spans="1:95">
      <c r="A274" s="223">
        <v>45561</v>
      </c>
      <c r="B274" s="16" t="s">
        <v>99</v>
      </c>
      <c r="C274" s="17">
        <v>145.61000000000001</v>
      </c>
      <c r="D274" s="18">
        <v>143.61000000000001</v>
      </c>
      <c r="E274" s="19">
        <v>144.61000000000001</v>
      </c>
      <c r="F274" s="17">
        <v>162.47999999999999</v>
      </c>
      <c r="G274" s="18">
        <v>159.47999999999999</v>
      </c>
      <c r="H274" s="19">
        <v>160.97999999999999</v>
      </c>
      <c r="I274" s="17">
        <v>108.92</v>
      </c>
      <c r="J274" s="18">
        <v>105.72</v>
      </c>
      <c r="K274" s="19">
        <v>107.32</v>
      </c>
      <c r="L274" s="18">
        <v>196.74</v>
      </c>
      <c r="M274" s="18">
        <v>188.74</v>
      </c>
      <c r="N274" s="18">
        <v>192.74</v>
      </c>
      <c r="O274" s="17">
        <v>171.01</v>
      </c>
      <c r="P274" s="18">
        <v>169.20999999999998</v>
      </c>
      <c r="Q274" s="19">
        <v>170.10999999999999</v>
      </c>
      <c r="R274" s="18">
        <v>21.89</v>
      </c>
      <c r="S274" s="18">
        <v>21.29</v>
      </c>
      <c r="T274" s="18">
        <v>21.59</v>
      </c>
      <c r="U274" s="17">
        <v>13.97</v>
      </c>
      <c r="V274" s="18">
        <v>13.370000000000001</v>
      </c>
      <c r="W274" s="19">
        <v>13.670000000000002</v>
      </c>
      <c r="X274" s="17">
        <v>14.61</v>
      </c>
      <c r="Y274" s="18">
        <v>13.809999999999999</v>
      </c>
      <c r="Z274" s="19">
        <v>14.209999999999999</v>
      </c>
      <c r="AA274" s="17">
        <v>100.74</v>
      </c>
      <c r="AB274" s="18">
        <v>96.74</v>
      </c>
      <c r="AC274" s="19">
        <v>98.74</v>
      </c>
      <c r="AD274" s="17">
        <v>92.53</v>
      </c>
      <c r="AE274" s="18">
        <v>88.53</v>
      </c>
      <c r="AF274" s="19">
        <v>90.53</v>
      </c>
      <c r="AG274" s="18">
        <v>19.010000000000002</v>
      </c>
      <c r="AH274" s="18">
        <v>18.150000000000002</v>
      </c>
      <c r="AI274" s="18">
        <v>18.580000000000002</v>
      </c>
      <c r="AJ274" s="20"/>
      <c r="AK274" s="21"/>
      <c r="AL274" s="22"/>
      <c r="AM274" s="18">
        <v>113.11</v>
      </c>
      <c r="AN274" s="18">
        <v>111.45</v>
      </c>
      <c r="AO274" s="18">
        <v>112.28</v>
      </c>
      <c r="AP274" s="17">
        <v>39.4</v>
      </c>
      <c r="AQ274" s="18">
        <v>37.799999999999997</v>
      </c>
      <c r="AR274" s="19">
        <v>38.599999999999994</v>
      </c>
      <c r="AS274" s="18">
        <v>40.119999999999997</v>
      </c>
      <c r="AT274" s="18">
        <v>38.76</v>
      </c>
      <c r="AU274" s="18">
        <v>39.44</v>
      </c>
      <c r="AV274" s="17">
        <v>20.87</v>
      </c>
      <c r="AW274" s="18">
        <v>20.27</v>
      </c>
      <c r="AX274" s="19">
        <v>20.57</v>
      </c>
      <c r="AY274" s="17">
        <v>4.51</v>
      </c>
      <c r="AZ274" s="18">
        <v>4.3499999999999996</v>
      </c>
      <c r="BA274" s="19">
        <v>4.43</v>
      </c>
      <c r="BB274" s="17">
        <v>1.89</v>
      </c>
      <c r="BC274" s="23">
        <v>1.5899999999999999</v>
      </c>
      <c r="BD274" s="24">
        <v>1.7399999999999998</v>
      </c>
      <c r="BE274" s="18">
        <v>0.67</v>
      </c>
      <c r="BF274" s="23">
        <v>0.37000000000000005</v>
      </c>
      <c r="BG274" s="23">
        <v>0.52</v>
      </c>
      <c r="BH274" s="17">
        <v>482.6</v>
      </c>
      <c r="BI274" s="18">
        <v>466.6</v>
      </c>
      <c r="BJ274" s="19">
        <v>474.6</v>
      </c>
      <c r="BK274" s="18">
        <v>40.42</v>
      </c>
      <c r="BL274" s="18">
        <v>39.06</v>
      </c>
      <c r="BM274" s="18">
        <v>39.74</v>
      </c>
      <c r="BN274" s="25">
        <v>1.08</v>
      </c>
      <c r="BO274" s="23">
        <v>0.84000000000000008</v>
      </c>
      <c r="BP274" s="24">
        <v>0.96000000000000008</v>
      </c>
      <c r="BQ274" s="18">
        <v>8.36</v>
      </c>
      <c r="BR274" s="18">
        <v>6.3599999999999994</v>
      </c>
      <c r="BS274" s="18">
        <v>7.3599999999999994</v>
      </c>
      <c r="BT274" s="17">
        <v>11.08</v>
      </c>
      <c r="BU274" s="18">
        <v>10.68</v>
      </c>
      <c r="BV274" s="19">
        <v>10.879999999999999</v>
      </c>
      <c r="BW274" s="17">
        <v>2.75</v>
      </c>
      <c r="BX274" s="23">
        <v>2.4699999999999998</v>
      </c>
      <c r="BY274" s="24">
        <v>2.61</v>
      </c>
      <c r="BZ274" s="17">
        <v>9.8699999999999992</v>
      </c>
      <c r="CA274" s="18">
        <v>6.8699999999999992</v>
      </c>
      <c r="CB274" s="19">
        <v>8.3699999999999992</v>
      </c>
      <c r="CC274" s="17">
        <v>6.53</v>
      </c>
      <c r="CD274" s="18">
        <v>6.29</v>
      </c>
      <c r="CE274" s="19">
        <v>6.41</v>
      </c>
      <c r="CF274" s="17">
        <v>1.81</v>
      </c>
      <c r="CG274" s="18">
        <v>1.31</v>
      </c>
      <c r="CH274" s="19">
        <v>1.56</v>
      </c>
      <c r="CI274" s="17">
        <v>0.43</v>
      </c>
      <c r="CJ274" s="18">
        <v>0.39</v>
      </c>
      <c r="CK274" s="19">
        <v>0.41000000000000003</v>
      </c>
      <c r="CL274" s="17">
        <v>38.94</v>
      </c>
      <c r="CM274">
        <v>36.54</v>
      </c>
      <c r="CN274">
        <v>37.739999999999995</v>
      </c>
      <c r="CO274">
        <v>6.74</v>
      </c>
      <c r="CP274">
        <v>1.7400000000000002</v>
      </c>
      <c r="CQ274">
        <v>4.24</v>
      </c>
    </row>
    <row r="275" spans="1:95">
      <c r="A275" s="223">
        <v>45562</v>
      </c>
      <c r="B275" s="16" t="s">
        <v>100</v>
      </c>
      <c r="C275" s="17">
        <v>146.53</v>
      </c>
      <c r="D275" s="18">
        <v>144.53</v>
      </c>
      <c r="E275" s="19">
        <v>145.53</v>
      </c>
      <c r="F275" s="17">
        <v>164.06</v>
      </c>
      <c r="G275" s="18">
        <v>161.06</v>
      </c>
      <c r="H275" s="19">
        <v>162.56</v>
      </c>
      <c r="I275" s="17">
        <v>109.51</v>
      </c>
      <c r="J275" s="18">
        <v>106.31</v>
      </c>
      <c r="K275" s="19">
        <v>107.91</v>
      </c>
      <c r="L275" s="18">
        <v>199.13</v>
      </c>
      <c r="M275" s="18">
        <v>191.13</v>
      </c>
      <c r="N275" s="18">
        <v>195.13</v>
      </c>
      <c r="O275" s="17">
        <v>172.62</v>
      </c>
      <c r="P275" s="18">
        <v>170.82</v>
      </c>
      <c r="Q275" s="19">
        <v>171.72</v>
      </c>
      <c r="R275" s="18">
        <v>22.1</v>
      </c>
      <c r="S275" s="18">
        <v>21.5</v>
      </c>
      <c r="T275" s="18">
        <v>21.8</v>
      </c>
      <c r="U275" s="17">
        <v>14.08</v>
      </c>
      <c r="V275" s="18">
        <v>13.48</v>
      </c>
      <c r="W275" s="19">
        <v>13.780000000000001</v>
      </c>
      <c r="X275" s="17">
        <v>14.75</v>
      </c>
      <c r="Y275" s="18">
        <v>13.95</v>
      </c>
      <c r="Z275" s="19">
        <v>14.35</v>
      </c>
      <c r="AA275" s="17">
        <v>102.34</v>
      </c>
      <c r="AB275" s="18">
        <v>98.34</v>
      </c>
      <c r="AC275" s="19">
        <v>100.34</v>
      </c>
      <c r="AD275" s="17">
        <v>94.06</v>
      </c>
      <c r="AE275" s="18">
        <v>90.06</v>
      </c>
      <c r="AF275" s="19">
        <v>92.06</v>
      </c>
      <c r="AG275" s="18">
        <v>19.14</v>
      </c>
      <c r="AH275" s="18">
        <v>18.28</v>
      </c>
      <c r="AI275" s="18">
        <v>18.71</v>
      </c>
      <c r="AJ275" s="20"/>
      <c r="AK275" s="21"/>
      <c r="AL275" s="22"/>
      <c r="AM275" s="18">
        <v>114.07</v>
      </c>
      <c r="AN275" s="18">
        <v>112.41</v>
      </c>
      <c r="AO275" s="18">
        <v>113.24</v>
      </c>
      <c r="AP275" s="17">
        <v>39.659999999999997</v>
      </c>
      <c r="AQ275" s="18">
        <v>38.059999999999995</v>
      </c>
      <c r="AR275" s="19">
        <v>38.86</v>
      </c>
      <c r="AS275" s="18">
        <v>40.369999999999997</v>
      </c>
      <c r="AT275" s="18">
        <v>39.01</v>
      </c>
      <c r="AU275" s="18">
        <v>39.69</v>
      </c>
      <c r="AV275" s="17">
        <v>21.12</v>
      </c>
      <c r="AW275" s="18">
        <v>20.52</v>
      </c>
      <c r="AX275" s="19">
        <v>20.82</v>
      </c>
      <c r="AY275" s="17">
        <v>4.57</v>
      </c>
      <c r="AZ275" s="18">
        <v>4.41</v>
      </c>
      <c r="BA275" s="19">
        <v>4.49</v>
      </c>
      <c r="BB275" s="17">
        <v>1.9</v>
      </c>
      <c r="BC275" s="23">
        <v>1.5999999999999999</v>
      </c>
      <c r="BD275" s="24">
        <v>1.75</v>
      </c>
      <c r="BE275" s="18">
        <v>0.68</v>
      </c>
      <c r="BF275" s="23">
        <v>0.38000000000000006</v>
      </c>
      <c r="BG275" s="23">
        <v>0.53</v>
      </c>
      <c r="BH275" s="17">
        <v>485.77</v>
      </c>
      <c r="BI275" s="18">
        <v>469.77</v>
      </c>
      <c r="BJ275" s="19">
        <v>477.77</v>
      </c>
      <c r="BK275" s="18">
        <v>40.67</v>
      </c>
      <c r="BL275" s="18">
        <v>39.31</v>
      </c>
      <c r="BM275" s="18">
        <v>39.99</v>
      </c>
      <c r="BN275" s="25">
        <v>1.08</v>
      </c>
      <c r="BO275" s="23">
        <v>0.84000000000000008</v>
      </c>
      <c r="BP275" s="24">
        <v>0.96000000000000008</v>
      </c>
      <c r="BQ275" s="18">
        <v>8.42</v>
      </c>
      <c r="BR275" s="18">
        <v>6.42</v>
      </c>
      <c r="BS275" s="18">
        <v>7.42</v>
      </c>
      <c r="BT275" s="17">
        <v>11.25</v>
      </c>
      <c r="BU275" s="18">
        <v>10.85</v>
      </c>
      <c r="BV275" s="19">
        <v>11.05</v>
      </c>
      <c r="BW275" s="17">
        <v>2.76</v>
      </c>
      <c r="BX275" s="23">
        <v>2.4799999999999995</v>
      </c>
      <c r="BY275" s="24">
        <v>2.6199999999999997</v>
      </c>
      <c r="BZ275" s="17">
        <v>9.9600000000000009</v>
      </c>
      <c r="CA275" s="18">
        <v>6.9600000000000009</v>
      </c>
      <c r="CB275" s="19">
        <v>8.4600000000000009</v>
      </c>
      <c r="CC275" s="17">
        <v>6.59</v>
      </c>
      <c r="CD275" s="18">
        <v>6.35</v>
      </c>
      <c r="CE275" s="19">
        <v>6.47</v>
      </c>
      <c r="CF275" s="17">
        <v>1.82</v>
      </c>
      <c r="CG275" s="18">
        <v>1.32</v>
      </c>
      <c r="CH275" s="19">
        <v>1.57</v>
      </c>
      <c r="CI275" s="17">
        <v>0.43</v>
      </c>
      <c r="CJ275" s="18">
        <v>0.39</v>
      </c>
      <c r="CK275" s="19">
        <v>0.41000000000000003</v>
      </c>
      <c r="CL275" s="17">
        <v>39.25</v>
      </c>
      <c r="CM275">
        <v>36.85</v>
      </c>
      <c r="CN275">
        <v>38.049999999999997</v>
      </c>
      <c r="CO275">
        <v>6.77</v>
      </c>
      <c r="CP275">
        <v>1.7699999999999996</v>
      </c>
      <c r="CQ275">
        <v>4.2699999999999996</v>
      </c>
    </row>
    <row r="276" spans="1:95">
      <c r="A276" s="223">
        <v>45563</v>
      </c>
      <c r="B276" s="16" t="s">
        <v>307</v>
      </c>
      <c r="C276" s="18"/>
      <c r="D276" s="18"/>
      <c r="E276" s="18"/>
      <c r="F276" s="17"/>
      <c r="G276" s="18"/>
      <c r="H276" s="19"/>
      <c r="I276" s="18"/>
      <c r="J276" s="18"/>
      <c r="K276" s="18"/>
      <c r="L276" s="17"/>
      <c r="M276" s="18"/>
      <c r="N276" s="19"/>
      <c r="O276" s="18"/>
      <c r="P276" s="18"/>
      <c r="Q276" s="18"/>
      <c r="R276" s="17"/>
      <c r="S276" s="18"/>
      <c r="T276" s="19"/>
      <c r="U276" s="17"/>
      <c r="V276" s="18"/>
      <c r="W276" s="19"/>
      <c r="X276" s="17"/>
      <c r="Y276" s="18"/>
      <c r="Z276" s="19"/>
      <c r="AA276" s="17"/>
      <c r="AB276" s="18"/>
      <c r="AC276" s="19"/>
      <c r="AD276" s="18"/>
      <c r="AE276" s="18"/>
      <c r="AF276" s="18"/>
      <c r="AG276" s="17"/>
      <c r="AH276" s="18"/>
      <c r="AI276" s="19"/>
      <c r="AJ276" s="20"/>
      <c r="AK276" s="21"/>
      <c r="AL276" s="22"/>
      <c r="AM276" s="17"/>
      <c r="AN276" s="18"/>
      <c r="AO276" s="19"/>
      <c r="AP276" s="17"/>
      <c r="AQ276" s="18"/>
      <c r="AR276" s="19"/>
      <c r="AS276" s="18"/>
      <c r="AT276" s="18"/>
      <c r="AU276" s="18"/>
      <c r="AV276" s="17"/>
      <c r="AW276" s="18"/>
      <c r="AX276" s="19"/>
      <c r="AY276" s="17"/>
      <c r="AZ276" s="18"/>
      <c r="BA276" s="19"/>
      <c r="BB276" s="17"/>
      <c r="BC276" s="23"/>
      <c r="BD276" s="24"/>
      <c r="BE276" s="17"/>
      <c r="BF276" s="23"/>
      <c r="BG276" s="24"/>
      <c r="BH276" s="17"/>
      <c r="BI276" s="18"/>
      <c r="BJ276" s="19"/>
      <c r="BK276" s="18"/>
      <c r="BL276" s="18"/>
      <c r="BM276" s="18"/>
      <c r="BN276" s="25"/>
      <c r="BO276" s="23"/>
      <c r="BP276" s="24"/>
      <c r="BQ276" s="18"/>
      <c r="BR276" s="18"/>
      <c r="BS276" s="18"/>
      <c r="BT276" s="17"/>
      <c r="BU276" s="18"/>
      <c r="BV276" s="19"/>
      <c r="BW276" s="17"/>
      <c r="BX276" s="23"/>
      <c r="BY276" s="24"/>
      <c r="BZ276" s="17"/>
      <c r="CA276" s="18"/>
      <c r="CB276" s="19"/>
      <c r="CC276" s="17"/>
      <c r="CD276" s="18"/>
      <c r="CE276" s="19"/>
      <c r="CF276" s="18"/>
      <c r="CG276" s="18"/>
      <c r="CH276" s="18"/>
      <c r="CI276" s="17"/>
      <c r="CJ276" s="18"/>
      <c r="CK276" s="19"/>
      <c r="CL276" s="17"/>
    </row>
    <row r="277" spans="1:95">
      <c r="A277" s="223">
        <v>45564</v>
      </c>
      <c r="B277" s="16" t="s">
        <v>308</v>
      </c>
      <c r="C277" s="17"/>
      <c r="D277" s="18"/>
      <c r="E277" s="19"/>
      <c r="F277" s="17"/>
      <c r="G277" s="18"/>
      <c r="H277" s="19"/>
      <c r="I277" s="17"/>
      <c r="J277" s="18"/>
      <c r="K277" s="19"/>
      <c r="L277" s="18"/>
      <c r="M277" s="18"/>
      <c r="N277" s="18"/>
      <c r="O277" s="17"/>
      <c r="P277" s="18"/>
      <c r="Q277" s="19"/>
      <c r="R277" s="18"/>
      <c r="S277" s="18"/>
      <c r="T277" s="18"/>
      <c r="U277" s="17"/>
      <c r="V277" s="18"/>
      <c r="W277" s="19"/>
      <c r="X277" s="17"/>
      <c r="Y277" s="18"/>
      <c r="Z277" s="19"/>
      <c r="AA277" s="17"/>
      <c r="AB277" s="18"/>
      <c r="AC277" s="19"/>
      <c r="AD277" s="17"/>
      <c r="AE277" s="18"/>
      <c r="AF277" s="19"/>
      <c r="AG277" s="18"/>
      <c r="AH277" s="18"/>
      <c r="AI277" s="18"/>
      <c r="AJ277" s="20"/>
      <c r="AK277" s="21"/>
      <c r="AL277" s="22"/>
      <c r="AM277" s="18"/>
      <c r="AN277" s="18"/>
      <c r="AO277" s="18"/>
      <c r="AP277" s="17"/>
      <c r="AQ277" s="18"/>
      <c r="AR277" s="19"/>
      <c r="AS277" s="18"/>
      <c r="AT277" s="18"/>
      <c r="AU277" s="18"/>
      <c r="AV277" s="17"/>
      <c r="AW277" s="18"/>
      <c r="AX277" s="19"/>
      <c r="AY277" s="17"/>
      <c r="AZ277" s="18"/>
      <c r="BA277" s="19"/>
      <c r="BB277" s="17"/>
      <c r="BC277" s="23"/>
      <c r="BD277" s="24"/>
      <c r="BE277" s="18"/>
      <c r="BF277" s="23"/>
      <c r="BG277" s="23"/>
      <c r="BH277" s="17"/>
      <c r="BI277" s="18"/>
      <c r="BJ277" s="19"/>
      <c r="BK277" s="18"/>
      <c r="BL277" s="18"/>
      <c r="BM277" s="18"/>
      <c r="BN277" s="25"/>
      <c r="BO277" s="23"/>
      <c r="BP277" s="24"/>
      <c r="BQ277" s="18"/>
      <c r="BR277" s="18"/>
      <c r="BS277" s="18"/>
      <c r="BT277" s="17"/>
      <c r="BU277" s="18"/>
      <c r="BV277" s="19"/>
      <c r="BW277" s="17"/>
      <c r="BX277" s="23"/>
      <c r="BY277" s="24"/>
      <c r="BZ277" s="17"/>
      <c r="CA277" s="18"/>
      <c r="CB277" s="19"/>
      <c r="CC277" s="17"/>
      <c r="CD277" s="18"/>
      <c r="CE277" s="19"/>
      <c r="CF277" s="17"/>
      <c r="CG277" s="18"/>
      <c r="CH277" s="19"/>
      <c r="CI277" s="17"/>
      <c r="CJ277" s="18"/>
      <c r="CK277" s="19"/>
      <c r="CL277" s="17"/>
    </row>
    <row r="278" spans="1:95">
      <c r="A278" s="223">
        <v>45565</v>
      </c>
      <c r="B278" s="16" t="s">
        <v>96</v>
      </c>
      <c r="C278" s="17">
        <v>143.72999999999999</v>
      </c>
      <c r="D278" s="18">
        <v>141.72999999999999</v>
      </c>
      <c r="E278" s="19">
        <v>142.72999999999999</v>
      </c>
      <c r="F278" s="17">
        <v>160.93</v>
      </c>
      <c r="G278" s="18">
        <v>157.93</v>
      </c>
      <c r="H278" s="19">
        <v>159.43</v>
      </c>
      <c r="I278" s="17">
        <v>107.17</v>
      </c>
      <c r="J278" s="18">
        <v>103.97</v>
      </c>
      <c r="K278" s="19">
        <v>105.57</v>
      </c>
      <c r="L278" s="18">
        <v>195.03</v>
      </c>
      <c r="M278" s="18">
        <v>187.03</v>
      </c>
      <c r="N278" s="18">
        <v>191.03</v>
      </c>
      <c r="O278" s="17">
        <v>170.61</v>
      </c>
      <c r="P278" s="18">
        <v>168.81</v>
      </c>
      <c r="Q278" s="19">
        <v>169.71</v>
      </c>
      <c r="R278" s="18">
        <v>21.68</v>
      </c>
      <c r="S278" s="18">
        <v>21.08</v>
      </c>
      <c r="T278" s="18">
        <v>21.38</v>
      </c>
      <c r="U278" s="17">
        <v>13.9</v>
      </c>
      <c r="V278" s="18">
        <v>13.3</v>
      </c>
      <c r="W278" s="19">
        <v>13.600000000000001</v>
      </c>
      <c r="X278" s="17">
        <v>14.56</v>
      </c>
      <c r="Y278" s="18">
        <v>13.76</v>
      </c>
      <c r="Z278" s="19">
        <v>14.16</v>
      </c>
      <c r="AA278" s="17">
        <v>100.73</v>
      </c>
      <c r="AB278" s="18">
        <v>96.73</v>
      </c>
      <c r="AC278" s="19">
        <v>98.73</v>
      </c>
      <c r="AD278" s="17">
        <v>92.75</v>
      </c>
      <c r="AE278" s="18">
        <v>88.75</v>
      </c>
      <c r="AF278" s="19">
        <v>90.75</v>
      </c>
      <c r="AG278" s="18">
        <v>18.8</v>
      </c>
      <c r="AH278" s="18">
        <v>17.940000000000001</v>
      </c>
      <c r="AI278" s="18">
        <v>18.37</v>
      </c>
      <c r="AJ278" s="20"/>
      <c r="AK278" s="21"/>
      <c r="AL278" s="22"/>
      <c r="AM278" s="18">
        <v>112.3</v>
      </c>
      <c r="AN278" s="18">
        <v>110.64</v>
      </c>
      <c r="AO278" s="18">
        <v>111.47</v>
      </c>
      <c r="AP278" s="17">
        <v>38.909999999999997</v>
      </c>
      <c r="AQ278" s="18">
        <v>37.309999999999995</v>
      </c>
      <c r="AR278" s="19">
        <v>38.11</v>
      </c>
      <c r="AS278" s="18">
        <v>39.6</v>
      </c>
      <c r="AT278" s="18">
        <v>38.24</v>
      </c>
      <c r="AU278" s="18">
        <v>38.92</v>
      </c>
      <c r="AV278" s="17">
        <v>20.76</v>
      </c>
      <c r="AW278" s="18">
        <v>20.16</v>
      </c>
      <c r="AX278" s="19">
        <v>20.46</v>
      </c>
      <c r="AY278" s="17">
        <v>4.49</v>
      </c>
      <c r="AZ278" s="18">
        <v>4.33</v>
      </c>
      <c r="BA278" s="19">
        <v>4.41</v>
      </c>
      <c r="BB278" s="17">
        <v>1.86</v>
      </c>
      <c r="BC278" s="23">
        <v>1.56</v>
      </c>
      <c r="BD278" s="24">
        <v>1.71</v>
      </c>
      <c r="BE278" s="18">
        <v>0.67</v>
      </c>
      <c r="BF278" s="23">
        <v>0.37000000000000005</v>
      </c>
      <c r="BG278" s="23">
        <v>0.52</v>
      </c>
      <c r="BH278" s="17">
        <v>475.35</v>
      </c>
      <c r="BI278" s="18">
        <v>459.35</v>
      </c>
      <c r="BJ278" s="19">
        <v>467.35</v>
      </c>
      <c r="BK278" s="18">
        <v>39.9</v>
      </c>
      <c r="BL278" s="18">
        <v>38.54</v>
      </c>
      <c r="BM278" s="18">
        <v>39.22</v>
      </c>
      <c r="BN278" s="25">
        <v>1.07</v>
      </c>
      <c r="BO278" s="23">
        <v>0.83000000000000007</v>
      </c>
      <c r="BP278" s="24">
        <v>0.95000000000000007</v>
      </c>
      <c r="BQ278" s="18">
        <v>8.24</v>
      </c>
      <c r="BR278" s="18">
        <v>6.24</v>
      </c>
      <c r="BS278" s="18">
        <v>7.24</v>
      </c>
      <c r="BT278" s="17">
        <v>11.14</v>
      </c>
      <c r="BU278" s="18">
        <v>10.74</v>
      </c>
      <c r="BV278" s="19">
        <v>10.940000000000001</v>
      </c>
      <c r="BW278" s="17">
        <v>2.7</v>
      </c>
      <c r="BX278" s="23">
        <v>2.42</v>
      </c>
      <c r="BY278" s="24">
        <v>2.56</v>
      </c>
      <c r="BZ278" s="17">
        <v>9.84</v>
      </c>
      <c r="CA278" s="18">
        <v>6.84</v>
      </c>
      <c r="CB278" s="19">
        <v>8.34</v>
      </c>
      <c r="CC278" s="17">
        <v>6.47</v>
      </c>
      <c r="CD278" s="18">
        <v>6.2299999999999995</v>
      </c>
      <c r="CE278" s="19">
        <v>6.35</v>
      </c>
      <c r="CF278" s="17">
        <v>1.76</v>
      </c>
      <c r="CG278" s="18">
        <v>1.26</v>
      </c>
      <c r="CH278" s="19">
        <v>1.51</v>
      </c>
      <c r="CI278" s="17">
        <v>0.42</v>
      </c>
      <c r="CJ278" s="18">
        <v>0.38</v>
      </c>
      <c r="CK278" s="19">
        <v>0.4</v>
      </c>
      <c r="CL278" s="17">
        <v>38.51</v>
      </c>
      <c r="CM278">
        <v>36.11</v>
      </c>
      <c r="CN278">
        <v>37.31</v>
      </c>
      <c r="CO278">
        <v>6.68</v>
      </c>
      <c r="CP278">
        <v>1.6799999999999997</v>
      </c>
      <c r="CQ278">
        <v>4.18</v>
      </c>
    </row>
    <row r="279" spans="1:95">
      <c r="A279" s="223">
        <v>45566</v>
      </c>
      <c r="B279" s="16" t="s">
        <v>97</v>
      </c>
      <c r="C279" s="17">
        <v>145.1</v>
      </c>
      <c r="D279" s="18">
        <v>143.1</v>
      </c>
      <c r="E279" s="19">
        <v>144.1</v>
      </c>
      <c r="F279" s="17">
        <v>161.88</v>
      </c>
      <c r="G279" s="18">
        <v>158.88</v>
      </c>
      <c r="H279" s="19">
        <v>160.38</v>
      </c>
      <c r="I279" s="17">
        <v>108.1</v>
      </c>
      <c r="J279" s="18">
        <v>104.89999999999999</v>
      </c>
      <c r="K279" s="19">
        <v>106.5</v>
      </c>
      <c r="L279" s="18">
        <v>196.72</v>
      </c>
      <c r="M279" s="18">
        <v>188.72</v>
      </c>
      <c r="N279" s="18">
        <v>192.72</v>
      </c>
      <c r="O279" s="17">
        <v>171.21</v>
      </c>
      <c r="P279" s="18">
        <v>169.41</v>
      </c>
      <c r="Q279" s="19">
        <v>170.31</v>
      </c>
      <c r="R279" s="18">
        <v>21.81</v>
      </c>
      <c r="S279" s="18">
        <v>21.209999999999997</v>
      </c>
      <c r="T279" s="18">
        <v>21.509999999999998</v>
      </c>
      <c r="U279" s="17">
        <v>13.97</v>
      </c>
      <c r="V279" s="18">
        <v>13.370000000000001</v>
      </c>
      <c r="W279" s="19">
        <v>13.670000000000002</v>
      </c>
      <c r="X279" s="17">
        <v>14.58</v>
      </c>
      <c r="Y279" s="18">
        <v>13.78</v>
      </c>
      <c r="Z279" s="19">
        <v>14.18</v>
      </c>
      <c r="AA279" s="17">
        <v>101.6</v>
      </c>
      <c r="AB279" s="18">
        <v>97.6</v>
      </c>
      <c r="AC279" s="19">
        <v>99.6</v>
      </c>
      <c r="AD279" s="17">
        <v>93.43</v>
      </c>
      <c r="AE279" s="18">
        <v>89.43</v>
      </c>
      <c r="AF279" s="19">
        <v>91.43</v>
      </c>
      <c r="AG279" s="18">
        <v>18.97</v>
      </c>
      <c r="AH279" s="18">
        <v>18.11</v>
      </c>
      <c r="AI279" s="18">
        <v>18.54</v>
      </c>
      <c r="AJ279" s="20"/>
      <c r="AK279" s="21"/>
      <c r="AL279" s="22"/>
      <c r="AM279" s="18">
        <v>112.95</v>
      </c>
      <c r="AN279" s="18">
        <v>111.29</v>
      </c>
      <c r="AO279" s="18">
        <v>112.12</v>
      </c>
      <c r="AP279" s="17">
        <v>39.159999999999997</v>
      </c>
      <c r="AQ279" s="18">
        <v>37.559999999999995</v>
      </c>
      <c r="AR279" s="19">
        <v>38.36</v>
      </c>
      <c r="AS279" s="18">
        <v>39.979999999999997</v>
      </c>
      <c r="AT279" s="18">
        <v>38.619999999999997</v>
      </c>
      <c r="AU279" s="18">
        <v>39.299999999999997</v>
      </c>
      <c r="AV279" s="17">
        <v>20.84</v>
      </c>
      <c r="AW279" s="18">
        <v>20.239999999999998</v>
      </c>
      <c r="AX279" s="19">
        <v>20.54</v>
      </c>
      <c r="AY279" s="17">
        <v>4.5199999999999996</v>
      </c>
      <c r="AZ279" s="18">
        <v>4.3599999999999994</v>
      </c>
      <c r="BA279" s="19">
        <v>4.4399999999999995</v>
      </c>
      <c r="BB279" s="17">
        <v>1.88</v>
      </c>
      <c r="BC279" s="23">
        <v>1.5799999999999998</v>
      </c>
      <c r="BD279" s="24">
        <v>1.73</v>
      </c>
      <c r="BE279" s="18">
        <v>0.67</v>
      </c>
      <c r="BF279" s="23">
        <v>0.37000000000000005</v>
      </c>
      <c r="BG279" s="23">
        <v>0.52</v>
      </c>
      <c r="BH279" s="17">
        <v>480.77</v>
      </c>
      <c r="BI279" s="18">
        <v>464.77</v>
      </c>
      <c r="BJ279" s="19">
        <v>472.77</v>
      </c>
      <c r="BK279" s="18">
        <v>40.28</v>
      </c>
      <c r="BL279" s="18">
        <v>38.92</v>
      </c>
      <c r="BM279" s="18">
        <v>39.6</v>
      </c>
      <c r="BN279" s="25">
        <v>1.08</v>
      </c>
      <c r="BO279" s="23">
        <v>0.84000000000000008</v>
      </c>
      <c r="BP279" s="24">
        <v>0.96000000000000008</v>
      </c>
      <c r="BQ279" s="18">
        <v>8.32</v>
      </c>
      <c r="BR279" s="18">
        <v>6.32</v>
      </c>
      <c r="BS279" s="18">
        <v>7.32</v>
      </c>
      <c r="BT279" s="17">
        <v>11.15</v>
      </c>
      <c r="BU279" s="18">
        <v>10.75</v>
      </c>
      <c r="BV279" s="19">
        <v>10.95</v>
      </c>
      <c r="BW279" s="17">
        <v>2.73</v>
      </c>
      <c r="BX279" s="23">
        <v>2.4500000000000002</v>
      </c>
      <c r="BY279" s="24">
        <v>2.59</v>
      </c>
      <c r="BZ279" s="17">
        <v>9.83</v>
      </c>
      <c r="CA279" s="18">
        <v>6.83</v>
      </c>
      <c r="CB279" s="19">
        <v>8.33</v>
      </c>
      <c r="CC279" s="17">
        <v>6.47</v>
      </c>
      <c r="CD279" s="18">
        <v>6.2299999999999995</v>
      </c>
      <c r="CE279" s="19">
        <v>6.35</v>
      </c>
      <c r="CF279" s="17">
        <v>1.8</v>
      </c>
      <c r="CG279" s="18">
        <v>1.3</v>
      </c>
      <c r="CH279" s="19">
        <v>1.55</v>
      </c>
      <c r="CI279" s="17">
        <v>0.42</v>
      </c>
      <c r="CJ279" s="18">
        <v>0.38</v>
      </c>
      <c r="CK279" s="19">
        <v>0.4</v>
      </c>
      <c r="CL279" s="17">
        <v>38.630000000000003</v>
      </c>
      <c r="CM279">
        <v>36.230000000000004</v>
      </c>
      <c r="CN279">
        <v>37.430000000000007</v>
      </c>
      <c r="CO279">
        <v>6.72</v>
      </c>
      <c r="CP279">
        <v>1.7199999999999998</v>
      </c>
      <c r="CQ279">
        <v>4.22</v>
      </c>
    </row>
    <row r="280" spans="1:95">
      <c r="A280" s="223">
        <v>45567</v>
      </c>
      <c r="B280" s="16" t="s">
        <v>98</v>
      </c>
      <c r="C280" s="18">
        <v>144.93</v>
      </c>
      <c r="D280" s="18">
        <v>142.93</v>
      </c>
      <c r="E280" s="18">
        <v>143.93</v>
      </c>
      <c r="F280" s="17">
        <v>160.74</v>
      </c>
      <c r="G280" s="18">
        <v>157.74</v>
      </c>
      <c r="H280" s="19">
        <v>159.24</v>
      </c>
      <c r="I280" s="18">
        <v>108.32</v>
      </c>
      <c r="J280" s="18">
        <v>105.11999999999999</v>
      </c>
      <c r="K280" s="18">
        <v>106.72</v>
      </c>
      <c r="L280" s="17">
        <v>195.11</v>
      </c>
      <c r="M280" s="18">
        <v>187.11</v>
      </c>
      <c r="N280" s="19">
        <v>191.11</v>
      </c>
      <c r="O280" s="18">
        <v>170.97</v>
      </c>
      <c r="P280" s="18">
        <v>169.17</v>
      </c>
      <c r="Q280" s="18">
        <v>170.07</v>
      </c>
      <c r="R280" s="17">
        <v>21.65</v>
      </c>
      <c r="S280" s="18">
        <v>21.049999999999997</v>
      </c>
      <c r="T280" s="19">
        <v>21.349999999999998</v>
      </c>
      <c r="U280" s="17">
        <v>13.85</v>
      </c>
      <c r="V280" s="18">
        <v>13.25</v>
      </c>
      <c r="W280" s="19">
        <v>13.55</v>
      </c>
      <c r="X280" s="17">
        <v>14.41</v>
      </c>
      <c r="Y280" s="18">
        <v>13.61</v>
      </c>
      <c r="Z280" s="19">
        <v>14.01</v>
      </c>
      <c r="AA280" s="17">
        <v>101.05</v>
      </c>
      <c r="AB280" s="18">
        <v>97.05</v>
      </c>
      <c r="AC280" s="19">
        <v>99.05</v>
      </c>
      <c r="AD280" s="18">
        <v>92.52</v>
      </c>
      <c r="AE280" s="18">
        <v>88.52</v>
      </c>
      <c r="AF280" s="18">
        <v>90.52</v>
      </c>
      <c r="AG280" s="17">
        <v>18.96</v>
      </c>
      <c r="AH280" s="18">
        <v>18.100000000000001</v>
      </c>
      <c r="AI280" s="19">
        <v>18.53</v>
      </c>
      <c r="AJ280" s="20"/>
      <c r="AK280" s="21"/>
      <c r="AL280" s="22"/>
      <c r="AM280" s="17">
        <v>112.59</v>
      </c>
      <c r="AN280" s="18">
        <v>110.93</v>
      </c>
      <c r="AO280" s="19">
        <v>111.76</v>
      </c>
      <c r="AP280" s="17">
        <v>39.229999999999997</v>
      </c>
      <c r="AQ280" s="18">
        <v>37.629999999999995</v>
      </c>
      <c r="AR280" s="19">
        <v>38.429999999999993</v>
      </c>
      <c r="AS280" s="18">
        <v>39.93</v>
      </c>
      <c r="AT280" s="18">
        <v>38.57</v>
      </c>
      <c r="AU280" s="18">
        <v>39.25</v>
      </c>
      <c r="AV280" s="17">
        <v>20.78</v>
      </c>
      <c r="AW280" s="18">
        <v>20.18</v>
      </c>
      <c r="AX280" s="19">
        <v>20.48</v>
      </c>
      <c r="AY280" s="17">
        <v>4.5</v>
      </c>
      <c r="AZ280" s="18">
        <v>4.34</v>
      </c>
      <c r="BA280" s="19">
        <v>4.42</v>
      </c>
      <c r="BB280" s="17">
        <v>1.87</v>
      </c>
      <c r="BC280" s="23">
        <v>1.57</v>
      </c>
      <c r="BD280" s="24">
        <v>1.7200000000000002</v>
      </c>
      <c r="BE280" s="17">
        <v>0.67</v>
      </c>
      <c r="BF280" s="23">
        <v>0.37000000000000005</v>
      </c>
      <c r="BG280" s="24">
        <v>0.52</v>
      </c>
      <c r="BH280" s="17">
        <v>480.06</v>
      </c>
      <c r="BI280" s="18">
        <v>464.06</v>
      </c>
      <c r="BJ280" s="19">
        <v>472.06</v>
      </c>
      <c r="BK280" s="18">
        <v>40.229999999999997</v>
      </c>
      <c r="BL280" s="18">
        <v>38.869999999999997</v>
      </c>
      <c r="BM280" s="18">
        <v>39.549999999999997</v>
      </c>
      <c r="BN280" s="25">
        <v>1.07</v>
      </c>
      <c r="BO280" s="23">
        <v>0.83000000000000007</v>
      </c>
      <c r="BP280" s="24">
        <v>0.95000000000000007</v>
      </c>
      <c r="BQ280" s="18">
        <v>8.34</v>
      </c>
      <c r="BR280" s="18">
        <v>6.34</v>
      </c>
      <c r="BS280" s="18">
        <v>7.34</v>
      </c>
      <c r="BT280" s="17">
        <v>11.1</v>
      </c>
      <c r="BU280" s="18">
        <v>10.7</v>
      </c>
      <c r="BV280" s="19">
        <v>10.899999999999999</v>
      </c>
      <c r="BW280" s="17">
        <v>2.72</v>
      </c>
      <c r="BX280" s="23">
        <v>2.4400000000000004</v>
      </c>
      <c r="BY280" s="24">
        <v>2.58</v>
      </c>
      <c r="BZ280" s="17">
        <v>9.7799999999999994</v>
      </c>
      <c r="CA280" s="18">
        <v>6.7799999999999994</v>
      </c>
      <c r="CB280" s="19">
        <v>8.2799999999999994</v>
      </c>
      <c r="CC280" s="17">
        <v>6.42</v>
      </c>
      <c r="CD280" s="18">
        <v>6.18</v>
      </c>
      <c r="CE280" s="19">
        <v>6.3</v>
      </c>
      <c r="CF280" s="18">
        <v>1.75</v>
      </c>
      <c r="CG280" s="18">
        <v>1.25</v>
      </c>
      <c r="CH280" s="18">
        <v>1.5</v>
      </c>
      <c r="CI280" s="17">
        <v>0.42</v>
      </c>
      <c r="CJ280" s="18">
        <v>0.38</v>
      </c>
      <c r="CK280" s="19">
        <v>0.4</v>
      </c>
      <c r="CL280" s="17">
        <v>38.380000000000003</v>
      </c>
      <c r="CM280">
        <v>35.980000000000004</v>
      </c>
      <c r="CN280">
        <v>37.180000000000007</v>
      </c>
      <c r="CO280">
        <v>6.72</v>
      </c>
      <c r="CP280">
        <v>1.7199999999999998</v>
      </c>
      <c r="CQ280">
        <v>4.22</v>
      </c>
    </row>
    <row r="281" spans="1:95">
      <c r="A281" s="223">
        <v>45568</v>
      </c>
      <c r="B281" s="16" t="s">
        <v>99</v>
      </c>
      <c r="C281" s="17">
        <v>148.12</v>
      </c>
      <c r="D281" s="18">
        <v>146.12</v>
      </c>
      <c r="E281" s="19">
        <v>147.12</v>
      </c>
      <c r="F281" s="17">
        <v>163.91</v>
      </c>
      <c r="G281" s="18">
        <v>160.91</v>
      </c>
      <c r="H281" s="19">
        <v>162.41</v>
      </c>
      <c r="I281" s="17">
        <v>110.5</v>
      </c>
      <c r="J281" s="18">
        <v>107.3</v>
      </c>
      <c r="K281" s="19">
        <v>108.9</v>
      </c>
      <c r="L281" s="18">
        <v>199.1</v>
      </c>
      <c r="M281" s="18">
        <v>191.1</v>
      </c>
      <c r="N281" s="18">
        <v>195.1</v>
      </c>
      <c r="O281" s="17">
        <v>173.84</v>
      </c>
      <c r="P281" s="18">
        <v>172.04</v>
      </c>
      <c r="Q281" s="19">
        <v>172.94</v>
      </c>
      <c r="R281" s="18">
        <v>22.07</v>
      </c>
      <c r="S281" s="18">
        <v>21.47</v>
      </c>
      <c r="T281" s="18">
        <v>21.77</v>
      </c>
      <c r="U281" s="17">
        <v>14.21</v>
      </c>
      <c r="V281" s="18">
        <v>13.610000000000001</v>
      </c>
      <c r="W281" s="19">
        <v>13.91</v>
      </c>
      <c r="X281" s="17">
        <v>14.72</v>
      </c>
      <c r="Y281" s="18">
        <v>13.92</v>
      </c>
      <c r="Z281" s="19">
        <v>14.32</v>
      </c>
      <c r="AA281" s="17">
        <v>103.22</v>
      </c>
      <c r="AB281" s="18">
        <v>99.22</v>
      </c>
      <c r="AC281" s="19">
        <v>101.22</v>
      </c>
      <c r="AD281" s="17">
        <v>93.91</v>
      </c>
      <c r="AE281" s="18">
        <v>89.91</v>
      </c>
      <c r="AF281" s="19">
        <v>91.91</v>
      </c>
      <c r="AG281" s="18">
        <v>19.38</v>
      </c>
      <c r="AH281" s="18">
        <v>18.52</v>
      </c>
      <c r="AI281" s="18">
        <v>18.95</v>
      </c>
      <c r="AJ281" s="20"/>
      <c r="AK281" s="21"/>
      <c r="AL281" s="22"/>
      <c r="AM281" s="18">
        <v>114.59</v>
      </c>
      <c r="AN281" s="18">
        <v>112.93</v>
      </c>
      <c r="AO281" s="18">
        <v>113.76</v>
      </c>
      <c r="AP281" s="17">
        <v>40.06</v>
      </c>
      <c r="AQ281" s="18">
        <v>38.46</v>
      </c>
      <c r="AR281" s="19">
        <v>39.260000000000005</v>
      </c>
      <c r="AS281" s="18">
        <v>40.700000000000003</v>
      </c>
      <c r="AT281" s="18">
        <v>39.340000000000003</v>
      </c>
      <c r="AU281" s="18">
        <v>40.020000000000003</v>
      </c>
      <c r="AV281" s="17">
        <v>21.19</v>
      </c>
      <c r="AW281" s="18">
        <v>20.59</v>
      </c>
      <c r="AX281" s="19">
        <v>20.89</v>
      </c>
      <c r="AY281" s="17">
        <v>4.54</v>
      </c>
      <c r="AZ281" s="18">
        <v>4.38</v>
      </c>
      <c r="BA281" s="19">
        <v>4.46</v>
      </c>
      <c r="BB281" s="17">
        <v>1.91</v>
      </c>
      <c r="BC281" s="23">
        <v>1.6099999999999999</v>
      </c>
      <c r="BD281" s="24">
        <v>1.7599999999999998</v>
      </c>
      <c r="BE281" s="18">
        <v>0.68</v>
      </c>
      <c r="BF281" s="23">
        <v>0.38000000000000006</v>
      </c>
      <c r="BG281" s="23">
        <v>0.53</v>
      </c>
      <c r="BH281" s="17">
        <v>490.04</v>
      </c>
      <c r="BI281" s="18">
        <v>474.04</v>
      </c>
      <c r="BJ281" s="19">
        <v>482.04</v>
      </c>
      <c r="BK281" s="18">
        <v>41.11</v>
      </c>
      <c r="BL281" s="18">
        <v>39.75</v>
      </c>
      <c r="BM281" s="18">
        <v>40.43</v>
      </c>
      <c r="BN281" s="25">
        <v>1.0900000000000001</v>
      </c>
      <c r="BO281" s="23">
        <v>0.85000000000000009</v>
      </c>
      <c r="BP281" s="24">
        <v>0.97000000000000008</v>
      </c>
      <c r="BQ281" s="18">
        <v>8.57</v>
      </c>
      <c r="BR281" s="18">
        <v>6.57</v>
      </c>
      <c r="BS281" s="18">
        <v>7.57</v>
      </c>
      <c r="BT281" s="17">
        <v>11.32</v>
      </c>
      <c r="BU281" s="18">
        <v>10.92</v>
      </c>
      <c r="BV281" s="19">
        <v>11.120000000000001</v>
      </c>
      <c r="BW281" s="17">
        <v>2.78</v>
      </c>
      <c r="BX281" s="23">
        <v>2.5</v>
      </c>
      <c r="BY281" s="24">
        <v>2.6399999999999997</v>
      </c>
      <c r="BZ281" s="17">
        <v>9.9700000000000006</v>
      </c>
      <c r="CA281" s="18">
        <v>6.9700000000000006</v>
      </c>
      <c r="CB281" s="19">
        <v>8.4700000000000006</v>
      </c>
      <c r="CC281" s="17">
        <v>6.54</v>
      </c>
      <c r="CD281" s="18">
        <v>6.3</v>
      </c>
      <c r="CE281" s="19">
        <v>6.42</v>
      </c>
      <c r="CF281" s="17">
        <v>1.79</v>
      </c>
      <c r="CG281" s="18">
        <v>1.29</v>
      </c>
      <c r="CH281" s="19">
        <v>1.54</v>
      </c>
      <c r="CI281" s="17">
        <v>0.43</v>
      </c>
      <c r="CJ281" s="18">
        <v>0.39</v>
      </c>
      <c r="CK281" s="19">
        <v>0.41000000000000003</v>
      </c>
      <c r="CL281" s="17">
        <v>39.04</v>
      </c>
      <c r="CM281">
        <v>36.64</v>
      </c>
      <c r="CN281">
        <v>37.840000000000003</v>
      </c>
      <c r="CO281">
        <v>6.81</v>
      </c>
      <c r="CP281">
        <v>1.8099999999999996</v>
      </c>
      <c r="CQ281">
        <v>4.3099999999999996</v>
      </c>
    </row>
    <row r="282" spans="1:95">
      <c r="A282" s="223">
        <v>45569</v>
      </c>
      <c r="B282" s="16" t="s">
        <v>100</v>
      </c>
      <c r="C282" s="17">
        <v>147.72</v>
      </c>
      <c r="D282" s="18">
        <v>145.72</v>
      </c>
      <c r="E282" s="19">
        <v>146.72</v>
      </c>
      <c r="F282" s="17">
        <v>163.38999999999999</v>
      </c>
      <c r="G282" s="18">
        <v>160.38999999999999</v>
      </c>
      <c r="H282" s="19">
        <v>161.88999999999999</v>
      </c>
      <c r="I282" s="17">
        <v>109.89</v>
      </c>
      <c r="J282" s="18">
        <v>106.69</v>
      </c>
      <c r="K282" s="19">
        <v>108.28999999999999</v>
      </c>
      <c r="L282" s="18">
        <v>196.69</v>
      </c>
      <c r="M282" s="18">
        <v>188.69</v>
      </c>
      <c r="N282" s="18">
        <v>192.69</v>
      </c>
      <c r="O282" s="17">
        <v>173.09</v>
      </c>
      <c r="P282" s="18">
        <v>171.29</v>
      </c>
      <c r="Q282" s="19">
        <v>172.19</v>
      </c>
      <c r="R282" s="18">
        <v>22</v>
      </c>
      <c r="S282" s="18">
        <v>21.4</v>
      </c>
      <c r="T282" s="18">
        <v>21.7</v>
      </c>
      <c r="U282" s="17">
        <v>14.15</v>
      </c>
      <c r="V282" s="18">
        <v>13.55</v>
      </c>
      <c r="W282" s="19">
        <v>13.850000000000001</v>
      </c>
      <c r="X282" s="17">
        <v>14.64</v>
      </c>
      <c r="Y282" s="18">
        <v>13.84</v>
      </c>
      <c r="Z282" s="19">
        <v>14.24</v>
      </c>
      <c r="AA282" s="17">
        <v>102.47</v>
      </c>
      <c r="AB282" s="18">
        <v>98.47</v>
      </c>
      <c r="AC282" s="19">
        <v>100.47</v>
      </c>
      <c r="AD282" s="17">
        <v>93.2</v>
      </c>
      <c r="AE282" s="18">
        <v>89.2</v>
      </c>
      <c r="AF282" s="19">
        <v>91.2</v>
      </c>
      <c r="AG282" s="18">
        <v>19.32</v>
      </c>
      <c r="AH282" s="18">
        <v>18.46</v>
      </c>
      <c r="AI282" s="18">
        <v>18.89</v>
      </c>
      <c r="AJ282" s="20"/>
      <c r="AK282" s="21"/>
      <c r="AL282" s="22"/>
      <c r="AM282" s="18">
        <v>114.01</v>
      </c>
      <c r="AN282" s="18">
        <v>112.35000000000001</v>
      </c>
      <c r="AO282" s="18">
        <v>113.18</v>
      </c>
      <c r="AP282" s="17">
        <v>39.950000000000003</v>
      </c>
      <c r="AQ282" s="18">
        <v>38.35</v>
      </c>
      <c r="AR282" s="19">
        <v>39.150000000000006</v>
      </c>
      <c r="AS282" s="18">
        <v>40.69</v>
      </c>
      <c r="AT282" s="18">
        <v>39.33</v>
      </c>
      <c r="AU282" s="18">
        <v>40.01</v>
      </c>
      <c r="AV282" s="17">
        <v>21.11</v>
      </c>
      <c r="AW282" s="18">
        <v>20.509999999999998</v>
      </c>
      <c r="AX282" s="19">
        <v>20.81</v>
      </c>
      <c r="AY282" s="17">
        <v>4.51</v>
      </c>
      <c r="AZ282" s="18">
        <v>4.3499999999999996</v>
      </c>
      <c r="BA282" s="19">
        <v>4.43</v>
      </c>
      <c r="BB282" s="17">
        <v>1.91</v>
      </c>
      <c r="BC282" s="23">
        <v>1.6099999999999999</v>
      </c>
      <c r="BD282" s="24">
        <v>1.7599999999999998</v>
      </c>
      <c r="BE282" s="18">
        <v>0.68</v>
      </c>
      <c r="BF282" s="23">
        <v>0.38000000000000006</v>
      </c>
      <c r="BG282" s="23">
        <v>0.53</v>
      </c>
      <c r="BH282" s="17">
        <v>488.42</v>
      </c>
      <c r="BI282" s="18">
        <v>472.42</v>
      </c>
      <c r="BJ282" s="19">
        <v>480.42</v>
      </c>
      <c r="BK282" s="18">
        <v>41.01</v>
      </c>
      <c r="BL282" s="18">
        <v>39.65</v>
      </c>
      <c r="BM282" s="18">
        <v>40.33</v>
      </c>
      <c r="BN282" s="25">
        <v>1.08</v>
      </c>
      <c r="BO282" s="23">
        <v>0.84000000000000008</v>
      </c>
      <c r="BP282" s="24">
        <v>0.96000000000000008</v>
      </c>
      <c r="BQ282" s="18">
        <v>8.58</v>
      </c>
      <c r="BR282" s="18">
        <v>6.58</v>
      </c>
      <c r="BS282" s="18">
        <v>7.58</v>
      </c>
      <c r="BT282" s="17">
        <v>11.23</v>
      </c>
      <c r="BU282" s="18">
        <v>10.83</v>
      </c>
      <c r="BV282" s="19">
        <v>11.030000000000001</v>
      </c>
      <c r="BW282" s="17">
        <v>2.76</v>
      </c>
      <c r="BX282" s="23">
        <v>2.4799999999999995</v>
      </c>
      <c r="BY282" s="24">
        <v>2.6199999999999997</v>
      </c>
      <c r="BZ282" s="17">
        <v>9.8800000000000008</v>
      </c>
      <c r="CA282" s="18">
        <v>6.8800000000000008</v>
      </c>
      <c r="CB282" s="19">
        <v>8.3800000000000008</v>
      </c>
      <c r="CC282" s="17">
        <v>6.5</v>
      </c>
      <c r="CD282" s="18">
        <v>6.26</v>
      </c>
      <c r="CE282" s="19">
        <v>6.38</v>
      </c>
      <c r="CF282" s="17">
        <v>1.8</v>
      </c>
      <c r="CG282" s="18">
        <v>1.3</v>
      </c>
      <c r="CH282" s="19">
        <v>1.55</v>
      </c>
      <c r="CI282" s="17">
        <v>0.42</v>
      </c>
      <c r="CJ282" s="18">
        <v>0.38</v>
      </c>
      <c r="CK282" s="19">
        <v>0.4</v>
      </c>
      <c r="CL282" s="17">
        <v>38.79</v>
      </c>
      <c r="CM282">
        <v>36.39</v>
      </c>
      <c r="CN282">
        <v>37.590000000000003</v>
      </c>
      <c r="CO282">
        <v>6.8</v>
      </c>
      <c r="CP282">
        <v>1.7999999999999998</v>
      </c>
      <c r="CQ282">
        <v>4.3</v>
      </c>
    </row>
    <row r="283" spans="1:95">
      <c r="A283" s="223">
        <v>45570</v>
      </c>
      <c r="B283" s="16" t="s">
        <v>307</v>
      </c>
      <c r="C283" s="17"/>
      <c r="D283" s="18"/>
      <c r="E283" s="19"/>
      <c r="F283" s="17"/>
      <c r="G283" s="18"/>
      <c r="H283" s="19"/>
      <c r="I283" s="17"/>
      <c r="J283" s="18"/>
      <c r="K283" s="19"/>
      <c r="L283" s="18"/>
      <c r="M283" s="18"/>
      <c r="N283" s="18"/>
      <c r="O283" s="17"/>
      <c r="P283" s="18"/>
      <c r="Q283" s="19"/>
      <c r="R283" s="18"/>
      <c r="S283" s="18"/>
      <c r="T283" s="18"/>
      <c r="U283" s="17"/>
      <c r="V283" s="18"/>
      <c r="W283" s="19"/>
      <c r="X283" s="17"/>
      <c r="Y283" s="18"/>
      <c r="Z283" s="19"/>
      <c r="AA283" s="17"/>
      <c r="AB283" s="18"/>
      <c r="AC283" s="19"/>
      <c r="AD283" s="17"/>
      <c r="AE283" s="18"/>
      <c r="AF283" s="19"/>
      <c r="AG283" s="18"/>
      <c r="AH283" s="18"/>
      <c r="AI283" s="18"/>
      <c r="AJ283" s="20"/>
      <c r="AK283" s="21"/>
      <c r="AL283" s="22"/>
      <c r="AM283" s="18"/>
      <c r="AN283" s="18"/>
      <c r="AO283" s="18"/>
      <c r="AP283" s="17"/>
      <c r="AQ283" s="18"/>
      <c r="AR283" s="19"/>
      <c r="AS283" s="18"/>
      <c r="AT283" s="18"/>
      <c r="AU283" s="18"/>
      <c r="AV283" s="17"/>
      <c r="AW283" s="18"/>
      <c r="AX283" s="19"/>
      <c r="AY283" s="17"/>
      <c r="AZ283" s="18"/>
      <c r="BA283" s="19"/>
      <c r="BB283" s="17"/>
      <c r="BC283" s="23"/>
      <c r="BD283" s="24"/>
      <c r="BE283" s="18"/>
      <c r="BF283" s="23"/>
      <c r="BG283" s="23"/>
      <c r="BH283" s="17"/>
      <c r="BI283" s="18"/>
      <c r="BJ283" s="19"/>
      <c r="BK283" s="18"/>
      <c r="BL283" s="18"/>
      <c r="BM283" s="18"/>
      <c r="BN283" s="25"/>
      <c r="BO283" s="23"/>
      <c r="BP283" s="24"/>
      <c r="BQ283" s="18"/>
      <c r="BR283" s="18"/>
      <c r="BS283" s="18"/>
      <c r="BT283" s="17"/>
      <c r="BU283" s="18"/>
      <c r="BV283" s="19"/>
      <c r="BW283" s="17"/>
      <c r="BX283" s="23"/>
      <c r="BY283" s="24"/>
      <c r="BZ283" s="17"/>
      <c r="CA283" s="18"/>
      <c r="CB283" s="19"/>
      <c r="CC283" s="17"/>
      <c r="CD283" s="18"/>
      <c r="CE283" s="19"/>
      <c r="CF283" s="17"/>
      <c r="CG283" s="18"/>
      <c r="CH283" s="19"/>
      <c r="CI283" s="17"/>
      <c r="CJ283" s="18"/>
      <c r="CK283" s="19"/>
      <c r="CL283" s="17"/>
    </row>
    <row r="284" spans="1:95">
      <c r="A284" s="223">
        <v>45571</v>
      </c>
      <c r="B284" s="16" t="s">
        <v>308</v>
      </c>
      <c r="C284" s="17"/>
      <c r="D284" s="18"/>
      <c r="E284" s="19"/>
      <c r="F284" s="17"/>
      <c r="G284" s="18"/>
      <c r="H284" s="19"/>
      <c r="I284" s="17"/>
      <c r="J284" s="18"/>
      <c r="K284" s="19"/>
      <c r="L284" s="18"/>
      <c r="M284" s="18"/>
      <c r="N284" s="18"/>
      <c r="O284" s="17"/>
      <c r="P284" s="18"/>
      <c r="Q284" s="19"/>
      <c r="R284" s="18"/>
      <c r="S284" s="18"/>
      <c r="T284" s="18"/>
      <c r="U284" s="17"/>
      <c r="V284" s="18"/>
      <c r="W284" s="19"/>
      <c r="X284" s="17"/>
      <c r="Y284" s="18"/>
      <c r="Z284" s="19"/>
      <c r="AA284" s="17"/>
      <c r="AB284" s="18"/>
      <c r="AC284" s="19"/>
      <c r="AD284" s="17"/>
      <c r="AE284" s="18"/>
      <c r="AF284" s="19"/>
      <c r="AG284" s="18"/>
      <c r="AH284" s="18"/>
      <c r="AI284" s="18"/>
      <c r="AJ284" s="20"/>
      <c r="AK284" s="21"/>
      <c r="AL284" s="22"/>
      <c r="AM284" s="18"/>
      <c r="AN284" s="18"/>
      <c r="AO284" s="18"/>
      <c r="AP284" s="17"/>
      <c r="AQ284" s="18"/>
      <c r="AR284" s="19"/>
      <c r="AS284" s="18"/>
      <c r="AT284" s="18"/>
      <c r="AU284" s="18"/>
      <c r="AV284" s="17"/>
      <c r="AW284" s="18"/>
      <c r="AX284" s="19"/>
      <c r="AY284" s="17"/>
      <c r="AZ284" s="18"/>
      <c r="BA284" s="19"/>
      <c r="BB284" s="17"/>
      <c r="BC284" s="23"/>
      <c r="BD284" s="24"/>
      <c r="BE284" s="18"/>
      <c r="BF284" s="23"/>
      <c r="BG284" s="23"/>
      <c r="BH284" s="17"/>
      <c r="BI284" s="18"/>
      <c r="BJ284" s="19"/>
      <c r="BK284" s="18"/>
      <c r="BL284" s="18"/>
      <c r="BM284" s="18"/>
      <c r="BN284" s="25"/>
      <c r="BO284" s="23"/>
      <c r="BP284" s="24"/>
      <c r="BQ284" s="18"/>
      <c r="BR284" s="18"/>
      <c r="BS284" s="18"/>
      <c r="BT284" s="17"/>
      <c r="BU284" s="18"/>
      <c r="BV284" s="19"/>
      <c r="BW284" s="17"/>
      <c r="BX284" s="23"/>
      <c r="BY284" s="24"/>
      <c r="BZ284" s="17"/>
      <c r="CA284" s="18"/>
      <c r="CB284" s="19"/>
      <c r="CC284" s="17"/>
      <c r="CD284" s="18"/>
      <c r="CE284" s="19"/>
      <c r="CF284" s="17"/>
      <c r="CG284" s="18"/>
      <c r="CH284" s="19"/>
      <c r="CI284" s="17"/>
      <c r="CJ284" s="18"/>
      <c r="CK284" s="19"/>
      <c r="CL284" s="17"/>
    </row>
    <row r="285" spans="1:95">
      <c r="A285" s="223">
        <v>45572</v>
      </c>
      <c r="B285" s="16" t="s">
        <v>96</v>
      </c>
      <c r="C285" s="18">
        <v>149.47</v>
      </c>
      <c r="D285" s="18">
        <v>147.47</v>
      </c>
      <c r="E285" s="18">
        <v>148.47</v>
      </c>
      <c r="F285" s="17">
        <v>164.37</v>
      </c>
      <c r="G285" s="18">
        <v>161.37</v>
      </c>
      <c r="H285" s="19">
        <v>162.87</v>
      </c>
      <c r="I285" s="18">
        <v>110.92</v>
      </c>
      <c r="J285" s="18">
        <v>107.72</v>
      </c>
      <c r="K285" s="18">
        <v>109.32</v>
      </c>
      <c r="L285" s="17">
        <v>198.85</v>
      </c>
      <c r="M285" s="18">
        <v>190.85</v>
      </c>
      <c r="N285" s="19">
        <v>194.85</v>
      </c>
      <c r="O285" s="18">
        <v>173.84</v>
      </c>
      <c r="P285" s="18">
        <v>172.04</v>
      </c>
      <c r="Q285" s="18">
        <v>172.94</v>
      </c>
      <c r="R285" s="17">
        <v>22.14</v>
      </c>
      <c r="S285" s="18">
        <v>21.54</v>
      </c>
      <c r="T285" s="19">
        <v>21.84</v>
      </c>
      <c r="U285" s="17">
        <v>14.21</v>
      </c>
      <c r="V285" s="18">
        <v>13.610000000000001</v>
      </c>
      <c r="W285" s="19">
        <v>13.91</v>
      </c>
      <c r="X285" s="17">
        <v>14.72</v>
      </c>
      <c r="Y285" s="18">
        <v>13.92</v>
      </c>
      <c r="Z285" s="19">
        <v>14.32</v>
      </c>
      <c r="AA285" s="17">
        <v>103</v>
      </c>
      <c r="AB285" s="18">
        <v>99</v>
      </c>
      <c r="AC285" s="19">
        <v>101</v>
      </c>
      <c r="AD285" s="18">
        <v>93.52</v>
      </c>
      <c r="AE285" s="18">
        <v>89.52</v>
      </c>
      <c r="AF285" s="18">
        <v>91.52</v>
      </c>
      <c r="AG285" s="17">
        <v>19.55</v>
      </c>
      <c r="AH285" s="18">
        <v>18.690000000000001</v>
      </c>
      <c r="AI285" s="19">
        <v>19.12</v>
      </c>
      <c r="AJ285" s="20"/>
      <c r="AK285" s="21"/>
      <c r="AL285" s="22"/>
      <c r="AM285" s="17">
        <v>114.63</v>
      </c>
      <c r="AN285" s="18">
        <v>112.97</v>
      </c>
      <c r="AO285" s="19">
        <v>113.8</v>
      </c>
      <c r="AP285" s="17">
        <v>40.4</v>
      </c>
      <c r="AQ285" s="18">
        <v>38.799999999999997</v>
      </c>
      <c r="AR285" s="19">
        <v>39.599999999999994</v>
      </c>
      <c r="AS285" s="18">
        <v>41.17</v>
      </c>
      <c r="AT285" s="18">
        <v>39.81</v>
      </c>
      <c r="AU285" s="18">
        <v>40.49</v>
      </c>
      <c r="AV285" s="17">
        <v>21.23</v>
      </c>
      <c r="AW285" s="18">
        <v>20.63</v>
      </c>
      <c r="AX285" s="19">
        <v>20.93</v>
      </c>
      <c r="AY285" s="17">
        <v>4.53</v>
      </c>
      <c r="AZ285" s="18">
        <v>4.37</v>
      </c>
      <c r="BA285" s="19">
        <v>4.45</v>
      </c>
      <c r="BB285" s="17">
        <v>1.93</v>
      </c>
      <c r="BC285" s="23">
        <v>1.63</v>
      </c>
      <c r="BD285" s="24">
        <v>1.7799999999999998</v>
      </c>
      <c r="BE285" s="17">
        <v>0.69</v>
      </c>
      <c r="BF285" s="23">
        <v>0.38999999999999996</v>
      </c>
      <c r="BG285" s="24">
        <v>0.53999999999999992</v>
      </c>
      <c r="BH285" s="17">
        <v>493.67</v>
      </c>
      <c r="BI285" s="18">
        <v>477.67</v>
      </c>
      <c r="BJ285" s="19">
        <v>485.67</v>
      </c>
      <c r="BK285" s="18">
        <v>41.48</v>
      </c>
      <c r="BL285" s="18">
        <v>40.119999999999997</v>
      </c>
      <c r="BM285" s="18">
        <v>40.799999999999997</v>
      </c>
      <c r="BN285" s="25">
        <v>1.08</v>
      </c>
      <c r="BO285" s="23">
        <v>0.84000000000000008</v>
      </c>
      <c r="BP285" s="24">
        <v>0.96000000000000008</v>
      </c>
      <c r="BQ285" s="18">
        <v>8.6999999999999993</v>
      </c>
      <c r="BR285" s="18">
        <v>6.6999999999999993</v>
      </c>
      <c r="BS285" s="18">
        <v>7.6999999999999993</v>
      </c>
      <c r="BT285" s="17">
        <v>11.25</v>
      </c>
      <c r="BU285" s="18">
        <v>10.85</v>
      </c>
      <c r="BV285" s="19">
        <v>11.05</v>
      </c>
      <c r="BW285" s="17">
        <v>2.8</v>
      </c>
      <c r="BX285" s="23">
        <v>2.5199999999999996</v>
      </c>
      <c r="BY285" s="24">
        <v>2.6599999999999997</v>
      </c>
      <c r="BZ285" s="17">
        <v>9.98</v>
      </c>
      <c r="CA285" s="18">
        <v>6.98</v>
      </c>
      <c r="CB285" s="19">
        <v>8.48</v>
      </c>
      <c r="CC285" s="17">
        <v>6.54</v>
      </c>
      <c r="CD285" s="18">
        <v>6.3</v>
      </c>
      <c r="CE285" s="19">
        <v>6.42</v>
      </c>
      <c r="CF285" s="18">
        <v>1.81</v>
      </c>
      <c r="CG285" s="18">
        <v>1.31</v>
      </c>
      <c r="CH285" s="18">
        <v>1.56</v>
      </c>
      <c r="CI285" s="17">
        <v>0.43</v>
      </c>
      <c r="CJ285" s="18">
        <v>0.39</v>
      </c>
      <c r="CK285" s="19">
        <v>0.41000000000000003</v>
      </c>
      <c r="CL285" s="17">
        <v>38.94</v>
      </c>
      <c r="CM285">
        <v>36.54</v>
      </c>
      <c r="CN285">
        <v>37.739999999999995</v>
      </c>
      <c r="CO285">
        <v>6.84</v>
      </c>
      <c r="CP285">
        <v>1.8399999999999999</v>
      </c>
      <c r="CQ285">
        <v>4.34</v>
      </c>
    </row>
    <row r="286" spans="1:95">
      <c r="A286" s="223">
        <v>45573</v>
      </c>
      <c r="B286" s="16" t="s">
        <v>97</v>
      </c>
      <c r="C286" s="17">
        <v>148.9</v>
      </c>
      <c r="D286" s="18">
        <v>146.9</v>
      </c>
      <c r="E286" s="19">
        <v>147.9</v>
      </c>
      <c r="F286" s="17">
        <v>163.91</v>
      </c>
      <c r="G286" s="18">
        <v>160.91</v>
      </c>
      <c r="H286" s="19">
        <v>162.41</v>
      </c>
      <c r="I286" s="17">
        <v>110.24</v>
      </c>
      <c r="J286" s="18">
        <v>107.03999999999999</v>
      </c>
      <c r="K286" s="19">
        <v>108.63999999999999</v>
      </c>
      <c r="L286" s="18">
        <v>197.75</v>
      </c>
      <c r="M286" s="18">
        <v>189.75</v>
      </c>
      <c r="N286" s="18">
        <v>193.75</v>
      </c>
      <c r="O286" s="17">
        <v>174.02</v>
      </c>
      <c r="P286" s="18">
        <v>172.22</v>
      </c>
      <c r="Q286" s="19">
        <v>173.12</v>
      </c>
      <c r="R286" s="18">
        <v>22.08</v>
      </c>
      <c r="S286" s="18">
        <v>21.479999999999997</v>
      </c>
      <c r="T286" s="18">
        <v>21.779999999999998</v>
      </c>
      <c r="U286" s="17">
        <v>14.2</v>
      </c>
      <c r="V286" s="18">
        <v>13.6</v>
      </c>
      <c r="W286" s="19">
        <v>13.899999999999999</v>
      </c>
      <c r="X286" s="17">
        <v>14.7</v>
      </c>
      <c r="Y286" s="18">
        <v>13.899999999999999</v>
      </c>
      <c r="Z286" s="19">
        <v>14.299999999999999</v>
      </c>
      <c r="AA286" s="17">
        <v>102.11</v>
      </c>
      <c r="AB286" s="18">
        <v>98.11</v>
      </c>
      <c r="AC286" s="19">
        <v>100.11</v>
      </c>
      <c r="AD286" s="17">
        <v>92.88</v>
      </c>
      <c r="AE286" s="18">
        <v>88.88</v>
      </c>
      <c r="AF286" s="19">
        <v>90.88</v>
      </c>
      <c r="AG286" s="18">
        <v>19.48</v>
      </c>
      <c r="AH286" s="18">
        <v>18.62</v>
      </c>
      <c r="AI286" s="18">
        <v>19.05</v>
      </c>
      <c r="AJ286" s="20"/>
      <c r="AK286" s="21"/>
      <c r="AL286" s="22"/>
      <c r="AM286" s="18">
        <v>114.35</v>
      </c>
      <c r="AN286" s="18">
        <v>112.69</v>
      </c>
      <c r="AO286" s="18">
        <v>113.52</v>
      </c>
      <c r="AP286" s="17">
        <v>40.24</v>
      </c>
      <c r="AQ286" s="18">
        <v>38.64</v>
      </c>
      <c r="AR286" s="19">
        <v>39.44</v>
      </c>
      <c r="AS286" s="18">
        <v>41.01</v>
      </c>
      <c r="AT286" s="18">
        <v>39.65</v>
      </c>
      <c r="AU286" s="18">
        <v>40.33</v>
      </c>
      <c r="AV286" s="17">
        <v>21.24</v>
      </c>
      <c r="AW286" s="18">
        <v>20.639999999999997</v>
      </c>
      <c r="AX286" s="19">
        <v>20.939999999999998</v>
      </c>
      <c r="AY286" s="17">
        <v>4.5</v>
      </c>
      <c r="AZ286" s="18">
        <v>4.34</v>
      </c>
      <c r="BA286" s="19">
        <v>4.42</v>
      </c>
      <c r="BB286" s="17">
        <v>1.92</v>
      </c>
      <c r="BC286" s="23">
        <v>1.6199999999999999</v>
      </c>
      <c r="BD286" s="24">
        <v>1.77</v>
      </c>
      <c r="BE286" s="18">
        <v>0.68</v>
      </c>
      <c r="BF286" s="23">
        <v>0.38000000000000006</v>
      </c>
      <c r="BG286" s="23">
        <v>0.53</v>
      </c>
      <c r="BH286" s="17">
        <v>490.23</v>
      </c>
      <c r="BI286" s="18">
        <v>474.23</v>
      </c>
      <c r="BJ286" s="19">
        <v>482.23</v>
      </c>
      <c r="BK286" s="18">
        <v>41.32</v>
      </c>
      <c r="BL286" s="18">
        <v>39.96</v>
      </c>
      <c r="BM286" s="18">
        <v>40.64</v>
      </c>
      <c r="BN286" s="25">
        <v>1.06</v>
      </c>
      <c r="BO286" s="23">
        <v>0.82000000000000006</v>
      </c>
      <c r="BP286" s="24">
        <v>0.94000000000000006</v>
      </c>
      <c r="BQ286" s="18">
        <v>8.67</v>
      </c>
      <c r="BR286" s="18">
        <v>6.67</v>
      </c>
      <c r="BS286" s="18">
        <v>7.67</v>
      </c>
      <c r="BT286" s="17">
        <v>11.21</v>
      </c>
      <c r="BU286" s="18">
        <v>10.81</v>
      </c>
      <c r="BV286" s="19">
        <v>11.010000000000002</v>
      </c>
      <c r="BW286" s="17">
        <v>2.75</v>
      </c>
      <c r="BX286" s="23">
        <v>2.4699999999999998</v>
      </c>
      <c r="BY286" s="24">
        <v>2.61</v>
      </c>
      <c r="BZ286" s="17">
        <v>10.029999999999999</v>
      </c>
      <c r="CA286" s="18">
        <v>7.0299999999999994</v>
      </c>
      <c r="CB286" s="19">
        <v>8.5299999999999994</v>
      </c>
      <c r="CC286" s="17">
        <v>6.52</v>
      </c>
      <c r="CD286" s="18">
        <v>6.2799999999999994</v>
      </c>
      <c r="CE286" s="19">
        <v>6.3999999999999995</v>
      </c>
      <c r="CF286" s="17">
        <v>1.79</v>
      </c>
      <c r="CG286" s="18">
        <v>1.29</v>
      </c>
      <c r="CH286" s="19">
        <v>1.54</v>
      </c>
      <c r="CI286" s="17">
        <v>0.42</v>
      </c>
      <c r="CJ286" s="18">
        <v>0.38</v>
      </c>
      <c r="CK286" s="19">
        <v>0.4</v>
      </c>
      <c r="CL286" s="17">
        <v>38.770000000000003</v>
      </c>
      <c r="CM286">
        <v>36.370000000000005</v>
      </c>
      <c r="CN286">
        <v>37.570000000000007</v>
      </c>
      <c r="CO286">
        <v>6.82</v>
      </c>
      <c r="CP286">
        <v>1.8200000000000003</v>
      </c>
      <c r="CQ286">
        <v>4.32</v>
      </c>
    </row>
    <row r="287" spans="1:95">
      <c r="A287" s="223">
        <v>45574</v>
      </c>
      <c r="B287" s="16" t="s">
        <v>98</v>
      </c>
      <c r="C287" s="17">
        <v>149.25</v>
      </c>
      <c r="D287" s="18">
        <v>147.25</v>
      </c>
      <c r="E287" s="19">
        <v>148.25</v>
      </c>
      <c r="F287" s="17">
        <v>164.26</v>
      </c>
      <c r="G287" s="18">
        <v>161.26</v>
      </c>
      <c r="H287" s="19">
        <v>162.76</v>
      </c>
      <c r="I287" s="17">
        <v>110.18</v>
      </c>
      <c r="J287" s="18">
        <v>106.98</v>
      </c>
      <c r="K287" s="19">
        <v>108.58000000000001</v>
      </c>
      <c r="L287" s="18">
        <v>198.27</v>
      </c>
      <c r="M287" s="18">
        <v>190.27</v>
      </c>
      <c r="N287" s="18">
        <v>194.27</v>
      </c>
      <c r="O287" s="17">
        <v>173.87</v>
      </c>
      <c r="P287" s="18">
        <v>172.07</v>
      </c>
      <c r="Q287" s="19">
        <v>172.97</v>
      </c>
      <c r="R287" s="18">
        <v>22.12</v>
      </c>
      <c r="S287" s="18">
        <v>21.52</v>
      </c>
      <c r="T287" s="18">
        <v>21.82</v>
      </c>
      <c r="U287" s="17">
        <v>14.13</v>
      </c>
      <c r="V287" s="18">
        <v>13.530000000000001</v>
      </c>
      <c r="W287" s="19">
        <v>13.830000000000002</v>
      </c>
      <c r="X287" s="17">
        <v>14.76</v>
      </c>
      <c r="Y287" s="18">
        <v>13.959999999999999</v>
      </c>
      <c r="Z287" s="19">
        <v>14.36</v>
      </c>
      <c r="AA287" s="17">
        <v>101.92</v>
      </c>
      <c r="AB287" s="18">
        <v>97.92</v>
      </c>
      <c r="AC287" s="19">
        <v>99.92</v>
      </c>
      <c r="AD287" s="17">
        <v>92.91</v>
      </c>
      <c r="AE287" s="18">
        <v>88.91</v>
      </c>
      <c r="AF287" s="19">
        <v>90.91</v>
      </c>
      <c r="AG287" s="18">
        <v>19.5</v>
      </c>
      <c r="AH287" s="18">
        <v>18.64</v>
      </c>
      <c r="AI287" s="18">
        <v>19.07</v>
      </c>
      <c r="AJ287" s="20"/>
      <c r="AK287" s="21"/>
      <c r="AL287" s="22"/>
      <c r="AM287" s="18">
        <v>114.57</v>
      </c>
      <c r="AN287" s="18">
        <v>112.91</v>
      </c>
      <c r="AO287" s="18">
        <v>113.74</v>
      </c>
      <c r="AP287" s="17">
        <v>40.35</v>
      </c>
      <c r="AQ287" s="18">
        <v>38.75</v>
      </c>
      <c r="AR287" s="19">
        <v>39.549999999999997</v>
      </c>
      <c r="AS287" s="18">
        <v>41.11</v>
      </c>
      <c r="AT287" s="18">
        <v>39.75</v>
      </c>
      <c r="AU287" s="18">
        <v>40.43</v>
      </c>
      <c r="AV287" s="17">
        <v>21.27</v>
      </c>
      <c r="AW287" s="18">
        <v>20.669999999999998</v>
      </c>
      <c r="AX287" s="19">
        <v>20.97</v>
      </c>
      <c r="AY287" s="17">
        <v>4.51</v>
      </c>
      <c r="AZ287" s="18">
        <v>4.3499999999999996</v>
      </c>
      <c r="BA287" s="19">
        <v>4.43</v>
      </c>
      <c r="BB287" s="17">
        <v>1.93</v>
      </c>
      <c r="BC287" s="23">
        <v>1.63</v>
      </c>
      <c r="BD287" s="24">
        <v>1.7799999999999998</v>
      </c>
      <c r="BE287" s="18">
        <v>0.69</v>
      </c>
      <c r="BF287" s="23">
        <v>0.38999999999999996</v>
      </c>
      <c r="BG287" s="23">
        <v>0.53999999999999992</v>
      </c>
      <c r="BH287" s="17">
        <v>492.48</v>
      </c>
      <c r="BI287" s="18">
        <v>476.48</v>
      </c>
      <c r="BJ287" s="19">
        <v>484.48</v>
      </c>
      <c r="BK287" s="18">
        <v>41.42</v>
      </c>
      <c r="BL287" s="18">
        <v>40.06</v>
      </c>
      <c r="BM287" s="18">
        <v>40.74</v>
      </c>
      <c r="BN287" s="25">
        <v>1.07</v>
      </c>
      <c r="BO287" s="23">
        <v>0.83000000000000007</v>
      </c>
      <c r="BP287" s="24">
        <v>0.95000000000000007</v>
      </c>
      <c r="BQ287" s="18">
        <v>8.66</v>
      </c>
      <c r="BR287" s="18">
        <v>6.66</v>
      </c>
      <c r="BS287" s="18">
        <v>7.66</v>
      </c>
      <c r="BT287" s="17">
        <v>11.28</v>
      </c>
      <c r="BU287" s="18">
        <v>10.879999999999999</v>
      </c>
      <c r="BV287" s="19">
        <v>11.079999999999998</v>
      </c>
      <c r="BW287" s="17">
        <v>2.76</v>
      </c>
      <c r="BX287" s="23">
        <v>2.4799999999999995</v>
      </c>
      <c r="BY287" s="24">
        <v>2.6199999999999997</v>
      </c>
      <c r="BZ287" s="17">
        <v>9.93</v>
      </c>
      <c r="CA287" s="18">
        <v>6.93</v>
      </c>
      <c r="CB287" s="19">
        <v>8.43</v>
      </c>
      <c r="CC287" s="17">
        <v>6.55</v>
      </c>
      <c r="CD287" s="18">
        <v>6.31</v>
      </c>
      <c r="CE287" s="19">
        <v>6.43</v>
      </c>
      <c r="CF287" s="17">
        <v>1.78</v>
      </c>
      <c r="CG287" s="18">
        <v>1.28</v>
      </c>
      <c r="CH287" s="19">
        <v>1.53</v>
      </c>
      <c r="CI287" s="17">
        <v>0.43</v>
      </c>
      <c r="CJ287" s="18">
        <v>0.39</v>
      </c>
      <c r="CK287" s="19">
        <v>0.41000000000000003</v>
      </c>
      <c r="CL287" s="17">
        <v>39.049999999999997</v>
      </c>
      <c r="CM287">
        <v>36.65</v>
      </c>
      <c r="CN287">
        <v>37.849999999999994</v>
      </c>
      <c r="CO287">
        <v>6.83</v>
      </c>
      <c r="CP287">
        <v>1.83</v>
      </c>
      <c r="CQ287">
        <v>4.33</v>
      </c>
    </row>
    <row r="288" spans="1:95">
      <c r="A288" s="223">
        <v>45575</v>
      </c>
      <c r="B288" s="16" t="s">
        <v>99</v>
      </c>
      <c r="C288" s="17">
        <v>150.41</v>
      </c>
      <c r="D288" s="18">
        <v>148.41</v>
      </c>
      <c r="E288" s="19">
        <v>149.41</v>
      </c>
      <c r="F288" s="17">
        <v>164.95</v>
      </c>
      <c r="G288" s="18">
        <v>161.94999999999999</v>
      </c>
      <c r="H288" s="19">
        <v>163.44999999999999</v>
      </c>
      <c r="I288" s="17">
        <v>110.57</v>
      </c>
      <c r="J288" s="18">
        <v>107.36999999999999</v>
      </c>
      <c r="K288" s="19">
        <v>108.97</v>
      </c>
      <c r="L288" s="18">
        <v>199.31</v>
      </c>
      <c r="M288" s="18">
        <v>191.31</v>
      </c>
      <c r="N288" s="18">
        <v>195.31</v>
      </c>
      <c r="O288" s="17">
        <v>174.47</v>
      </c>
      <c r="P288" s="18">
        <v>172.67</v>
      </c>
      <c r="Q288" s="19">
        <v>173.57</v>
      </c>
      <c r="R288" s="18">
        <v>22.21</v>
      </c>
      <c r="S288" s="18">
        <v>21.61</v>
      </c>
      <c r="T288" s="18">
        <v>21.91</v>
      </c>
      <c r="U288" s="17">
        <v>14.15</v>
      </c>
      <c r="V288" s="18">
        <v>13.55</v>
      </c>
      <c r="W288" s="19">
        <v>13.850000000000001</v>
      </c>
      <c r="X288" s="17">
        <v>14.76</v>
      </c>
      <c r="Y288" s="18">
        <v>13.959999999999999</v>
      </c>
      <c r="Z288" s="19">
        <v>14.36</v>
      </c>
      <c r="AA288" s="17">
        <v>102.4</v>
      </c>
      <c r="AB288" s="18">
        <v>98.4</v>
      </c>
      <c r="AC288" s="19">
        <v>100.4</v>
      </c>
      <c r="AD288" s="17">
        <v>92.69</v>
      </c>
      <c r="AE288" s="18">
        <v>88.69</v>
      </c>
      <c r="AF288" s="19">
        <v>90.69</v>
      </c>
      <c r="AG288" s="18">
        <v>19.649999999999999</v>
      </c>
      <c r="AH288" s="18">
        <v>18.79</v>
      </c>
      <c r="AI288" s="18">
        <v>19.22</v>
      </c>
      <c r="AJ288" s="20"/>
      <c r="AK288" s="21"/>
      <c r="AL288" s="22"/>
      <c r="AM288" s="18">
        <v>115.16</v>
      </c>
      <c r="AN288" s="18">
        <v>113.5</v>
      </c>
      <c r="AO288" s="18">
        <v>114.33</v>
      </c>
      <c r="AP288" s="17">
        <v>40.67</v>
      </c>
      <c r="AQ288" s="18">
        <v>39.07</v>
      </c>
      <c r="AR288" s="19">
        <v>39.870000000000005</v>
      </c>
      <c r="AS288" s="18">
        <v>41.42</v>
      </c>
      <c r="AT288" s="18">
        <v>40.06</v>
      </c>
      <c r="AU288" s="18">
        <v>40.74</v>
      </c>
      <c r="AV288" s="17">
        <v>21.38</v>
      </c>
      <c r="AW288" s="18">
        <v>20.779999999999998</v>
      </c>
      <c r="AX288" s="19">
        <v>21.08</v>
      </c>
      <c r="AY288" s="17">
        <v>4.54</v>
      </c>
      <c r="AZ288" s="18">
        <v>4.38</v>
      </c>
      <c r="BA288" s="19">
        <v>4.46</v>
      </c>
      <c r="BB288" s="17">
        <v>1.94</v>
      </c>
      <c r="BC288" s="23">
        <v>1.64</v>
      </c>
      <c r="BD288" s="24">
        <v>1.79</v>
      </c>
      <c r="BE288" s="18">
        <v>0.69</v>
      </c>
      <c r="BF288" s="23">
        <v>0.38999999999999996</v>
      </c>
      <c r="BG288" s="23">
        <v>0.53999999999999992</v>
      </c>
      <c r="BH288" s="17">
        <v>496.11</v>
      </c>
      <c r="BI288" s="18">
        <v>480.11</v>
      </c>
      <c r="BJ288" s="19">
        <v>488.11</v>
      </c>
      <c r="BK288" s="18">
        <v>41.74</v>
      </c>
      <c r="BL288" s="18">
        <v>40.380000000000003</v>
      </c>
      <c r="BM288" s="18">
        <v>41.06</v>
      </c>
      <c r="BN288" s="25">
        <v>1.08</v>
      </c>
      <c r="BO288" s="23">
        <v>0.84000000000000008</v>
      </c>
      <c r="BP288" s="24">
        <v>0.96000000000000008</v>
      </c>
      <c r="BQ288" s="18">
        <v>8.68</v>
      </c>
      <c r="BR288" s="18">
        <v>6.68</v>
      </c>
      <c r="BS288" s="18">
        <v>7.68</v>
      </c>
      <c r="BT288" s="17">
        <v>11.3</v>
      </c>
      <c r="BU288" s="18">
        <v>10.9</v>
      </c>
      <c r="BV288" s="19">
        <v>11.100000000000001</v>
      </c>
      <c r="BW288" s="17">
        <v>2.78</v>
      </c>
      <c r="BX288" s="23">
        <v>2.5</v>
      </c>
      <c r="BY288" s="24">
        <v>2.6399999999999997</v>
      </c>
      <c r="BZ288" s="17">
        <v>9.9600000000000009</v>
      </c>
      <c r="CA288" s="18">
        <v>6.9600000000000009</v>
      </c>
      <c r="CB288" s="19">
        <v>8.4600000000000009</v>
      </c>
      <c r="CC288" s="17">
        <v>6.58</v>
      </c>
      <c r="CD288" s="18">
        <v>6.34</v>
      </c>
      <c r="CE288" s="19">
        <v>6.46</v>
      </c>
      <c r="CF288" s="17">
        <v>1.79</v>
      </c>
      <c r="CG288" s="18">
        <v>1.29</v>
      </c>
      <c r="CH288" s="19">
        <v>1.54</v>
      </c>
      <c r="CI288" s="17">
        <v>0.43</v>
      </c>
      <c r="CJ288" s="18">
        <v>0.39</v>
      </c>
      <c r="CK288" s="19">
        <v>0.41000000000000003</v>
      </c>
      <c r="CL288" s="17">
        <v>39.26</v>
      </c>
      <c r="CM288">
        <v>36.86</v>
      </c>
      <c r="CN288">
        <v>38.06</v>
      </c>
      <c r="CO288">
        <v>6.87</v>
      </c>
      <c r="CP288">
        <v>1.87</v>
      </c>
      <c r="CQ288">
        <v>4.37</v>
      </c>
    </row>
    <row r="289" spans="1:95">
      <c r="A289" s="223">
        <v>45576</v>
      </c>
      <c r="B289" s="16" t="s">
        <v>100</v>
      </c>
      <c r="C289" s="18">
        <v>149.62</v>
      </c>
      <c r="D289" s="18">
        <v>147.62</v>
      </c>
      <c r="E289" s="18">
        <v>148.62</v>
      </c>
      <c r="F289" s="17">
        <v>164.03</v>
      </c>
      <c r="G289" s="18">
        <v>161.03</v>
      </c>
      <c r="H289" s="19">
        <v>162.53</v>
      </c>
      <c r="I289" s="18">
        <v>109.7</v>
      </c>
      <c r="J289" s="18">
        <v>106.5</v>
      </c>
      <c r="K289" s="18">
        <v>108.1</v>
      </c>
      <c r="L289" s="17">
        <v>198.16</v>
      </c>
      <c r="M289" s="18">
        <v>190.16</v>
      </c>
      <c r="N289" s="19">
        <v>194.16</v>
      </c>
      <c r="O289" s="18">
        <v>174.36</v>
      </c>
      <c r="P289" s="18">
        <v>172.56</v>
      </c>
      <c r="Q289" s="18">
        <v>173.46</v>
      </c>
      <c r="R289" s="17">
        <v>22.08</v>
      </c>
      <c r="S289" s="18">
        <v>21.479999999999997</v>
      </c>
      <c r="T289" s="19">
        <v>21.779999999999998</v>
      </c>
      <c r="U289" s="17">
        <v>14.15</v>
      </c>
      <c r="V289" s="18">
        <v>13.55</v>
      </c>
      <c r="W289" s="19">
        <v>13.850000000000001</v>
      </c>
      <c r="X289" s="17">
        <v>14.71</v>
      </c>
      <c r="Y289" s="18">
        <v>13.91</v>
      </c>
      <c r="Z289" s="19">
        <v>14.31</v>
      </c>
      <c r="AA289" s="17">
        <v>102.2</v>
      </c>
      <c r="AB289" s="18">
        <v>98.2</v>
      </c>
      <c r="AC289" s="19">
        <v>100.2</v>
      </c>
      <c r="AD289" s="18">
        <v>92.61</v>
      </c>
      <c r="AE289" s="18">
        <v>88.61</v>
      </c>
      <c r="AF289" s="18">
        <v>90.61</v>
      </c>
      <c r="AG289" s="17">
        <v>19.559999999999999</v>
      </c>
      <c r="AH289" s="18">
        <v>18.7</v>
      </c>
      <c r="AI289" s="19">
        <v>19.13</v>
      </c>
      <c r="AJ289" s="20"/>
      <c r="AK289" s="21"/>
      <c r="AL289" s="22"/>
      <c r="AM289" s="17">
        <v>114.68</v>
      </c>
      <c r="AN289" s="18">
        <v>113.02000000000001</v>
      </c>
      <c r="AO289" s="19">
        <v>113.85000000000001</v>
      </c>
      <c r="AP289" s="17">
        <v>40.450000000000003</v>
      </c>
      <c r="AQ289" s="18">
        <v>38.85</v>
      </c>
      <c r="AR289" s="19">
        <v>39.650000000000006</v>
      </c>
      <c r="AS289" s="18">
        <v>41.21</v>
      </c>
      <c r="AT289" s="18">
        <v>39.85</v>
      </c>
      <c r="AU289" s="18">
        <v>40.53</v>
      </c>
      <c r="AV289" s="17">
        <v>21.29</v>
      </c>
      <c r="AW289" s="18">
        <v>20.689999999999998</v>
      </c>
      <c r="AX289" s="19">
        <v>20.99</v>
      </c>
      <c r="AY289" s="17">
        <v>4.53</v>
      </c>
      <c r="AZ289" s="18">
        <v>4.37</v>
      </c>
      <c r="BA289" s="19">
        <v>4.45</v>
      </c>
      <c r="BB289" s="17">
        <v>1.93</v>
      </c>
      <c r="BC289" s="23">
        <v>1.63</v>
      </c>
      <c r="BD289" s="24">
        <v>1.7799999999999998</v>
      </c>
      <c r="BE289" s="17">
        <v>0.69</v>
      </c>
      <c r="BF289" s="23">
        <v>0.38999999999999996</v>
      </c>
      <c r="BG289" s="24">
        <v>0.53999999999999992</v>
      </c>
      <c r="BH289" s="17">
        <v>494</v>
      </c>
      <c r="BI289" s="18">
        <v>478</v>
      </c>
      <c r="BJ289" s="19">
        <v>486</v>
      </c>
      <c r="BK289" s="18">
        <v>41.52</v>
      </c>
      <c r="BL289" s="18">
        <v>40.160000000000004</v>
      </c>
      <c r="BM289" s="18">
        <v>40.840000000000003</v>
      </c>
      <c r="BN289" s="25">
        <v>1.07</v>
      </c>
      <c r="BO289" s="23">
        <v>0.83000000000000007</v>
      </c>
      <c r="BP289" s="24">
        <v>0.95000000000000007</v>
      </c>
      <c r="BQ289" s="18">
        <v>8.64</v>
      </c>
      <c r="BR289" s="18">
        <v>6.6400000000000006</v>
      </c>
      <c r="BS289" s="18">
        <v>7.6400000000000006</v>
      </c>
      <c r="BT289" s="17">
        <v>11.24</v>
      </c>
      <c r="BU289" s="18">
        <v>10.84</v>
      </c>
      <c r="BV289" s="19">
        <v>11.04</v>
      </c>
      <c r="BW289" s="17">
        <v>2.75</v>
      </c>
      <c r="BX289" s="23">
        <v>2.4699999999999998</v>
      </c>
      <c r="BY289" s="24">
        <v>2.61</v>
      </c>
      <c r="BZ289" s="17">
        <v>9.98</v>
      </c>
      <c r="CA289" s="18">
        <v>6.98</v>
      </c>
      <c r="CB289" s="19">
        <v>8.48</v>
      </c>
      <c r="CC289" s="17">
        <v>6.54</v>
      </c>
      <c r="CD289" s="18">
        <v>6.3</v>
      </c>
      <c r="CE289" s="19">
        <v>6.42</v>
      </c>
      <c r="CF289" s="18">
        <v>1.79</v>
      </c>
      <c r="CG289" s="18">
        <v>1.29</v>
      </c>
      <c r="CH289" s="18">
        <v>1.54</v>
      </c>
      <c r="CI289" s="17">
        <v>0.43</v>
      </c>
      <c r="CJ289" s="18">
        <v>0.39</v>
      </c>
      <c r="CK289" s="19">
        <v>0.41000000000000003</v>
      </c>
      <c r="CL289" s="17">
        <v>39.01</v>
      </c>
      <c r="CM289">
        <v>36.61</v>
      </c>
      <c r="CN289">
        <v>37.81</v>
      </c>
      <c r="CO289">
        <v>6.86</v>
      </c>
      <c r="CP289">
        <v>1.8600000000000003</v>
      </c>
      <c r="CQ289">
        <v>4.3600000000000003</v>
      </c>
    </row>
    <row r="290" spans="1:95">
      <c r="A290" s="223">
        <v>45577</v>
      </c>
      <c r="B290" s="16" t="s">
        <v>307</v>
      </c>
      <c r="C290" s="18"/>
      <c r="D290" s="18"/>
      <c r="E290" s="18"/>
      <c r="F290" s="17"/>
      <c r="G290" s="18"/>
      <c r="H290" s="19"/>
      <c r="I290" s="18"/>
      <c r="J290" s="18"/>
      <c r="K290" s="18"/>
      <c r="L290" s="17"/>
      <c r="M290" s="18"/>
      <c r="N290" s="18"/>
      <c r="O290" s="17"/>
      <c r="P290" s="18"/>
      <c r="Q290" s="18"/>
      <c r="R290" s="17"/>
      <c r="S290" s="18"/>
      <c r="T290" s="18"/>
      <c r="U290" s="17"/>
      <c r="V290" s="18"/>
      <c r="W290" s="19"/>
      <c r="X290" s="17"/>
      <c r="Y290" s="18"/>
      <c r="Z290" s="19"/>
      <c r="AA290" s="17"/>
      <c r="AB290" s="18"/>
      <c r="AC290" s="19"/>
      <c r="AD290" s="18"/>
      <c r="AE290" s="18"/>
      <c r="AF290" s="18"/>
      <c r="AG290" s="17"/>
      <c r="AH290" s="18"/>
      <c r="AI290" s="18"/>
      <c r="AJ290" s="20"/>
      <c r="AK290" s="21"/>
      <c r="AL290" s="22"/>
      <c r="AM290" s="18"/>
      <c r="AN290" s="18"/>
      <c r="AO290" s="18"/>
      <c r="AP290" s="17"/>
      <c r="AQ290" s="18"/>
      <c r="AR290" s="19"/>
      <c r="AS290" s="18"/>
      <c r="AT290" s="18"/>
      <c r="AU290" s="18"/>
      <c r="AV290" s="17"/>
      <c r="AW290" s="18"/>
      <c r="AX290" s="19"/>
      <c r="AY290" s="17"/>
      <c r="AZ290" s="18"/>
      <c r="BA290" s="19"/>
      <c r="BB290" s="17"/>
      <c r="BC290" s="23"/>
      <c r="BD290" s="24"/>
      <c r="BE290" s="18"/>
      <c r="BF290" s="23"/>
      <c r="BG290" s="23"/>
      <c r="BH290" s="17"/>
      <c r="BI290" s="18"/>
      <c r="BJ290" s="19"/>
      <c r="BK290" s="18"/>
      <c r="BL290" s="18"/>
      <c r="BM290" s="18"/>
      <c r="BN290" s="25"/>
      <c r="BO290" s="23"/>
      <c r="BP290" s="24"/>
      <c r="BQ290" s="18"/>
      <c r="BR290" s="18"/>
      <c r="BS290" s="18"/>
      <c r="BT290" s="17"/>
      <c r="BU290" s="18"/>
      <c r="BV290" s="19"/>
      <c r="BW290" s="17"/>
      <c r="BX290" s="23"/>
      <c r="BY290" s="24"/>
      <c r="BZ290" s="17"/>
      <c r="CA290" s="18"/>
      <c r="CB290" s="19"/>
      <c r="CC290" s="17"/>
      <c r="CD290" s="18"/>
      <c r="CE290" s="19"/>
      <c r="CF290" s="18"/>
      <c r="CG290" s="18"/>
      <c r="CH290" s="18"/>
      <c r="CI290" s="17"/>
      <c r="CJ290" s="18"/>
      <c r="CK290" s="19"/>
      <c r="CL290" s="17"/>
    </row>
    <row r="291" spans="1:95">
      <c r="A291" s="223">
        <v>45578</v>
      </c>
      <c r="B291" s="16" t="s">
        <v>308</v>
      </c>
      <c r="C291" s="17"/>
      <c r="D291" s="18"/>
      <c r="E291" s="19"/>
      <c r="F291" s="17"/>
      <c r="G291" s="18"/>
      <c r="H291" s="19"/>
      <c r="I291" s="17"/>
      <c r="J291" s="18"/>
      <c r="K291" s="19"/>
      <c r="L291" s="18"/>
      <c r="M291" s="18"/>
      <c r="N291" s="18"/>
      <c r="O291" s="17"/>
      <c r="P291" s="18"/>
      <c r="Q291" s="19"/>
      <c r="R291" s="18"/>
      <c r="S291" s="18"/>
      <c r="T291" s="18"/>
      <c r="U291" s="17"/>
      <c r="V291" s="18"/>
      <c r="W291" s="19"/>
      <c r="X291" s="17"/>
      <c r="Y291" s="18"/>
      <c r="Z291" s="19"/>
      <c r="AA291" s="17"/>
      <c r="AB291" s="18"/>
      <c r="AC291" s="19"/>
      <c r="AD291" s="17"/>
      <c r="AE291" s="18"/>
      <c r="AF291" s="19"/>
      <c r="AG291" s="18"/>
      <c r="AH291" s="18"/>
      <c r="AI291" s="18"/>
      <c r="AJ291" s="20"/>
      <c r="AK291" s="21"/>
      <c r="AL291" s="22"/>
      <c r="AM291" s="18"/>
      <c r="AN291" s="18"/>
      <c r="AO291" s="18"/>
      <c r="AP291" s="17"/>
      <c r="AQ291" s="18"/>
      <c r="AR291" s="19"/>
      <c r="AS291" s="18"/>
      <c r="AT291" s="18"/>
      <c r="AU291" s="18"/>
      <c r="AV291" s="17"/>
      <c r="AW291" s="18"/>
      <c r="AX291" s="19"/>
      <c r="AY291" s="17"/>
      <c r="AZ291" s="18"/>
      <c r="BA291" s="19"/>
      <c r="BB291" s="17"/>
      <c r="BC291" s="23"/>
      <c r="BD291" s="24"/>
      <c r="BE291" s="18"/>
      <c r="BF291" s="23"/>
      <c r="BG291" s="23"/>
      <c r="BH291" s="17"/>
      <c r="BI291" s="18"/>
      <c r="BJ291" s="19"/>
      <c r="BK291" s="18"/>
      <c r="BL291" s="18"/>
      <c r="BM291" s="18"/>
      <c r="BN291" s="25"/>
      <c r="BO291" s="23"/>
      <c r="BP291" s="24"/>
      <c r="BQ291" s="18"/>
      <c r="BR291" s="18"/>
      <c r="BS291" s="18"/>
      <c r="BT291" s="17"/>
      <c r="BU291" s="18"/>
      <c r="BV291" s="19"/>
      <c r="BW291" s="17"/>
      <c r="BX291" s="23"/>
      <c r="BY291" s="24"/>
      <c r="BZ291" s="17"/>
      <c r="CA291" s="18"/>
      <c r="CB291" s="19"/>
      <c r="CC291" s="17"/>
      <c r="CD291" s="18"/>
      <c r="CE291" s="19"/>
      <c r="CF291" s="17"/>
      <c r="CG291" s="18"/>
      <c r="CH291" s="19"/>
      <c r="CI291" s="17"/>
      <c r="CJ291" s="18"/>
      <c r="CK291" s="19"/>
      <c r="CL291" s="17"/>
    </row>
    <row r="292" spans="1:95">
      <c r="A292" s="223">
        <v>45579</v>
      </c>
      <c r="B292" s="16" t="s">
        <v>96</v>
      </c>
      <c r="C292" s="17"/>
      <c r="D292" s="18"/>
      <c r="E292" s="19"/>
      <c r="F292" s="17"/>
      <c r="G292" s="18"/>
      <c r="H292" s="19"/>
      <c r="I292" s="17"/>
      <c r="J292" s="18"/>
      <c r="K292" s="19"/>
      <c r="L292" s="18"/>
      <c r="M292" s="18"/>
      <c r="N292" s="18"/>
      <c r="O292" s="17"/>
      <c r="P292" s="18"/>
      <c r="Q292" s="19"/>
      <c r="R292" s="18"/>
      <c r="S292" s="18"/>
      <c r="T292" s="18"/>
      <c r="U292" s="17"/>
      <c r="V292" s="18"/>
      <c r="W292" s="19"/>
      <c r="X292" s="17"/>
      <c r="Y292" s="18"/>
      <c r="Z292" s="19"/>
      <c r="AA292" s="17"/>
      <c r="AB292" s="18"/>
      <c r="AC292" s="19"/>
      <c r="AD292" s="17"/>
      <c r="AE292" s="18"/>
      <c r="AF292" s="19"/>
      <c r="AG292" s="18"/>
      <c r="AH292" s="18"/>
      <c r="AI292" s="18"/>
      <c r="AJ292" s="20"/>
      <c r="AK292" s="21"/>
      <c r="AL292" s="22"/>
      <c r="AM292" s="18"/>
      <c r="AN292" s="18"/>
      <c r="AO292" s="18"/>
      <c r="AP292" s="17"/>
      <c r="AQ292" s="18"/>
      <c r="AR292" s="19"/>
      <c r="AS292" s="18"/>
      <c r="AT292" s="18"/>
      <c r="AU292" s="18"/>
      <c r="AV292" s="17"/>
      <c r="AW292" s="18"/>
      <c r="AX292" s="19"/>
      <c r="AY292" s="17"/>
      <c r="AZ292" s="18"/>
      <c r="BA292" s="19"/>
      <c r="BB292" s="17"/>
      <c r="BC292" s="23"/>
      <c r="BD292" s="24"/>
      <c r="BE292" s="18"/>
      <c r="BF292" s="23"/>
      <c r="BG292" s="23"/>
      <c r="BH292" s="17"/>
      <c r="BI292" s="18"/>
      <c r="BJ292" s="19"/>
      <c r="BK292" s="18"/>
      <c r="BL292" s="18"/>
      <c r="BM292" s="18"/>
      <c r="BN292" s="25"/>
      <c r="BO292" s="23"/>
      <c r="BP292" s="24"/>
      <c r="BQ292" s="18"/>
      <c r="BR292" s="18"/>
      <c r="BS292" s="18"/>
      <c r="BT292" s="17"/>
      <c r="BU292" s="18"/>
      <c r="BV292" s="19"/>
      <c r="BW292" s="17"/>
      <c r="BX292" s="23"/>
      <c r="BY292" s="24"/>
      <c r="BZ292" s="17"/>
      <c r="CA292" s="18"/>
      <c r="CB292" s="19"/>
      <c r="CC292" s="17"/>
      <c r="CD292" s="18"/>
      <c r="CE292" s="19"/>
      <c r="CF292" s="17"/>
      <c r="CG292" s="18"/>
      <c r="CH292" s="19"/>
      <c r="CI292" s="17"/>
      <c r="CJ292" s="18"/>
      <c r="CK292" s="19"/>
      <c r="CL292" s="17"/>
    </row>
    <row r="293" spans="1:95">
      <c r="A293" s="223">
        <v>45580</v>
      </c>
      <c r="B293" s="16" t="s">
        <v>97</v>
      </c>
      <c r="C293" s="17">
        <v>150.66999999999999</v>
      </c>
      <c r="D293" s="18">
        <v>148.66999999999999</v>
      </c>
      <c r="E293" s="19">
        <v>149.66999999999999</v>
      </c>
      <c r="F293" s="17">
        <v>164.75</v>
      </c>
      <c r="G293" s="18">
        <v>161.75</v>
      </c>
      <c r="H293" s="19">
        <v>163.25</v>
      </c>
      <c r="I293" s="17">
        <v>110.09</v>
      </c>
      <c r="J293" s="18">
        <v>106.89</v>
      </c>
      <c r="K293" s="19">
        <v>108.49000000000001</v>
      </c>
      <c r="L293" s="18">
        <v>199.57</v>
      </c>
      <c r="M293" s="18">
        <v>191.57</v>
      </c>
      <c r="N293" s="18">
        <v>195.57</v>
      </c>
      <c r="O293" s="17">
        <v>174.53</v>
      </c>
      <c r="P293" s="18">
        <v>172.73</v>
      </c>
      <c r="Q293" s="19">
        <v>173.63</v>
      </c>
      <c r="R293" s="18">
        <v>22.18</v>
      </c>
      <c r="S293" s="18">
        <v>21.58</v>
      </c>
      <c r="T293" s="18">
        <v>21.88</v>
      </c>
      <c r="U293" s="17">
        <v>14.16</v>
      </c>
      <c r="V293" s="18">
        <v>13.56</v>
      </c>
      <c r="W293" s="19">
        <v>13.86</v>
      </c>
      <c r="X293" s="17">
        <v>14.76</v>
      </c>
      <c r="Y293" s="18">
        <v>13.959999999999999</v>
      </c>
      <c r="Z293" s="19">
        <v>14.36</v>
      </c>
      <c r="AA293" s="17">
        <v>102.67</v>
      </c>
      <c r="AB293" s="18">
        <v>98.67</v>
      </c>
      <c r="AC293" s="19">
        <v>100.67</v>
      </c>
      <c r="AD293" s="17">
        <v>93.16</v>
      </c>
      <c r="AE293" s="18">
        <v>89.16</v>
      </c>
      <c r="AF293" s="19">
        <v>91.16</v>
      </c>
      <c r="AG293" s="18">
        <v>19.71</v>
      </c>
      <c r="AH293" s="18">
        <v>18.850000000000001</v>
      </c>
      <c r="AI293" s="18">
        <v>19.28</v>
      </c>
      <c r="AJ293" s="20"/>
      <c r="AK293" s="21"/>
      <c r="AL293" s="22"/>
      <c r="AM293" s="18">
        <v>115.3</v>
      </c>
      <c r="AN293" s="18">
        <v>113.64</v>
      </c>
      <c r="AO293" s="18">
        <v>114.47</v>
      </c>
      <c r="AP293" s="17">
        <v>40.72</v>
      </c>
      <c r="AQ293" s="18">
        <v>39.119999999999997</v>
      </c>
      <c r="AR293" s="19">
        <v>39.92</v>
      </c>
      <c r="AS293" s="18">
        <v>41.5</v>
      </c>
      <c r="AT293" s="18">
        <v>40.14</v>
      </c>
      <c r="AU293" s="18">
        <v>40.82</v>
      </c>
      <c r="AV293" s="17">
        <v>21.4</v>
      </c>
      <c r="AW293" s="18">
        <v>20.799999999999997</v>
      </c>
      <c r="AX293" s="19">
        <v>21.099999999999998</v>
      </c>
      <c r="AY293" s="17">
        <v>4.59</v>
      </c>
      <c r="AZ293" s="18">
        <v>4.43</v>
      </c>
      <c r="BA293" s="19">
        <v>4.51</v>
      </c>
      <c r="BB293" s="17">
        <v>1.94</v>
      </c>
      <c r="BC293" s="23">
        <v>1.64</v>
      </c>
      <c r="BD293" s="24">
        <v>1.79</v>
      </c>
      <c r="BE293" s="18">
        <v>0.69</v>
      </c>
      <c r="BF293" s="23">
        <v>0.38999999999999996</v>
      </c>
      <c r="BG293" s="23">
        <v>0.53999999999999992</v>
      </c>
      <c r="BH293" s="17">
        <v>495.05</v>
      </c>
      <c r="BI293" s="18">
        <v>479.05</v>
      </c>
      <c r="BJ293" s="19">
        <v>487.05</v>
      </c>
      <c r="BK293" s="18">
        <v>41.81</v>
      </c>
      <c r="BL293" s="18">
        <v>40.450000000000003</v>
      </c>
      <c r="BM293" s="18">
        <v>41.13</v>
      </c>
      <c r="BN293" s="25">
        <v>1.0900000000000001</v>
      </c>
      <c r="BO293" s="23">
        <v>0.85000000000000009</v>
      </c>
      <c r="BP293" s="24">
        <v>0.97000000000000008</v>
      </c>
      <c r="BQ293" s="18">
        <v>8.6999999999999993</v>
      </c>
      <c r="BR293" s="18">
        <v>6.6999999999999993</v>
      </c>
      <c r="BS293" s="18">
        <v>7.6999999999999993</v>
      </c>
      <c r="BT293" s="17">
        <v>11.23</v>
      </c>
      <c r="BU293" s="18">
        <v>10.83</v>
      </c>
      <c r="BV293" s="19">
        <v>11.030000000000001</v>
      </c>
      <c r="BW293" s="17">
        <v>2.76</v>
      </c>
      <c r="BX293" s="23">
        <v>2.4799999999999995</v>
      </c>
      <c r="BY293" s="24">
        <v>2.6199999999999997</v>
      </c>
      <c r="BZ293" s="17">
        <v>10.02</v>
      </c>
      <c r="CA293" s="18">
        <v>7.02</v>
      </c>
      <c r="CB293" s="19">
        <v>8.52</v>
      </c>
      <c r="CC293" s="17">
        <v>6.59</v>
      </c>
      <c r="CD293" s="18">
        <v>6.35</v>
      </c>
      <c r="CE293" s="19">
        <v>6.47</v>
      </c>
      <c r="CF293" s="17">
        <v>1.83</v>
      </c>
      <c r="CG293" s="18">
        <v>1.33</v>
      </c>
      <c r="CH293" s="19">
        <v>1.58</v>
      </c>
      <c r="CI293" s="17">
        <v>0.43</v>
      </c>
      <c r="CJ293" s="18">
        <v>0.39</v>
      </c>
      <c r="CK293" s="19">
        <v>0.41000000000000003</v>
      </c>
      <c r="CL293" s="17">
        <v>39.25</v>
      </c>
      <c r="CM293">
        <v>36.85</v>
      </c>
      <c r="CN293">
        <v>38.049999999999997</v>
      </c>
      <c r="CO293">
        <v>6.87</v>
      </c>
      <c r="CP293">
        <v>1.87</v>
      </c>
      <c r="CQ293">
        <v>4.37</v>
      </c>
    </row>
    <row r="294" spans="1:95">
      <c r="A294" s="223">
        <v>45581</v>
      </c>
      <c r="B294" s="16" t="s">
        <v>98</v>
      </c>
      <c r="C294" s="17">
        <v>150.29</v>
      </c>
      <c r="D294" s="18">
        <v>148.29</v>
      </c>
      <c r="E294" s="19">
        <v>149.29</v>
      </c>
      <c r="F294" s="17">
        <v>163.99</v>
      </c>
      <c r="G294" s="18">
        <v>160.99</v>
      </c>
      <c r="H294" s="19">
        <v>162.49</v>
      </c>
      <c r="I294" s="17">
        <v>109.89</v>
      </c>
      <c r="J294" s="18">
        <v>106.69</v>
      </c>
      <c r="K294" s="19">
        <v>108.28999999999999</v>
      </c>
      <c r="L294" s="18">
        <v>199.05</v>
      </c>
      <c r="M294" s="18">
        <v>191.05</v>
      </c>
      <c r="N294" s="18">
        <v>195.05</v>
      </c>
      <c r="O294" s="17">
        <v>173.99</v>
      </c>
      <c r="P294" s="18">
        <v>172.19</v>
      </c>
      <c r="Q294" s="19">
        <v>173.09</v>
      </c>
      <c r="R294" s="18">
        <v>22.08</v>
      </c>
      <c r="S294" s="18">
        <v>21.479999999999997</v>
      </c>
      <c r="T294" s="18">
        <v>21.779999999999998</v>
      </c>
      <c r="U294" s="17">
        <v>14.06</v>
      </c>
      <c r="V294" s="18">
        <v>13.46</v>
      </c>
      <c r="W294" s="19">
        <v>13.760000000000002</v>
      </c>
      <c r="X294" s="17">
        <v>14.74</v>
      </c>
      <c r="Y294" s="18">
        <v>13.94</v>
      </c>
      <c r="Z294" s="19">
        <v>14.34</v>
      </c>
      <c r="AA294" s="17">
        <v>101.71</v>
      </c>
      <c r="AB294" s="18">
        <v>97.71</v>
      </c>
      <c r="AC294" s="19">
        <v>99.71</v>
      </c>
      <c r="AD294" s="17">
        <v>92.28</v>
      </c>
      <c r="AE294" s="18">
        <v>88.28</v>
      </c>
      <c r="AF294" s="19">
        <v>90.28</v>
      </c>
      <c r="AG294" s="18">
        <v>19.649999999999999</v>
      </c>
      <c r="AH294" s="18">
        <v>18.79</v>
      </c>
      <c r="AI294" s="18">
        <v>19.22</v>
      </c>
      <c r="AJ294" s="20"/>
      <c r="AK294" s="21"/>
      <c r="AL294" s="22"/>
      <c r="AM294" s="18">
        <v>114.82</v>
      </c>
      <c r="AN294" s="18">
        <v>113.16</v>
      </c>
      <c r="AO294" s="18">
        <v>113.99</v>
      </c>
      <c r="AP294" s="17">
        <v>40.630000000000003</v>
      </c>
      <c r="AQ294" s="18">
        <v>39.03</v>
      </c>
      <c r="AR294" s="19">
        <v>39.83</v>
      </c>
      <c r="AS294" s="18">
        <v>41.39</v>
      </c>
      <c r="AT294" s="18">
        <v>40.03</v>
      </c>
      <c r="AU294" s="18">
        <v>40.71</v>
      </c>
      <c r="AV294" s="17">
        <v>21.22</v>
      </c>
      <c r="AW294" s="18">
        <v>20.619999999999997</v>
      </c>
      <c r="AX294" s="19">
        <v>20.919999999999998</v>
      </c>
      <c r="AY294" s="17">
        <v>4.5599999999999996</v>
      </c>
      <c r="AZ294" s="18">
        <v>4.3999999999999995</v>
      </c>
      <c r="BA294" s="19">
        <v>4.4799999999999995</v>
      </c>
      <c r="BB294" s="17">
        <v>1.93</v>
      </c>
      <c r="BC294" s="23">
        <v>1.63</v>
      </c>
      <c r="BD294" s="24">
        <v>1.7799999999999998</v>
      </c>
      <c r="BE294" s="18">
        <v>0.69</v>
      </c>
      <c r="BF294" s="23">
        <v>0.38999999999999996</v>
      </c>
      <c r="BG294" s="23">
        <v>0.53999999999999992</v>
      </c>
      <c r="BH294" s="17">
        <v>495.88</v>
      </c>
      <c r="BI294" s="18">
        <v>479.88</v>
      </c>
      <c r="BJ294" s="19">
        <v>487.88</v>
      </c>
      <c r="BK294" s="18">
        <v>41.71</v>
      </c>
      <c r="BL294" s="18">
        <v>40.35</v>
      </c>
      <c r="BM294" s="18">
        <v>41.03</v>
      </c>
      <c r="BN294" s="25">
        <v>1.08</v>
      </c>
      <c r="BO294" s="23">
        <v>0.84000000000000008</v>
      </c>
      <c r="BP294" s="24">
        <v>0.96000000000000008</v>
      </c>
      <c r="BQ294" s="18">
        <v>8.57</v>
      </c>
      <c r="BR294" s="18">
        <v>6.57</v>
      </c>
      <c r="BS294" s="18">
        <v>7.57</v>
      </c>
      <c r="BT294" s="17">
        <v>11.14</v>
      </c>
      <c r="BU294" s="18">
        <v>10.74</v>
      </c>
      <c r="BV294" s="19">
        <v>10.940000000000001</v>
      </c>
      <c r="BW294" s="17">
        <v>2.74</v>
      </c>
      <c r="BX294" s="23">
        <v>2.46</v>
      </c>
      <c r="BY294" s="24">
        <v>2.6</v>
      </c>
      <c r="BZ294" s="17">
        <v>9.9600000000000009</v>
      </c>
      <c r="CA294" s="18">
        <v>6.9600000000000009</v>
      </c>
      <c r="CB294" s="19">
        <v>8.4600000000000009</v>
      </c>
      <c r="CC294" s="17">
        <v>6.57</v>
      </c>
      <c r="CD294" s="18">
        <v>6.33</v>
      </c>
      <c r="CE294" s="19">
        <v>6.45</v>
      </c>
      <c r="CF294" s="17">
        <v>1.79</v>
      </c>
      <c r="CG294" s="18">
        <v>1.29</v>
      </c>
      <c r="CH294" s="19">
        <v>1.54</v>
      </c>
      <c r="CI294" s="17">
        <v>0.43</v>
      </c>
      <c r="CJ294" s="18">
        <v>0.39</v>
      </c>
      <c r="CK294" s="19">
        <v>0.41000000000000003</v>
      </c>
      <c r="CL294" s="17">
        <v>39.07</v>
      </c>
      <c r="CM294">
        <v>36.67</v>
      </c>
      <c r="CN294">
        <v>37.870000000000005</v>
      </c>
      <c r="CO294">
        <v>6.87</v>
      </c>
      <c r="CP294">
        <v>1.87</v>
      </c>
      <c r="CQ294">
        <v>4.37</v>
      </c>
    </row>
    <row r="295" spans="1:95">
      <c r="A295" s="223">
        <v>45582</v>
      </c>
      <c r="B295" s="16" t="s">
        <v>99</v>
      </c>
      <c r="C295" s="18">
        <v>150.63999999999999</v>
      </c>
      <c r="D295" s="18">
        <v>148.63999999999999</v>
      </c>
      <c r="E295" s="18">
        <v>149.63999999999999</v>
      </c>
      <c r="F295" s="17">
        <v>163.99</v>
      </c>
      <c r="G295" s="18">
        <v>160.99</v>
      </c>
      <c r="H295" s="19">
        <v>162.49</v>
      </c>
      <c r="I295" s="18">
        <v>110.39</v>
      </c>
      <c r="J295" s="18">
        <v>107.19</v>
      </c>
      <c r="K295" s="18">
        <v>108.78999999999999</v>
      </c>
      <c r="L295" s="17">
        <v>198.37</v>
      </c>
      <c r="M295" s="18">
        <v>190.37</v>
      </c>
      <c r="N295" s="19">
        <v>194.37</v>
      </c>
      <c r="O295" s="18">
        <v>173.71</v>
      </c>
      <c r="P295" s="18">
        <v>171.91</v>
      </c>
      <c r="Q295" s="18">
        <v>172.81</v>
      </c>
      <c r="R295" s="17">
        <v>22.08</v>
      </c>
      <c r="S295" s="18">
        <v>21.479999999999997</v>
      </c>
      <c r="T295" s="19">
        <v>21.779999999999998</v>
      </c>
      <c r="U295" s="17">
        <v>14.02</v>
      </c>
      <c r="V295" s="18">
        <v>13.42</v>
      </c>
      <c r="W295" s="19">
        <v>13.719999999999999</v>
      </c>
      <c r="X295" s="17">
        <v>14.62</v>
      </c>
      <c r="Y295" s="18">
        <v>13.819999999999999</v>
      </c>
      <c r="Z295" s="19">
        <v>14.219999999999999</v>
      </c>
      <c r="AA295" s="17">
        <v>102.14</v>
      </c>
      <c r="AB295" s="18">
        <v>98.14</v>
      </c>
      <c r="AC295" s="19">
        <v>100.14</v>
      </c>
      <c r="AD295" s="18">
        <v>92.71</v>
      </c>
      <c r="AE295" s="18">
        <v>88.71</v>
      </c>
      <c r="AF295" s="18">
        <v>90.71</v>
      </c>
      <c r="AG295" s="17">
        <v>19.68</v>
      </c>
      <c r="AH295" s="18">
        <v>18.82</v>
      </c>
      <c r="AI295" s="19">
        <v>19.25</v>
      </c>
      <c r="AJ295" s="20"/>
      <c r="AK295" s="21"/>
      <c r="AL295" s="22"/>
      <c r="AM295" s="17">
        <v>114.88</v>
      </c>
      <c r="AN295" s="18">
        <v>113.22</v>
      </c>
      <c r="AO295" s="19">
        <v>114.05</v>
      </c>
      <c r="AP295" s="17">
        <v>40.71</v>
      </c>
      <c r="AQ295" s="18">
        <v>39.11</v>
      </c>
      <c r="AR295" s="19">
        <v>39.909999999999997</v>
      </c>
      <c r="AS295" s="18">
        <v>41.49</v>
      </c>
      <c r="AT295" s="18">
        <v>40.130000000000003</v>
      </c>
      <c r="AU295" s="18">
        <v>40.81</v>
      </c>
      <c r="AV295" s="17">
        <v>21.28</v>
      </c>
      <c r="AW295" s="18">
        <v>20.68</v>
      </c>
      <c r="AX295" s="19">
        <v>20.98</v>
      </c>
      <c r="AY295" s="17">
        <v>4.59</v>
      </c>
      <c r="AZ295" s="18">
        <v>4.43</v>
      </c>
      <c r="BA295" s="19">
        <v>4.51</v>
      </c>
      <c r="BB295" s="17">
        <v>1.94</v>
      </c>
      <c r="BC295" s="23">
        <v>1.64</v>
      </c>
      <c r="BD295" s="24">
        <v>1.79</v>
      </c>
      <c r="BE295" s="17">
        <v>0.69</v>
      </c>
      <c r="BF295" s="23">
        <v>0.38999999999999996</v>
      </c>
      <c r="BG295" s="24">
        <v>0.53999999999999992</v>
      </c>
      <c r="BH295" s="17">
        <v>495.43</v>
      </c>
      <c r="BI295" s="18">
        <v>479.43</v>
      </c>
      <c r="BJ295" s="19">
        <v>487.43</v>
      </c>
      <c r="BK295" s="18">
        <v>41.8</v>
      </c>
      <c r="BL295" s="18">
        <v>40.44</v>
      </c>
      <c r="BM295" s="18">
        <v>41.12</v>
      </c>
      <c r="BN295" s="25">
        <v>1.0900000000000001</v>
      </c>
      <c r="BO295" s="23">
        <v>0.85000000000000009</v>
      </c>
      <c r="BP295" s="24">
        <v>0.97000000000000008</v>
      </c>
      <c r="BQ295" s="18">
        <v>8.52</v>
      </c>
      <c r="BR295" s="18">
        <v>6.52</v>
      </c>
      <c r="BS295" s="18">
        <v>7.52</v>
      </c>
      <c r="BT295" s="17">
        <v>11.18</v>
      </c>
      <c r="BU295" s="18">
        <v>10.78</v>
      </c>
      <c r="BV295" s="19">
        <v>10.98</v>
      </c>
      <c r="BW295" s="17">
        <v>2.75</v>
      </c>
      <c r="BX295" s="23">
        <v>2.4699999999999998</v>
      </c>
      <c r="BY295" s="24">
        <v>2.61</v>
      </c>
      <c r="BZ295" s="17">
        <v>9.99</v>
      </c>
      <c r="CA295" s="18">
        <v>6.99</v>
      </c>
      <c r="CB295" s="19">
        <v>8.49</v>
      </c>
      <c r="CC295" s="17">
        <v>6.55</v>
      </c>
      <c r="CD295" s="18">
        <v>6.31</v>
      </c>
      <c r="CE295" s="19">
        <v>6.43</v>
      </c>
      <c r="CF295" s="18">
        <v>1.8</v>
      </c>
      <c r="CG295" s="18">
        <v>1.3</v>
      </c>
      <c r="CH295" s="18">
        <v>1.55</v>
      </c>
      <c r="CI295" s="17">
        <v>0.43</v>
      </c>
      <c r="CJ295" s="18">
        <v>0.39</v>
      </c>
      <c r="CK295" s="19">
        <v>0.41000000000000003</v>
      </c>
      <c r="CL295" s="17">
        <v>38.979999999999997</v>
      </c>
      <c r="CM295">
        <v>36.58</v>
      </c>
      <c r="CN295">
        <v>37.78</v>
      </c>
      <c r="CO295">
        <v>6.89</v>
      </c>
      <c r="CP295">
        <v>1.8899999999999997</v>
      </c>
      <c r="CQ295">
        <v>4.3899999999999997</v>
      </c>
    </row>
    <row r="296" spans="1:95">
      <c r="A296" s="223">
        <v>45583</v>
      </c>
      <c r="B296" s="16" t="s">
        <v>100</v>
      </c>
      <c r="C296" s="17">
        <v>151.13</v>
      </c>
      <c r="D296" s="18">
        <v>149.13</v>
      </c>
      <c r="E296" s="19">
        <v>150.13</v>
      </c>
      <c r="F296" s="17">
        <v>164.11</v>
      </c>
      <c r="G296" s="18">
        <v>161.11000000000001</v>
      </c>
      <c r="H296" s="19">
        <v>162.61000000000001</v>
      </c>
      <c r="I296" s="17">
        <v>110.4</v>
      </c>
      <c r="J296" s="18">
        <v>107.2</v>
      </c>
      <c r="K296" s="19">
        <v>108.80000000000001</v>
      </c>
      <c r="L296" s="18">
        <v>199.39</v>
      </c>
      <c r="M296" s="18">
        <v>191.39</v>
      </c>
      <c r="N296" s="18">
        <v>195.39</v>
      </c>
      <c r="O296" s="17">
        <v>174.18</v>
      </c>
      <c r="P296" s="18">
        <v>172.38</v>
      </c>
      <c r="Q296" s="19">
        <v>173.28</v>
      </c>
      <c r="R296" s="18">
        <v>22.1</v>
      </c>
      <c r="S296" s="18">
        <v>21.5</v>
      </c>
      <c r="T296" s="18">
        <v>21.8</v>
      </c>
      <c r="U296" s="17">
        <v>14.05</v>
      </c>
      <c r="V296" s="18">
        <v>13.450000000000001</v>
      </c>
      <c r="W296" s="19">
        <v>13.75</v>
      </c>
      <c r="X296" s="17">
        <v>14.64</v>
      </c>
      <c r="Y296" s="18">
        <v>13.84</v>
      </c>
      <c r="Z296" s="19">
        <v>14.24</v>
      </c>
      <c r="AA296" s="17">
        <v>102.56</v>
      </c>
      <c r="AB296" s="18">
        <v>98.56</v>
      </c>
      <c r="AC296" s="19">
        <v>100.56</v>
      </c>
      <c r="AD296" s="17">
        <v>92.98</v>
      </c>
      <c r="AE296" s="18">
        <v>88.98</v>
      </c>
      <c r="AF296" s="19">
        <v>90.98</v>
      </c>
      <c r="AG296" s="18">
        <v>19.739999999999998</v>
      </c>
      <c r="AH296" s="18">
        <v>18.88</v>
      </c>
      <c r="AI296" s="18">
        <v>19.309999999999999</v>
      </c>
      <c r="AJ296" s="20"/>
      <c r="AK296" s="21"/>
      <c r="AL296" s="22"/>
      <c r="AM296" s="18">
        <v>115.12</v>
      </c>
      <c r="AN296" s="18">
        <v>113.46000000000001</v>
      </c>
      <c r="AO296" s="18">
        <v>114.29</v>
      </c>
      <c r="AP296" s="17">
        <v>40.85</v>
      </c>
      <c r="AQ296" s="18">
        <v>39.25</v>
      </c>
      <c r="AR296" s="19">
        <v>40.049999999999997</v>
      </c>
      <c r="AS296" s="18">
        <v>41.62</v>
      </c>
      <c r="AT296" s="18">
        <v>40.26</v>
      </c>
      <c r="AU296" s="18">
        <v>40.94</v>
      </c>
      <c r="AV296" s="17">
        <v>21.34</v>
      </c>
      <c r="AW296" s="18">
        <v>20.74</v>
      </c>
      <c r="AX296" s="19">
        <v>21.04</v>
      </c>
      <c r="AY296" s="17">
        <v>4.6100000000000003</v>
      </c>
      <c r="AZ296" s="18">
        <v>4.45</v>
      </c>
      <c r="BA296" s="19">
        <v>4.53</v>
      </c>
      <c r="BB296" s="17">
        <v>1.95</v>
      </c>
      <c r="BC296" s="23">
        <v>1.65</v>
      </c>
      <c r="BD296" s="24">
        <v>1.7999999999999998</v>
      </c>
      <c r="BE296" s="18">
        <v>0.69</v>
      </c>
      <c r="BF296" s="23">
        <v>0.38999999999999996</v>
      </c>
      <c r="BG296" s="23">
        <v>0.53999999999999992</v>
      </c>
      <c r="BH296" s="17">
        <v>498.62</v>
      </c>
      <c r="BI296" s="18">
        <v>482.62</v>
      </c>
      <c r="BJ296" s="19">
        <v>490.62</v>
      </c>
      <c r="BK296" s="18">
        <v>41.94</v>
      </c>
      <c r="BL296" s="18">
        <v>40.58</v>
      </c>
      <c r="BM296" s="18">
        <v>41.26</v>
      </c>
      <c r="BN296" s="25">
        <v>1.0900000000000001</v>
      </c>
      <c r="BO296" s="23">
        <v>0.85000000000000009</v>
      </c>
      <c r="BP296" s="24">
        <v>0.97000000000000008</v>
      </c>
      <c r="BQ296" s="18">
        <v>8.58</v>
      </c>
      <c r="BR296" s="18">
        <v>6.58</v>
      </c>
      <c r="BS296" s="18">
        <v>7.58</v>
      </c>
      <c r="BT296" s="17">
        <v>11.16</v>
      </c>
      <c r="BU296" s="18">
        <v>10.76</v>
      </c>
      <c r="BV296" s="19">
        <v>10.96</v>
      </c>
      <c r="BW296" s="17">
        <v>2.76</v>
      </c>
      <c r="BX296" s="23">
        <v>2.4799999999999995</v>
      </c>
      <c r="BY296" s="24">
        <v>2.6199999999999997</v>
      </c>
      <c r="BZ296" s="17">
        <v>9.99</v>
      </c>
      <c r="CA296" s="18">
        <v>6.99</v>
      </c>
      <c r="CB296" s="19">
        <v>8.49</v>
      </c>
      <c r="CC296" s="17">
        <v>6.56</v>
      </c>
      <c r="CD296" s="18">
        <v>6.3199999999999994</v>
      </c>
      <c r="CE296" s="19">
        <v>6.4399999999999995</v>
      </c>
      <c r="CF296" s="17">
        <v>1.8</v>
      </c>
      <c r="CG296" s="18">
        <v>1.3</v>
      </c>
      <c r="CH296" s="19">
        <v>1.55</v>
      </c>
      <c r="CI296" s="17">
        <v>0.43</v>
      </c>
      <c r="CJ296" s="18">
        <v>0.39</v>
      </c>
      <c r="CK296" s="19">
        <v>0.41000000000000003</v>
      </c>
      <c r="CL296" s="17">
        <v>38.979999999999997</v>
      </c>
      <c r="CM296">
        <v>36.58</v>
      </c>
      <c r="CN296">
        <v>37.78</v>
      </c>
      <c r="CO296">
        <v>6.91</v>
      </c>
      <c r="CP296">
        <v>1.9100000000000001</v>
      </c>
      <c r="CQ296">
        <v>4.41</v>
      </c>
    </row>
    <row r="297" spans="1:95">
      <c r="A297" s="223">
        <v>45584</v>
      </c>
      <c r="B297" s="16" t="s">
        <v>307</v>
      </c>
      <c r="C297" s="17"/>
      <c r="D297" s="18"/>
      <c r="E297" s="19"/>
      <c r="F297" s="17"/>
      <c r="G297" s="18"/>
      <c r="H297" s="19"/>
      <c r="I297" s="17"/>
      <c r="J297" s="18"/>
      <c r="K297" s="19"/>
      <c r="L297" s="18"/>
      <c r="M297" s="18"/>
      <c r="N297" s="18"/>
      <c r="O297" s="17"/>
      <c r="P297" s="18"/>
      <c r="Q297" s="19"/>
      <c r="R297" s="18"/>
      <c r="S297" s="18"/>
      <c r="T297" s="18"/>
      <c r="U297" s="17"/>
      <c r="V297" s="18"/>
      <c r="W297" s="19"/>
      <c r="X297" s="17"/>
      <c r="Y297" s="18"/>
      <c r="Z297" s="19"/>
      <c r="AA297" s="17"/>
      <c r="AB297" s="18"/>
      <c r="AC297" s="19"/>
      <c r="AD297" s="17"/>
      <c r="AE297" s="18"/>
      <c r="AF297" s="19"/>
      <c r="AG297" s="18"/>
      <c r="AH297" s="18"/>
      <c r="AI297" s="18"/>
      <c r="AJ297" s="20"/>
      <c r="AK297" s="21"/>
      <c r="AL297" s="22"/>
      <c r="AM297" s="18"/>
      <c r="AN297" s="18"/>
      <c r="AO297" s="18"/>
      <c r="AP297" s="17"/>
      <c r="AQ297" s="18"/>
      <c r="AR297" s="19"/>
      <c r="AS297" s="18"/>
      <c r="AT297" s="18"/>
      <c r="AU297" s="18"/>
      <c r="AV297" s="17"/>
      <c r="AW297" s="18"/>
      <c r="AX297" s="19"/>
      <c r="AY297" s="17"/>
      <c r="AZ297" s="18"/>
      <c r="BA297" s="19"/>
      <c r="BB297" s="17"/>
      <c r="BC297" s="23"/>
      <c r="BD297" s="24"/>
      <c r="BE297" s="18"/>
      <c r="BF297" s="23"/>
      <c r="BG297" s="23"/>
      <c r="BH297" s="17"/>
      <c r="BI297" s="18"/>
      <c r="BJ297" s="19"/>
      <c r="BK297" s="18"/>
      <c r="BL297" s="18"/>
      <c r="BM297" s="18"/>
      <c r="BN297" s="25"/>
      <c r="BO297" s="23"/>
      <c r="BP297" s="24"/>
      <c r="BQ297" s="18"/>
      <c r="BR297" s="18"/>
      <c r="BS297" s="18"/>
      <c r="BT297" s="17"/>
      <c r="BU297" s="18"/>
      <c r="BV297" s="19"/>
      <c r="BW297" s="17"/>
      <c r="BX297" s="23"/>
      <c r="BY297" s="24"/>
      <c r="BZ297" s="17"/>
      <c r="CA297" s="18"/>
      <c r="CB297" s="19"/>
      <c r="CC297" s="17"/>
      <c r="CD297" s="18"/>
      <c r="CE297" s="19"/>
      <c r="CF297" s="17"/>
      <c r="CG297" s="18"/>
      <c r="CH297" s="19"/>
      <c r="CI297" s="17"/>
      <c r="CJ297" s="18"/>
      <c r="CK297" s="19"/>
      <c r="CL297" s="17"/>
    </row>
    <row r="298" spans="1:95">
      <c r="A298" s="223">
        <v>45585</v>
      </c>
      <c r="B298" s="16" t="s">
        <v>308</v>
      </c>
      <c r="C298" s="17"/>
      <c r="D298" s="18"/>
      <c r="E298" s="19"/>
      <c r="F298" s="17"/>
      <c r="G298" s="18"/>
      <c r="H298" s="19"/>
      <c r="I298" s="17"/>
      <c r="J298" s="18"/>
      <c r="K298" s="19"/>
      <c r="L298" s="18"/>
      <c r="M298" s="18"/>
      <c r="N298" s="18"/>
      <c r="O298" s="17"/>
      <c r="P298" s="18"/>
      <c r="Q298" s="19"/>
      <c r="R298" s="18"/>
      <c r="S298" s="18"/>
      <c r="T298" s="18"/>
      <c r="U298" s="17"/>
      <c r="V298" s="18"/>
      <c r="W298" s="19"/>
      <c r="X298" s="17"/>
      <c r="Y298" s="18"/>
      <c r="Z298" s="19"/>
      <c r="AA298" s="17"/>
      <c r="AB298" s="18"/>
      <c r="AC298" s="19"/>
      <c r="AD298" s="17"/>
      <c r="AE298" s="18"/>
      <c r="AF298" s="19"/>
      <c r="AG298" s="18"/>
      <c r="AH298" s="18"/>
      <c r="AI298" s="18"/>
      <c r="AJ298" s="20"/>
      <c r="AK298" s="21"/>
      <c r="AL298" s="22"/>
      <c r="AM298" s="18"/>
      <c r="AN298" s="18"/>
      <c r="AO298" s="18"/>
      <c r="AP298" s="17"/>
      <c r="AQ298" s="18"/>
      <c r="AR298" s="19"/>
      <c r="AS298" s="18"/>
      <c r="AT298" s="18"/>
      <c r="AU298" s="18"/>
      <c r="AV298" s="17"/>
      <c r="AW298" s="18"/>
      <c r="AX298" s="19"/>
      <c r="AY298" s="17"/>
      <c r="AZ298" s="18"/>
      <c r="BA298" s="19"/>
      <c r="BB298" s="17"/>
      <c r="BC298" s="23"/>
      <c r="BD298" s="24"/>
      <c r="BE298" s="18"/>
      <c r="BF298" s="23"/>
      <c r="BG298" s="23"/>
      <c r="BH298" s="17"/>
      <c r="BI298" s="18"/>
      <c r="BJ298" s="19"/>
      <c r="BK298" s="18"/>
      <c r="BL298" s="18"/>
      <c r="BM298" s="18"/>
      <c r="BN298" s="25"/>
      <c r="BO298" s="23"/>
      <c r="BP298" s="24"/>
      <c r="BQ298" s="18"/>
      <c r="BR298" s="18"/>
      <c r="BS298" s="18"/>
      <c r="BT298" s="17"/>
      <c r="BU298" s="18"/>
      <c r="BV298" s="19"/>
      <c r="BW298" s="17"/>
      <c r="BX298" s="23"/>
      <c r="BY298" s="24"/>
      <c r="BZ298" s="17"/>
      <c r="CA298" s="18"/>
      <c r="CB298" s="19"/>
      <c r="CC298" s="17"/>
      <c r="CD298" s="18"/>
      <c r="CE298" s="19"/>
      <c r="CF298" s="17"/>
      <c r="CG298" s="18"/>
      <c r="CH298" s="19"/>
      <c r="CI298" s="17"/>
      <c r="CJ298" s="18"/>
      <c r="CK298" s="19"/>
      <c r="CL298" s="17"/>
    </row>
    <row r="299" spans="1:95">
      <c r="A299" s="223">
        <v>45586</v>
      </c>
      <c r="B299" s="16" t="s">
        <v>96</v>
      </c>
      <c r="C299" s="17">
        <v>150.43</v>
      </c>
      <c r="D299" s="18">
        <v>148.43</v>
      </c>
      <c r="E299" s="19">
        <v>149.43</v>
      </c>
      <c r="F299" s="17">
        <v>163.86</v>
      </c>
      <c r="G299" s="18">
        <v>160.86000000000001</v>
      </c>
      <c r="H299" s="19">
        <v>162.36000000000001</v>
      </c>
      <c r="I299" s="17">
        <v>109.81</v>
      </c>
      <c r="J299" s="18">
        <v>106.61</v>
      </c>
      <c r="K299" s="19">
        <v>108.21000000000001</v>
      </c>
      <c r="L299" s="18">
        <v>198.96</v>
      </c>
      <c r="M299" s="18">
        <v>190.96</v>
      </c>
      <c r="N299" s="18">
        <v>194.96</v>
      </c>
      <c r="O299" s="17">
        <v>173.57</v>
      </c>
      <c r="P299" s="18">
        <v>171.76999999999998</v>
      </c>
      <c r="Q299" s="19">
        <v>172.67</v>
      </c>
      <c r="R299" s="18">
        <v>22.07</v>
      </c>
      <c r="S299" s="18">
        <v>21.47</v>
      </c>
      <c r="T299" s="18">
        <v>21.77</v>
      </c>
      <c r="U299" s="17">
        <v>13.98</v>
      </c>
      <c r="V299" s="18">
        <v>13.38</v>
      </c>
      <c r="W299" s="19">
        <v>13.68</v>
      </c>
      <c r="X299" s="17">
        <v>14.59</v>
      </c>
      <c r="Y299" s="18">
        <v>13.79</v>
      </c>
      <c r="Z299" s="19">
        <v>14.19</v>
      </c>
      <c r="AA299" s="17">
        <v>102.19</v>
      </c>
      <c r="AB299" s="18">
        <v>98.19</v>
      </c>
      <c r="AC299" s="19">
        <v>100.19</v>
      </c>
      <c r="AD299" s="17">
        <v>92.78</v>
      </c>
      <c r="AE299" s="18">
        <v>88.78</v>
      </c>
      <c r="AF299" s="19">
        <v>90.78</v>
      </c>
      <c r="AG299" s="18">
        <v>19.66</v>
      </c>
      <c r="AH299" s="18">
        <v>18.8</v>
      </c>
      <c r="AI299" s="18">
        <v>19.23</v>
      </c>
      <c r="AJ299" s="20"/>
      <c r="AK299" s="21"/>
      <c r="AL299" s="22"/>
      <c r="AM299" s="18">
        <v>114.86</v>
      </c>
      <c r="AN299" s="18">
        <v>113.2</v>
      </c>
      <c r="AO299" s="18">
        <v>114.03</v>
      </c>
      <c r="AP299" s="17">
        <v>40.65</v>
      </c>
      <c r="AQ299" s="18">
        <v>39.049999999999997</v>
      </c>
      <c r="AR299" s="19">
        <v>39.849999999999994</v>
      </c>
      <c r="AS299" s="18">
        <v>41.43</v>
      </c>
      <c r="AT299" s="18">
        <v>40.07</v>
      </c>
      <c r="AU299" s="18">
        <v>40.75</v>
      </c>
      <c r="AV299" s="17">
        <v>21.29</v>
      </c>
      <c r="AW299" s="18">
        <v>20.689999999999998</v>
      </c>
      <c r="AX299" s="19">
        <v>20.99</v>
      </c>
      <c r="AY299" s="17">
        <v>4.59</v>
      </c>
      <c r="AZ299" s="18">
        <v>4.43</v>
      </c>
      <c r="BA299" s="19">
        <v>4.51</v>
      </c>
      <c r="BB299" s="17">
        <v>1.94</v>
      </c>
      <c r="BC299" s="23">
        <v>1.64</v>
      </c>
      <c r="BD299" s="24">
        <v>1.79</v>
      </c>
      <c r="BE299" s="18">
        <v>0.69</v>
      </c>
      <c r="BF299" s="23">
        <v>0.38999999999999996</v>
      </c>
      <c r="BG299" s="23">
        <v>0.53999999999999992</v>
      </c>
      <c r="BH299" s="17">
        <v>496.49</v>
      </c>
      <c r="BI299" s="18">
        <v>480.49</v>
      </c>
      <c r="BJ299" s="19">
        <v>488.49</v>
      </c>
      <c r="BK299" s="18">
        <v>41.74</v>
      </c>
      <c r="BL299" s="18">
        <v>40.380000000000003</v>
      </c>
      <c r="BM299" s="18">
        <v>41.06</v>
      </c>
      <c r="BN299" s="25">
        <v>1.0900000000000001</v>
      </c>
      <c r="BO299" s="23">
        <v>0.85000000000000009</v>
      </c>
      <c r="BP299" s="24">
        <v>0.97000000000000008</v>
      </c>
      <c r="BQ299" s="18">
        <v>8.51</v>
      </c>
      <c r="BR299" s="18">
        <v>6.51</v>
      </c>
      <c r="BS299" s="18">
        <v>7.51</v>
      </c>
      <c r="BT299" s="17">
        <v>11.12</v>
      </c>
      <c r="BU299" s="18">
        <v>10.719999999999999</v>
      </c>
      <c r="BV299" s="19">
        <v>10.919999999999998</v>
      </c>
      <c r="BW299" s="17">
        <v>2.76</v>
      </c>
      <c r="BX299" s="23">
        <v>2.4799999999999995</v>
      </c>
      <c r="BY299" s="24">
        <v>2.6199999999999997</v>
      </c>
      <c r="BZ299" s="17">
        <v>9.98</v>
      </c>
      <c r="CA299" s="18">
        <v>6.98</v>
      </c>
      <c r="CB299" s="19">
        <v>8.48</v>
      </c>
      <c r="CC299" s="17">
        <v>6.56</v>
      </c>
      <c r="CD299" s="18">
        <v>6.3199999999999994</v>
      </c>
      <c r="CE299" s="19">
        <v>6.4399999999999995</v>
      </c>
      <c r="CF299" s="17">
        <v>1.79</v>
      </c>
      <c r="CG299" s="18">
        <v>1.29</v>
      </c>
      <c r="CH299" s="19">
        <v>1.54</v>
      </c>
      <c r="CI299" s="17">
        <v>0.43</v>
      </c>
      <c r="CJ299" s="18">
        <v>0.39</v>
      </c>
      <c r="CK299" s="19">
        <v>0.41000000000000003</v>
      </c>
      <c r="CL299" s="17">
        <v>38.92</v>
      </c>
      <c r="CM299">
        <v>36.520000000000003</v>
      </c>
      <c r="CN299">
        <v>37.72</v>
      </c>
      <c r="CO299">
        <v>6.86</v>
      </c>
      <c r="CP299">
        <v>1.8600000000000003</v>
      </c>
      <c r="CQ299">
        <v>4.3600000000000003</v>
      </c>
    </row>
    <row r="300" spans="1:95">
      <c r="A300" s="223">
        <v>45587</v>
      </c>
      <c r="B300" s="16" t="s">
        <v>97</v>
      </c>
      <c r="C300" s="18">
        <v>151.74</v>
      </c>
      <c r="D300" s="18">
        <v>149.74</v>
      </c>
      <c r="E300" s="18">
        <v>150.74</v>
      </c>
      <c r="F300" s="17">
        <v>164.56</v>
      </c>
      <c r="G300" s="18">
        <v>161.56</v>
      </c>
      <c r="H300" s="19">
        <v>163.06</v>
      </c>
      <c r="I300" s="18">
        <v>110.57</v>
      </c>
      <c r="J300" s="18">
        <v>107.36999999999999</v>
      </c>
      <c r="K300" s="18">
        <v>108.97</v>
      </c>
      <c r="L300" s="17">
        <v>199.74</v>
      </c>
      <c r="M300" s="18">
        <v>191.74</v>
      </c>
      <c r="N300" s="19">
        <v>195.74</v>
      </c>
      <c r="O300" s="18">
        <v>175.07</v>
      </c>
      <c r="P300" s="18">
        <v>173.26999999999998</v>
      </c>
      <c r="Q300" s="18">
        <v>174.17</v>
      </c>
      <c r="R300" s="17">
        <v>22.16</v>
      </c>
      <c r="S300" s="18">
        <v>21.56</v>
      </c>
      <c r="T300" s="19">
        <v>21.86</v>
      </c>
      <c r="U300" s="17">
        <v>14.06</v>
      </c>
      <c r="V300" s="18">
        <v>13.46</v>
      </c>
      <c r="W300" s="19">
        <v>13.760000000000002</v>
      </c>
      <c r="X300" s="17">
        <v>14.68</v>
      </c>
      <c r="Y300" s="18">
        <v>13.879999999999999</v>
      </c>
      <c r="Z300" s="19">
        <v>14.28</v>
      </c>
      <c r="AA300" s="17">
        <v>102.39</v>
      </c>
      <c r="AB300" s="18">
        <v>98.39</v>
      </c>
      <c r="AC300" s="19">
        <v>100.39</v>
      </c>
      <c r="AD300" s="18">
        <v>92.9</v>
      </c>
      <c r="AE300" s="18">
        <v>88.9</v>
      </c>
      <c r="AF300" s="18">
        <v>90.9</v>
      </c>
      <c r="AG300" s="17">
        <v>19.82</v>
      </c>
      <c r="AH300" s="18">
        <v>18.96</v>
      </c>
      <c r="AI300" s="19">
        <v>19.39</v>
      </c>
      <c r="AJ300" s="20"/>
      <c r="AK300" s="21"/>
      <c r="AL300" s="22"/>
      <c r="AM300" s="17">
        <v>115.37</v>
      </c>
      <c r="AN300" s="18">
        <v>113.71000000000001</v>
      </c>
      <c r="AO300" s="19">
        <v>114.54</v>
      </c>
      <c r="AP300" s="17">
        <v>41</v>
      </c>
      <c r="AQ300" s="18">
        <v>39.4</v>
      </c>
      <c r="AR300" s="19">
        <v>40.200000000000003</v>
      </c>
      <c r="AS300" s="18">
        <v>41.79</v>
      </c>
      <c r="AT300" s="18">
        <v>40.43</v>
      </c>
      <c r="AU300" s="18">
        <v>41.11</v>
      </c>
      <c r="AV300" s="17">
        <v>21.42</v>
      </c>
      <c r="AW300" s="18">
        <v>20.82</v>
      </c>
      <c r="AX300" s="19">
        <v>21.12</v>
      </c>
      <c r="AY300" s="17">
        <v>4.58</v>
      </c>
      <c r="AZ300" s="18">
        <v>4.42</v>
      </c>
      <c r="BA300" s="19">
        <v>4.5</v>
      </c>
      <c r="BB300" s="17">
        <v>1.95</v>
      </c>
      <c r="BC300" s="23">
        <v>1.65</v>
      </c>
      <c r="BD300" s="24">
        <v>1.7999999999999998</v>
      </c>
      <c r="BE300" s="17">
        <v>0.7</v>
      </c>
      <c r="BF300" s="23">
        <v>0.39999999999999997</v>
      </c>
      <c r="BG300" s="24">
        <v>0.54999999999999993</v>
      </c>
      <c r="BH300" s="17">
        <v>500.78</v>
      </c>
      <c r="BI300" s="18">
        <v>484.78</v>
      </c>
      <c r="BJ300" s="19">
        <v>492.78</v>
      </c>
      <c r="BK300" s="18">
        <v>42.09</v>
      </c>
      <c r="BL300" s="18">
        <v>40.730000000000004</v>
      </c>
      <c r="BM300" s="18">
        <v>41.410000000000004</v>
      </c>
      <c r="BN300" s="25">
        <v>1.1000000000000001</v>
      </c>
      <c r="BO300" s="23">
        <v>0.8600000000000001</v>
      </c>
      <c r="BP300" s="24">
        <v>0.98000000000000009</v>
      </c>
      <c r="BQ300" s="18">
        <v>8.5500000000000007</v>
      </c>
      <c r="BR300" s="18">
        <v>6.5500000000000007</v>
      </c>
      <c r="BS300" s="18">
        <v>7.5500000000000007</v>
      </c>
      <c r="BT300" s="17">
        <v>11.12</v>
      </c>
      <c r="BU300" s="18">
        <v>10.719999999999999</v>
      </c>
      <c r="BV300" s="19">
        <v>10.919999999999998</v>
      </c>
      <c r="BW300" s="17">
        <v>2.78</v>
      </c>
      <c r="BX300" s="23">
        <v>2.5</v>
      </c>
      <c r="BY300" s="24">
        <v>2.6399999999999997</v>
      </c>
      <c r="BZ300" s="17">
        <v>10.050000000000001</v>
      </c>
      <c r="CA300" s="18">
        <v>7.0500000000000007</v>
      </c>
      <c r="CB300" s="19">
        <v>8.5500000000000007</v>
      </c>
      <c r="CC300" s="17">
        <v>6.58</v>
      </c>
      <c r="CD300" s="18">
        <v>6.34</v>
      </c>
      <c r="CE300" s="19">
        <v>6.46</v>
      </c>
      <c r="CF300" s="18">
        <v>1.81</v>
      </c>
      <c r="CG300" s="18">
        <v>1.31</v>
      </c>
      <c r="CH300" s="18">
        <v>1.56</v>
      </c>
      <c r="CI300" s="17">
        <v>0.43</v>
      </c>
      <c r="CJ300" s="18">
        <v>0.39</v>
      </c>
      <c r="CK300" s="19">
        <v>0.41000000000000003</v>
      </c>
      <c r="CL300" s="17">
        <v>38.94</v>
      </c>
      <c r="CM300">
        <v>36.54</v>
      </c>
      <c r="CN300">
        <v>37.739999999999995</v>
      </c>
      <c r="CO300">
        <v>6.91</v>
      </c>
      <c r="CP300">
        <v>1.9100000000000001</v>
      </c>
      <c r="CQ300">
        <v>4.41</v>
      </c>
    </row>
    <row r="301" spans="1:95">
      <c r="A301" s="223">
        <v>45588</v>
      </c>
      <c r="B301" s="16" t="s">
        <v>98</v>
      </c>
      <c r="C301" s="17">
        <v>152.37</v>
      </c>
      <c r="D301" s="18">
        <v>150.37</v>
      </c>
      <c r="E301" s="19">
        <v>151.37</v>
      </c>
      <c r="F301" s="17">
        <v>165.01</v>
      </c>
      <c r="G301" s="18">
        <v>162.01</v>
      </c>
      <c r="H301" s="19">
        <v>163.51</v>
      </c>
      <c r="I301" s="17">
        <v>111.1</v>
      </c>
      <c r="J301" s="18">
        <v>107.89999999999999</v>
      </c>
      <c r="K301" s="19">
        <v>109.5</v>
      </c>
      <c r="L301" s="18">
        <v>200.48</v>
      </c>
      <c r="M301" s="18">
        <v>192.48</v>
      </c>
      <c r="N301" s="18">
        <v>196.48</v>
      </c>
      <c r="O301" s="17">
        <v>175.63</v>
      </c>
      <c r="P301" s="18">
        <v>173.82999999999998</v>
      </c>
      <c r="Q301" s="19">
        <v>174.73</v>
      </c>
      <c r="R301" s="18">
        <v>22.22</v>
      </c>
      <c r="S301" s="18">
        <v>21.619999999999997</v>
      </c>
      <c r="T301" s="18">
        <v>21.919999999999998</v>
      </c>
      <c r="U301" s="17">
        <v>14.16</v>
      </c>
      <c r="V301" s="18">
        <v>13.56</v>
      </c>
      <c r="W301" s="19">
        <v>13.86</v>
      </c>
      <c r="X301" s="17">
        <v>14.77</v>
      </c>
      <c r="Y301" s="18">
        <v>13.969999999999999</v>
      </c>
      <c r="Z301" s="19">
        <v>14.37</v>
      </c>
      <c r="AA301" s="17">
        <v>102.96</v>
      </c>
      <c r="AB301" s="18">
        <v>98.96</v>
      </c>
      <c r="AC301" s="19">
        <v>100.96</v>
      </c>
      <c r="AD301" s="17">
        <v>93.35</v>
      </c>
      <c r="AE301" s="18">
        <v>89.35</v>
      </c>
      <c r="AF301" s="19">
        <v>91.35</v>
      </c>
      <c r="AG301" s="18">
        <v>19.899999999999999</v>
      </c>
      <c r="AH301" s="18">
        <v>19.04</v>
      </c>
      <c r="AI301" s="18">
        <v>19.47</v>
      </c>
      <c r="AJ301" s="20"/>
      <c r="AK301" s="21"/>
      <c r="AL301" s="22"/>
      <c r="AM301" s="18">
        <v>115.73</v>
      </c>
      <c r="AN301" s="18">
        <v>114.07000000000001</v>
      </c>
      <c r="AO301" s="18">
        <v>114.9</v>
      </c>
      <c r="AP301" s="17">
        <v>41.18</v>
      </c>
      <c r="AQ301" s="18">
        <v>39.58</v>
      </c>
      <c r="AR301" s="19">
        <v>40.379999999999995</v>
      </c>
      <c r="AS301" s="18">
        <v>41.96</v>
      </c>
      <c r="AT301" s="18">
        <v>40.6</v>
      </c>
      <c r="AU301" s="18">
        <v>41.28</v>
      </c>
      <c r="AV301" s="17">
        <v>21.49</v>
      </c>
      <c r="AW301" s="18">
        <v>20.889999999999997</v>
      </c>
      <c r="AX301" s="19">
        <v>21.189999999999998</v>
      </c>
      <c r="AY301" s="17">
        <v>4.58</v>
      </c>
      <c r="AZ301" s="18">
        <v>4.42</v>
      </c>
      <c r="BA301" s="19">
        <v>4.5</v>
      </c>
      <c r="BB301" s="17">
        <v>1.96</v>
      </c>
      <c r="BC301" s="23">
        <v>1.66</v>
      </c>
      <c r="BD301" s="24">
        <v>1.81</v>
      </c>
      <c r="BE301" s="18">
        <v>0.7</v>
      </c>
      <c r="BF301" s="23">
        <v>0.39999999999999997</v>
      </c>
      <c r="BG301" s="23">
        <v>0.54999999999999993</v>
      </c>
      <c r="BH301" s="17">
        <v>502.67</v>
      </c>
      <c r="BI301" s="18">
        <v>486.67</v>
      </c>
      <c r="BJ301" s="19">
        <v>494.67</v>
      </c>
      <c r="BK301" s="18">
        <v>42.28</v>
      </c>
      <c r="BL301" s="18">
        <v>40.92</v>
      </c>
      <c r="BM301" s="18">
        <v>41.6</v>
      </c>
      <c r="BN301" s="25">
        <v>1.1000000000000001</v>
      </c>
      <c r="BO301" s="23">
        <v>0.8600000000000001</v>
      </c>
      <c r="BP301" s="24">
        <v>0.98000000000000009</v>
      </c>
      <c r="BQ301" s="18">
        <v>8.58</v>
      </c>
      <c r="BR301" s="18">
        <v>6.58</v>
      </c>
      <c r="BS301" s="18">
        <v>7.58</v>
      </c>
      <c r="BT301" s="17">
        <v>11.16</v>
      </c>
      <c r="BU301" s="18">
        <v>10.76</v>
      </c>
      <c r="BV301" s="19">
        <v>10.96</v>
      </c>
      <c r="BW301" s="17">
        <v>2.77</v>
      </c>
      <c r="BX301" s="23">
        <v>2.4900000000000002</v>
      </c>
      <c r="BY301" s="24">
        <v>2.63</v>
      </c>
      <c r="BZ301" s="17">
        <v>10.130000000000001</v>
      </c>
      <c r="CA301" s="18">
        <v>7.1300000000000008</v>
      </c>
      <c r="CB301" s="19">
        <v>8.6300000000000008</v>
      </c>
      <c r="CC301" s="17">
        <v>6.61</v>
      </c>
      <c r="CD301" s="18">
        <v>6.37</v>
      </c>
      <c r="CE301" s="19">
        <v>6.49</v>
      </c>
      <c r="CF301" s="17">
        <v>1.83</v>
      </c>
      <c r="CG301" s="18">
        <v>1.33</v>
      </c>
      <c r="CH301" s="19">
        <v>1.58</v>
      </c>
      <c r="CI301" s="17">
        <v>0.43</v>
      </c>
      <c r="CJ301" s="18">
        <v>0.39</v>
      </c>
      <c r="CK301" s="19">
        <v>0.41000000000000003</v>
      </c>
      <c r="CL301" s="17">
        <v>39.01</v>
      </c>
      <c r="CM301">
        <v>36.61</v>
      </c>
      <c r="CN301">
        <v>37.81</v>
      </c>
      <c r="CO301">
        <v>6.93</v>
      </c>
      <c r="CP301">
        <v>1.9299999999999997</v>
      </c>
      <c r="CQ301">
        <v>4.43</v>
      </c>
    </row>
    <row r="302" spans="1:95">
      <c r="A302" s="223">
        <v>45589</v>
      </c>
      <c r="B302" s="16" t="s">
        <v>99</v>
      </c>
      <c r="C302" s="17">
        <v>153.79</v>
      </c>
      <c r="D302" s="18">
        <v>151.79</v>
      </c>
      <c r="E302" s="19">
        <v>152.79</v>
      </c>
      <c r="F302" s="17">
        <v>166.33</v>
      </c>
      <c r="G302" s="18">
        <v>163.33000000000001</v>
      </c>
      <c r="H302" s="19">
        <v>164.83</v>
      </c>
      <c r="I302" s="17">
        <v>112.12</v>
      </c>
      <c r="J302" s="18">
        <v>108.92</v>
      </c>
      <c r="K302" s="19">
        <v>110.52000000000001</v>
      </c>
      <c r="L302" s="18">
        <v>201.51</v>
      </c>
      <c r="M302" s="18">
        <v>193.51</v>
      </c>
      <c r="N302" s="18">
        <v>197.51</v>
      </c>
      <c r="O302" s="17">
        <v>177.17</v>
      </c>
      <c r="P302" s="18">
        <v>175.36999999999998</v>
      </c>
      <c r="Q302" s="19">
        <v>176.26999999999998</v>
      </c>
      <c r="R302" s="18">
        <v>22.4</v>
      </c>
      <c r="S302" s="18">
        <v>21.799999999999997</v>
      </c>
      <c r="T302" s="18">
        <v>22.099999999999998</v>
      </c>
      <c r="U302" s="17">
        <v>14.21</v>
      </c>
      <c r="V302" s="18">
        <v>13.610000000000001</v>
      </c>
      <c r="W302" s="19">
        <v>13.91</v>
      </c>
      <c r="X302" s="17">
        <v>14.82</v>
      </c>
      <c r="Y302" s="18">
        <v>14.02</v>
      </c>
      <c r="Z302" s="19">
        <v>14.42</v>
      </c>
      <c r="AA302" s="17">
        <v>103.42</v>
      </c>
      <c r="AB302" s="18">
        <v>99.42</v>
      </c>
      <c r="AC302" s="19">
        <v>101.42</v>
      </c>
      <c r="AD302" s="17">
        <v>93.86</v>
      </c>
      <c r="AE302" s="18">
        <v>89.86</v>
      </c>
      <c r="AF302" s="19">
        <v>91.86</v>
      </c>
      <c r="AG302" s="18">
        <v>20.100000000000001</v>
      </c>
      <c r="AH302" s="18">
        <v>19.240000000000002</v>
      </c>
      <c r="AI302" s="18">
        <v>19.670000000000002</v>
      </c>
      <c r="AJ302" s="20"/>
      <c r="AK302" s="21"/>
      <c r="AL302" s="22"/>
      <c r="AM302" s="18">
        <v>116.46</v>
      </c>
      <c r="AN302" s="18">
        <v>114.8</v>
      </c>
      <c r="AO302" s="18">
        <v>115.63</v>
      </c>
      <c r="AP302" s="17">
        <v>41.55</v>
      </c>
      <c r="AQ302" s="18">
        <v>39.949999999999996</v>
      </c>
      <c r="AR302" s="19">
        <v>40.75</v>
      </c>
      <c r="AS302" s="18">
        <v>42.35</v>
      </c>
      <c r="AT302" s="18">
        <v>40.99</v>
      </c>
      <c r="AU302" s="18">
        <v>41.67</v>
      </c>
      <c r="AV302" s="17">
        <v>21.73</v>
      </c>
      <c r="AW302" s="18">
        <v>21.13</v>
      </c>
      <c r="AX302" s="19">
        <v>21.43</v>
      </c>
      <c r="AY302" s="17">
        <v>4.6100000000000003</v>
      </c>
      <c r="AZ302" s="18">
        <v>4.45</v>
      </c>
      <c r="BA302" s="19">
        <v>4.53</v>
      </c>
      <c r="BB302" s="17">
        <v>1.98</v>
      </c>
      <c r="BC302" s="23">
        <v>1.68</v>
      </c>
      <c r="BD302" s="24">
        <v>1.83</v>
      </c>
      <c r="BE302" s="18">
        <v>0.7</v>
      </c>
      <c r="BF302" s="23">
        <v>0.39999999999999997</v>
      </c>
      <c r="BG302" s="23">
        <v>0.54999999999999993</v>
      </c>
      <c r="BH302" s="17">
        <v>507.31</v>
      </c>
      <c r="BI302" s="18">
        <v>491.31</v>
      </c>
      <c r="BJ302" s="19">
        <v>499.31</v>
      </c>
      <c r="BK302" s="18">
        <v>42.67</v>
      </c>
      <c r="BL302" s="18">
        <v>41.31</v>
      </c>
      <c r="BM302" s="18">
        <v>41.99</v>
      </c>
      <c r="BN302" s="25">
        <v>1.1000000000000001</v>
      </c>
      <c r="BO302" s="23">
        <v>0.8600000000000001</v>
      </c>
      <c r="BP302" s="24">
        <v>0.98000000000000009</v>
      </c>
      <c r="BQ302" s="18">
        <v>8.7100000000000009</v>
      </c>
      <c r="BR302" s="18">
        <v>6.7100000000000009</v>
      </c>
      <c r="BS302" s="18">
        <v>7.7100000000000009</v>
      </c>
      <c r="BT302" s="17">
        <v>11.28</v>
      </c>
      <c r="BU302" s="18">
        <v>10.879999999999999</v>
      </c>
      <c r="BV302" s="19">
        <v>11.079999999999998</v>
      </c>
      <c r="BW302" s="17">
        <v>2.79</v>
      </c>
      <c r="BX302" s="23">
        <v>2.5099999999999998</v>
      </c>
      <c r="BY302" s="24">
        <v>2.65</v>
      </c>
      <c r="BZ302" s="17">
        <v>10.09</v>
      </c>
      <c r="CA302" s="18">
        <v>7.09</v>
      </c>
      <c r="CB302" s="19">
        <v>8.59</v>
      </c>
      <c r="CC302" s="17">
        <v>6.65</v>
      </c>
      <c r="CD302" s="18">
        <v>6.41</v>
      </c>
      <c r="CE302" s="19">
        <v>6.53</v>
      </c>
      <c r="CF302" s="17">
        <v>1.84</v>
      </c>
      <c r="CG302" s="18">
        <v>1.34</v>
      </c>
      <c r="CH302" s="19">
        <v>1.59</v>
      </c>
      <c r="CI302" s="17">
        <v>0.43</v>
      </c>
      <c r="CJ302" s="18">
        <v>0.39</v>
      </c>
      <c r="CK302" s="19">
        <v>0.41000000000000003</v>
      </c>
      <c r="CL302" s="17">
        <v>39.15</v>
      </c>
      <c r="CM302">
        <v>36.75</v>
      </c>
      <c r="CN302">
        <v>37.950000000000003</v>
      </c>
      <c r="CO302">
        <v>6.97</v>
      </c>
      <c r="CP302">
        <v>1.9699999999999998</v>
      </c>
      <c r="CQ302">
        <v>4.47</v>
      </c>
    </row>
    <row r="303" spans="1:95">
      <c r="A303" s="223">
        <v>45590</v>
      </c>
      <c r="B303" s="16" t="s">
        <v>100</v>
      </c>
      <c r="C303" s="17">
        <v>153.16</v>
      </c>
      <c r="D303" s="18">
        <v>151.16</v>
      </c>
      <c r="E303" s="19">
        <v>152.16</v>
      </c>
      <c r="F303" s="17">
        <v>166.17</v>
      </c>
      <c r="G303" s="18">
        <v>163.16999999999999</v>
      </c>
      <c r="H303" s="19">
        <v>164.67</v>
      </c>
      <c r="I303" s="17">
        <v>111.43</v>
      </c>
      <c r="J303" s="18">
        <v>108.23</v>
      </c>
      <c r="K303" s="19">
        <v>109.83000000000001</v>
      </c>
      <c r="L303" s="18">
        <v>201.34</v>
      </c>
      <c r="M303" s="18">
        <v>193.34</v>
      </c>
      <c r="N303" s="18">
        <v>197.34</v>
      </c>
      <c r="O303" s="17">
        <v>176.52</v>
      </c>
      <c r="P303" s="18">
        <v>174.72</v>
      </c>
      <c r="Q303" s="19">
        <v>175.62</v>
      </c>
      <c r="R303" s="18">
        <v>22.37</v>
      </c>
      <c r="S303" s="18">
        <v>21.77</v>
      </c>
      <c r="T303" s="18">
        <v>22.07</v>
      </c>
      <c r="U303" s="17">
        <v>14.21</v>
      </c>
      <c r="V303" s="18">
        <v>13.610000000000001</v>
      </c>
      <c r="W303" s="19">
        <v>13.91</v>
      </c>
      <c r="X303" s="17">
        <v>14.79</v>
      </c>
      <c r="Y303" s="18">
        <v>13.989999999999998</v>
      </c>
      <c r="Z303" s="19">
        <v>14.389999999999999</v>
      </c>
      <c r="AA303" s="17">
        <v>102.91</v>
      </c>
      <c r="AB303" s="18">
        <v>98.91</v>
      </c>
      <c r="AC303" s="19">
        <v>100.91</v>
      </c>
      <c r="AD303" s="17">
        <v>93.37</v>
      </c>
      <c r="AE303" s="18">
        <v>89.37</v>
      </c>
      <c r="AF303" s="19">
        <v>91.37</v>
      </c>
      <c r="AG303" s="18">
        <v>20.010000000000002</v>
      </c>
      <c r="AH303" s="18">
        <v>19.150000000000002</v>
      </c>
      <c r="AI303" s="18">
        <v>19.580000000000002</v>
      </c>
      <c r="AJ303" s="20"/>
      <c r="AK303" s="21"/>
      <c r="AL303" s="22"/>
      <c r="AM303" s="18">
        <v>116.18</v>
      </c>
      <c r="AN303" s="18">
        <v>114.52000000000001</v>
      </c>
      <c r="AO303" s="18">
        <v>115.35000000000001</v>
      </c>
      <c r="AP303" s="17">
        <v>41.38</v>
      </c>
      <c r="AQ303" s="18">
        <v>39.78</v>
      </c>
      <c r="AR303" s="19">
        <v>40.58</v>
      </c>
      <c r="AS303" s="18">
        <v>42.17</v>
      </c>
      <c r="AT303" s="18">
        <v>40.81</v>
      </c>
      <c r="AU303" s="18">
        <v>41.49</v>
      </c>
      <c r="AV303" s="17">
        <v>21.65</v>
      </c>
      <c r="AW303" s="18">
        <v>21.049999999999997</v>
      </c>
      <c r="AX303" s="19">
        <v>21.349999999999998</v>
      </c>
      <c r="AY303" s="17">
        <v>4.6100000000000003</v>
      </c>
      <c r="AZ303" s="18">
        <v>4.45</v>
      </c>
      <c r="BA303" s="19">
        <v>4.53</v>
      </c>
      <c r="BB303" s="17">
        <v>1.97</v>
      </c>
      <c r="BC303" s="23">
        <v>1.67</v>
      </c>
      <c r="BD303" s="24">
        <v>1.8199999999999998</v>
      </c>
      <c r="BE303" s="18">
        <v>0.7</v>
      </c>
      <c r="BF303" s="23">
        <v>0.39999999999999997</v>
      </c>
      <c r="BG303" s="23">
        <v>0.54999999999999993</v>
      </c>
      <c r="BH303" s="17">
        <v>505.74</v>
      </c>
      <c r="BI303" s="18">
        <v>489.74</v>
      </c>
      <c r="BJ303" s="19">
        <v>497.74</v>
      </c>
      <c r="BK303" s="18">
        <v>42.49</v>
      </c>
      <c r="BL303" s="18">
        <v>41.13</v>
      </c>
      <c r="BM303" s="18">
        <v>41.81</v>
      </c>
      <c r="BN303" s="25">
        <v>1.1000000000000001</v>
      </c>
      <c r="BO303" s="23">
        <v>0.8600000000000001</v>
      </c>
      <c r="BP303" s="24">
        <v>0.98000000000000009</v>
      </c>
      <c r="BQ303" s="18">
        <v>8.68</v>
      </c>
      <c r="BR303" s="18">
        <v>6.68</v>
      </c>
      <c r="BS303" s="18">
        <v>7.68</v>
      </c>
      <c r="BT303" s="17">
        <v>11.24</v>
      </c>
      <c r="BU303" s="18">
        <v>10.84</v>
      </c>
      <c r="BV303" s="19">
        <v>11.04</v>
      </c>
      <c r="BW303" s="17">
        <v>2.79</v>
      </c>
      <c r="BX303" s="23">
        <v>2.5099999999999998</v>
      </c>
      <c r="BY303" s="24">
        <v>2.65</v>
      </c>
      <c r="BZ303" s="17">
        <v>10.11</v>
      </c>
      <c r="CA303" s="18">
        <v>7.1099999999999994</v>
      </c>
      <c r="CB303" s="19">
        <v>8.61</v>
      </c>
      <c r="CC303" s="17">
        <v>6.66</v>
      </c>
      <c r="CD303" s="18">
        <v>6.42</v>
      </c>
      <c r="CE303" s="19">
        <v>6.54</v>
      </c>
      <c r="CF303" s="17">
        <v>1.83</v>
      </c>
      <c r="CG303" s="18">
        <v>1.33</v>
      </c>
      <c r="CH303" s="19">
        <v>1.58</v>
      </c>
      <c r="CI303" s="17">
        <v>0.43</v>
      </c>
      <c r="CJ303" s="18">
        <v>0.39</v>
      </c>
      <c r="CK303" s="19">
        <v>0.41000000000000003</v>
      </c>
      <c r="CL303" s="17">
        <v>39.130000000000003</v>
      </c>
      <c r="CM303">
        <v>36.730000000000004</v>
      </c>
      <c r="CN303">
        <v>37.930000000000007</v>
      </c>
      <c r="CO303">
        <v>6.95</v>
      </c>
      <c r="CP303">
        <v>1.9500000000000002</v>
      </c>
      <c r="CQ303">
        <v>4.45</v>
      </c>
    </row>
    <row r="304" spans="1:95">
      <c r="A304" s="223">
        <v>45591</v>
      </c>
      <c r="B304" s="16" t="s">
        <v>307</v>
      </c>
      <c r="C304" s="18"/>
      <c r="D304" s="18"/>
      <c r="E304" s="18"/>
      <c r="F304" s="17"/>
      <c r="G304" s="18"/>
      <c r="H304" s="19"/>
      <c r="I304" s="18"/>
      <c r="J304" s="18"/>
      <c r="K304" s="18"/>
      <c r="L304" s="17"/>
      <c r="M304" s="18"/>
      <c r="N304" s="19"/>
      <c r="O304" s="18"/>
      <c r="P304" s="18"/>
      <c r="Q304" s="18"/>
      <c r="R304" s="17"/>
      <c r="S304" s="18"/>
      <c r="T304" s="19"/>
      <c r="U304" s="17"/>
      <c r="V304" s="18"/>
      <c r="W304" s="19"/>
      <c r="X304" s="17"/>
      <c r="Y304" s="18"/>
      <c r="Z304" s="19"/>
      <c r="AA304" s="17"/>
      <c r="AB304" s="18"/>
      <c r="AC304" s="19"/>
      <c r="AD304" s="18"/>
      <c r="AE304" s="18"/>
      <c r="AF304" s="18"/>
      <c r="AG304" s="17"/>
      <c r="AH304" s="18"/>
      <c r="AI304" s="19"/>
      <c r="AJ304" s="20"/>
      <c r="AK304" s="21"/>
      <c r="AL304" s="22"/>
      <c r="AM304" s="17"/>
      <c r="AN304" s="18"/>
      <c r="AO304" s="19"/>
      <c r="AP304" s="17"/>
      <c r="AQ304" s="18"/>
      <c r="AR304" s="19"/>
      <c r="AS304" s="18"/>
      <c r="AT304" s="18"/>
      <c r="AU304" s="18"/>
      <c r="AV304" s="17"/>
      <c r="AW304" s="18"/>
      <c r="AX304" s="19"/>
      <c r="AY304" s="17"/>
      <c r="AZ304" s="18"/>
      <c r="BA304" s="19"/>
      <c r="BB304" s="17"/>
      <c r="BC304" s="23"/>
      <c r="BD304" s="24"/>
      <c r="BE304" s="17"/>
      <c r="BF304" s="23"/>
      <c r="BG304" s="24"/>
      <c r="BH304" s="17"/>
      <c r="BI304" s="18"/>
      <c r="BJ304" s="19"/>
      <c r="BK304" s="18"/>
      <c r="BL304" s="18"/>
      <c r="BM304" s="18"/>
      <c r="BN304" s="25"/>
      <c r="BO304" s="23"/>
      <c r="BP304" s="24"/>
      <c r="BQ304" s="18"/>
      <c r="BR304" s="18"/>
      <c r="BS304" s="18"/>
      <c r="BT304" s="17"/>
      <c r="BU304" s="18"/>
      <c r="BV304" s="19"/>
      <c r="BW304" s="17"/>
      <c r="BX304" s="23"/>
      <c r="BY304" s="24"/>
      <c r="BZ304" s="17"/>
      <c r="CA304" s="18"/>
      <c r="CB304" s="19"/>
      <c r="CC304" s="17"/>
      <c r="CD304" s="18"/>
      <c r="CE304" s="19"/>
      <c r="CF304" s="18"/>
      <c r="CG304" s="18"/>
      <c r="CH304" s="18"/>
      <c r="CI304" s="17"/>
      <c r="CJ304" s="18"/>
      <c r="CK304" s="19"/>
      <c r="CL304" s="17"/>
    </row>
    <row r="305" spans="1:95">
      <c r="A305" s="223">
        <v>45592</v>
      </c>
      <c r="B305" s="16" t="s">
        <v>308</v>
      </c>
      <c r="C305" s="17"/>
      <c r="D305" s="18"/>
      <c r="E305" s="19"/>
      <c r="F305" s="17"/>
      <c r="G305" s="18"/>
      <c r="H305" s="19"/>
      <c r="I305" s="17"/>
      <c r="J305" s="18"/>
      <c r="K305" s="19"/>
      <c r="L305" s="18"/>
      <c r="M305" s="18"/>
      <c r="N305" s="18"/>
      <c r="O305" s="17"/>
      <c r="P305" s="18"/>
      <c r="Q305" s="19"/>
      <c r="R305" s="18"/>
      <c r="S305" s="18"/>
      <c r="T305" s="18"/>
      <c r="U305" s="17"/>
      <c r="V305" s="18"/>
      <c r="W305" s="19"/>
      <c r="X305" s="17"/>
      <c r="Y305" s="18"/>
      <c r="Z305" s="19"/>
      <c r="AA305" s="17"/>
      <c r="AB305" s="18"/>
      <c r="AC305" s="19"/>
      <c r="AD305" s="17"/>
      <c r="AE305" s="18"/>
      <c r="AF305" s="19"/>
      <c r="AG305" s="18"/>
      <c r="AH305" s="18"/>
      <c r="AI305" s="18"/>
      <c r="AJ305" s="20"/>
      <c r="AK305" s="21"/>
      <c r="AL305" s="22"/>
      <c r="AM305" s="18"/>
      <c r="AN305" s="18"/>
      <c r="AO305" s="18"/>
      <c r="AP305" s="17"/>
      <c r="AQ305" s="18"/>
      <c r="AR305" s="19"/>
      <c r="AS305" s="18"/>
      <c r="AT305" s="18"/>
      <c r="AU305" s="18"/>
      <c r="AV305" s="17"/>
      <c r="AW305" s="18"/>
      <c r="AX305" s="19"/>
      <c r="AY305" s="17"/>
      <c r="AZ305" s="18"/>
      <c r="BA305" s="19"/>
      <c r="BB305" s="17"/>
      <c r="BC305" s="23"/>
      <c r="BD305" s="24"/>
      <c r="BE305" s="18"/>
      <c r="BF305" s="23"/>
      <c r="BG305" s="23"/>
      <c r="BH305" s="17"/>
      <c r="BI305" s="18"/>
      <c r="BJ305" s="19"/>
      <c r="BK305" s="18"/>
      <c r="BL305" s="18"/>
      <c r="BM305" s="18"/>
      <c r="BN305" s="25"/>
      <c r="BO305" s="23"/>
      <c r="BP305" s="24"/>
      <c r="BQ305" s="18"/>
      <c r="BR305" s="18"/>
      <c r="BS305" s="18"/>
      <c r="BT305" s="17"/>
      <c r="BU305" s="18"/>
      <c r="BV305" s="19"/>
      <c r="BW305" s="17"/>
      <c r="BX305" s="23"/>
      <c r="BY305" s="24"/>
      <c r="BZ305" s="17"/>
      <c r="CA305" s="18"/>
      <c r="CB305" s="19"/>
      <c r="CC305" s="17"/>
      <c r="CD305" s="18"/>
      <c r="CE305" s="19"/>
      <c r="CF305" s="17"/>
      <c r="CG305" s="18"/>
      <c r="CH305" s="19"/>
      <c r="CI305" s="17"/>
      <c r="CJ305" s="18"/>
      <c r="CK305" s="19"/>
      <c r="CL305" s="17"/>
    </row>
    <row r="306" spans="1:95">
      <c r="A306" s="223">
        <v>45593</v>
      </c>
      <c r="B306" s="16" t="s">
        <v>96</v>
      </c>
      <c r="C306" s="17">
        <v>154.44999999999999</v>
      </c>
      <c r="D306" s="18">
        <v>152.44999999999999</v>
      </c>
      <c r="E306" s="19">
        <v>153.44999999999999</v>
      </c>
      <c r="F306" s="17">
        <v>167.15</v>
      </c>
      <c r="G306" s="18">
        <v>164.15</v>
      </c>
      <c r="H306" s="19">
        <v>165.65</v>
      </c>
      <c r="I306" s="17">
        <v>112.08</v>
      </c>
      <c r="J306" s="18">
        <v>108.88</v>
      </c>
      <c r="K306" s="19">
        <v>110.47999999999999</v>
      </c>
      <c r="L306" s="18">
        <v>202.92</v>
      </c>
      <c r="M306" s="18">
        <v>194.92</v>
      </c>
      <c r="N306" s="18">
        <v>198.92</v>
      </c>
      <c r="O306" s="17">
        <v>177.38</v>
      </c>
      <c r="P306" s="18">
        <v>175.57999999999998</v>
      </c>
      <c r="Q306" s="19">
        <v>176.48</v>
      </c>
      <c r="R306" s="18">
        <v>22.5</v>
      </c>
      <c r="S306" s="18">
        <v>21.9</v>
      </c>
      <c r="T306" s="18">
        <v>22.2</v>
      </c>
      <c r="U306" s="17">
        <v>14.25</v>
      </c>
      <c r="V306" s="18">
        <v>13.65</v>
      </c>
      <c r="W306" s="19">
        <v>13.95</v>
      </c>
      <c r="X306" s="17">
        <v>14.84</v>
      </c>
      <c r="Y306" s="18">
        <v>14.04</v>
      </c>
      <c r="Z306" s="19">
        <v>14.44</v>
      </c>
      <c r="AA306" s="17">
        <v>103.35</v>
      </c>
      <c r="AB306" s="18">
        <v>99.35</v>
      </c>
      <c r="AC306" s="19">
        <v>101.35</v>
      </c>
      <c r="AD306" s="17">
        <v>93.69</v>
      </c>
      <c r="AE306" s="18">
        <v>89.69</v>
      </c>
      <c r="AF306" s="19">
        <v>91.69</v>
      </c>
      <c r="AG306" s="18">
        <v>20.170000000000002</v>
      </c>
      <c r="AH306" s="18">
        <v>19.310000000000002</v>
      </c>
      <c r="AI306" s="18">
        <v>19.740000000000002</v>
      </c>
      <c r="AJ306" s="20"/>
      <c r="AK306" s="21"/>
      <c r="AL306" s="22"/>
      <c r="AM306" s="18">
        <v>116.76</v>
      </c>
      <c r="AN306" s="18">
        <v>115.10000000000001</v>
      </c>
      <c r="AO306" s="18">
        <v>115.93</v>
      </c>
      <c r="AP306" s="17">
        <v>41.74</v>
      </c>
      <c r="AQ306" s="18">
        <v>40.14</v>
      </c>
      <c r="AR306" s="19">
        <v>40.94</v>
      </c>
      <c r="AS306" s="18">
        <v>42.53</v>
      </c>
      <c r="AT306" s="18">
        <v>41.17</v>
      </c>
      <c r="AU306" s="18">
        <v>41.85</v>
      </c>
      <c r="AV306" s="17">
        <v>21.77</v>
      </c>
      <c r="AW306" s="18">
        <v>21.169999999999998</v>
      </c>
      <c r="AX306" s="19">
        <v>21.47</v>
      </c>
      <c r="AY306" s="17">
        <v>4.62</v>
      </c>
      <c r="AZ306" s="18">
        <v>4.46</v>
      </c>
      <c r="BA306" s="19">
        <v>4.54</v>
      </c>
      <c r="BB306" s="17">
        <v>1.98</v>
      </c>
      <c r="BC306" s="23">
        <v>1.68</v>
      </c>
      <c r="BD306" s="24">
        <v>1.83</v>
      </c>
      <c r="BE306" s="18">
        <v>0.7</v>
      </c>
      <c r="BF306" s="23">
        <v>0.39999999999999997</v>
      </c>
      <c r="BG306" s="23">
        <v>0.54999999999999993</v>
      </c>
      <c r="BH306" s="17">
        <v>509.31</v>
      </c>
      <c r="BI306" s="18">
        <v>493.31</v>
      </c>
      <c r="BJ306" s="19">
        <v>501.31</v>
      </c>
      <c r="BK306" s="18">
        <v>42.84</v>
      </c>
      <c r="BL306" s="18">
        <v>41.480000000000004</v>
      </c>
      <c r="BM306" s="18">
        <v>42.160000000000004</v>
      </c>
      <c r="BN306" s="25">
        <v>1.1000000000000001</v>
      </c>
      <c r="BO306" s="23">
        <v>0.8600000000000001</v>
      </c>
      <c r="BP306" s="24">
        <v>0.98000000000000009</v>
      </c>
      <c r="BQ306" s="18">
        <v>8.69</v>
      </c>
      <c r="BR306" s="18">
        <v>6.6899999999999995</v>
      </c>
      <c r="BS306" s="18">
        <v>7.6899999999999995</v>
      </c>
      <c r="BT306" s="17">
        <v>11.27</v>
      </c>
      <c r="BU306" s="18">
        <v>10.87</v>
      </c>
      <c r="BV306" s="19">
        <v>11.07</v>
      </c>
      <c r="BW306" s="17">
        <v>2.79</v>
      </c>
      <c r="BX306" s="23">
        <v>2.5099999999999998</v>
      </c>
      <c r="BY306" s="24">
        <v>2.65</v>
      </c>
      <c r="BZ306" s="17">
        <v>10.18</v>
      </c>
      <c r="CA306" s="18">
        <v>7.18</v>
      </c>
      <c r="CB306" s="19">
        <v>8.68</v>
      </c>
      <c r="CC306" s="17">
        <v>6.68</v>
      </c>
      <c r="CD306" s="18">
        <v>6.4399999999999995</v>
      </c>
      <c r="CE306" s="19">
        <v>6.56</v>
      </c>
      <c r="CF306" s="17">
        <v>1.83</v>
      </c>
      <c r="CG306" s="18">
        <v>1.33</v>
      </c>
      <c r="CH306" s="19">
        <v>1.58</v>
      </c>
      <c r="CI306" s="17">
        <v>0.43</v>
      </c>
      <c r="CJ306" s="18">
        <v>0.39</v>
      </c>
      <c r="CK306" s="19">
        <v>0.41000000000000003</v>
      </c>
      <c r="CL306" s="17">
        <v>39.340000000000003</v>
      </c>
      <c r="CM306">
        <v>36.940000000000005</v>
      </c>
      <c r="CN306">
        <v>38.14</v>
      </c>
      <c r="CO306">
        <v>6.98</v>
      </c>
      <c r="CP306">
        <v>1.9800000000000004</v>
      </c>
      <c r="CQ306">
        <v>4.4800000000000004</v>
      </c>
    </row>
    <row r="307" spans="1:95">
      <c r="A307" s="223">
        <v>45594</v>
      </c>
      <c r="B307" s="16" t="s">
        <v>97</v>
      </c>
      <c r="C307" s="17">
        <v>153.93</v>
      </c>
      <c r="D307" s="18">
        <v>151.93</v>
      </c>
      <c r="E307" s="19">
        <v>152.93</v>
      </c>
      <c r="F307" s="17">
        <v>166.85</v>
      </c>
      <c r="G307" s="18">
        <v>163.85</v>
      </c>
      <c r="H307" s="19">
        <v>165.35</v>
      </c>
      <c r="I307" s="17">
        <v>111.68</v>
      </c>
      <c r="J307" s="18">
        <v>108.48</v>
      </c>
      <c r="K307" s="19">
        <v>110.08000000000001</v>
      </c>
      <c r="L307" s="18">
        <v>202.46</v>
      </c>
      <c r="M307" s="18">
        <v>194.46</v>
      </c>
      <c r="N307" s="18">
        <v>198.46</v>
      </c>
      <c r="O307" s="17">
        <v>177.7</v>
      </c>
      <c r="P307" s="18">
        <v>175.89999999999998</v>
      </c>
      <c r="Q307" s="19">
        <v>176.79999999999998</v>
      </c>
      <c r="R307" s="18">
        <v>22.47</v>
      </c>
      <c r="S307" s="18">
        <v>21.869999999999997</v>
      </c>
      <c r="T307" s="18">
        <v>22.169999999999998</v>
      </c>
      <c r="U307" s="17">
        <v>14.21</v>
      </c>
      <c r="V307" s="18">
        <v>13.610000000000001</v>
      </c>
      <c r="W307" s="19">
        <v>13.91</v>
      </c>
      <c r="X307" s="17">
        <v>14.77</v>
      </c>
      <c r="Y307" s="18">
        <v>13.969999999999999</v>
      </c>
      <c r="Z307" s="19">
        <v>14.37</v>
      </c>
      <c r="AA307" s="17">
        <v>102.52</v>
      </c>
      <c r="AB307" s="18">
        <v>98.52</v>
      </c>
      <c r="AC307" s="19">
        <v>100.52</v>
      </c>
      <c r="AD307" s="17">
        <v>93.38</v>
      </c>
      <c r="AE307" s="18">
        <v>89.38</v>
      </c>
      <c r="AF307" s="19">
        <v>91.38</v>
      </c>
      <c r="AG307" s="18">
        <v>20.11</v>
      </c>
      <c r="AH307" s="18">
        <v>19.25</v>
      </c>
      <c r="AI307" s="18">
        <v>19.68</v>
      </c>
      <c r="AJ307" s="20"/>
      <c r="AK307" s="21"/>
      <c r="AL307" s="22"/>
      <c r="AM307" s="18">
        <v>116.41</v>
      </c>
      <c r="AN307" s="18">
        <v>114.75</v>
      </c>
      <c r="AO307" s="18">
        <v>115.58</v>
      </c>
      <c r="AP307" s="17">
        <v>41.59</v>
      </c>
      <c r="AQ307" s="18">
        <v>39.99</v>
      </c>
      <c r="AR307" s="19">
        <v>40.790000000000006</v>
      </c>
      <c r="AS307" s="18">
        <v>42.38</v>
      </c>
      <c r="AT307" s="18">
        <v>41.02</v>
      </c>
      <c r="AU307" s="18">
        <v>41.7</v>
      </c>
      <c r="AV307" s="17">
        <v>21.7</v>
      </c>
      <c r="AW307" s="18">
        <v>21.099999999999998</v>
      </c>
      <c r="AX307" s="19">
        <v>21.4</v>
      </c>
      <c r="AY307" s="17">
        <v>4.6100000000000003</v>
      </c>
      <c r="AZ307" s="18">
        <v>4.45</v>
      </c>
      <c r="BA307" s="19">
        <v>4.53</v>
      </c>
      <c r="BB307" s="17">
        <v>1.98</v>
      </c>
      <c r="BC307" s="23">
        <v>1.68</v>
      </c>
      <c r="BD307" s="24">
        <v>1.83</v>
      </c>
      <c r="BE307" s="18">
        <v>0.7</v>
      </c>
      <c r="BF307" s="23">
        <v>0.39999999999999997</v>
      </c>
      <c r="BG307" s="23">
        <v>0.54999999999999993</v>
      </c>
      <c r="BH307" s="17">
        <v>507.77</v>
      </c>
      <c r="BI307" s="18">
        <v>491.77</v>
      </c>
      <c r="BJ307" s="19">
        <v>499.77</v>
      </c>
      <c r="BK307" s="18">
        <v>42.71</v>
      </c>
      <c r="BL307" s="18">
        <v>41.35</v>
      </c>
      <c r="BM307" s="18">
        <v>42.03</v>
      </c>
      <c r="BN307" s="25">
        <v>1.1000000000000001</v>
      </c>
      <c r="BO307" s="23">
        <v>0.8600000000000001</v>
      </c>
      <c r="BP307" s="24">
        <v>0.98000000000000009</v>
      </c>
      <c r="BQ307" s="18">
        <v>8.6300000000000008</v>
      </c>
      <c r="BR307" s="18">
        <v>6.6300000000000008</v>
      </c>
      <c r="BS307" s="18">
        <v>7.6300000000000008</v>
      </c>
      <c r="BT307" s="17">
        <v>11.26</v>
      </c>
      <c r="BU307" s="18">
        <v>10.86</v>
      </c>
      <c r="BV307" s="19">
        <v>11.059999999999999</v>
      </c>
      <c r="BW307" s="17">
        <v>2.78</v>
      </c>
      <c r="BX307" s="23">
        <v>2.5</v>
      </c>
      <c r="BY307" s="24">
        <v>2.6399999999999997</v>
      </c>
      <c r="BZ307" s="17">
        <v>10.130000000000001</v>
      </c>
      <c r="CA307" s="18">
        <v>7.1300000000000008</v>
      </c>
      <c r="CB307" s="19">
        <v>8.6300000000000008</v>
      </c>
      <c r="CC307" s="17">
        <v>6.65</v>
      </c>
      <c r="CD307" s="18">
        <v>6.41</v>
      </c>
      <c r="CE307" s="19">
        <v>6.53</v>
      </c>
      <c r="CF307" s="17">
        <v>1.82</v>
      </c>
      <c r="CG307" s="18">
        <v>1.32</v>
      </c>
      <c r="CH307" s="19">
        <v>1.57</v>
      </c>
      <c r="CI307" s="17">
        <v>0.43</v>
      </c>
      <c r="CJ307" s="18">
        <v>0.39</v>
      </c>
      <c r="CK307" s="19">
        <v>0.41000000000000003</v>
      </c>
      <c r="CL307" s="17">
        <v>39.229999999999997</v>
      </c>
      <c r="CM307">
        <v>36.83</v>
      </c>
      <c r="CN307">
        <v>38.03</v>
      </c>
      <c r="CO307">
        <v>6.97</v>
      </c>
      <c r="CP307">
        <v>1.9699999999999998</v>
      </c>
      <c r="CQ307">
        <v>4.47</v>
      </c>
    </row>
    <row r="308" spans="1:95">
      <c r="A308" s="223">
        <v>45595</v>
      </c>
      <c r="B308" s="16" t="s">
        <v>98</v>
      </c>
      <c r="C308" s="17">
        <v>154.31</v>
      </c>
      <c r="D308" s="18">
        <v>152.31</v>
      </c>
      <c r="E308" s="19">
        <v>153.31</v>
      </c>
      <c r="F308" s="17">
        <v>167.43</v>
      </c>
      <c r="G308" s="18">
        <v>164.43</v>
      </c>
      <c r="H308" s="19">
        <v>165.93</v>
      </c>
      <c r="I308" s="17">
        <v>111.78</v>
      </c>
      <c r="J308" s="18">
        <v>108.58</v>
      </c>
      <c r="K308" s="19">
        <v>110.18</v>
      </c>
      <c r="L308" s="18">
        <v>203.53</v>
      </c>
      <c r="M308" s="18">
        <v>195.53</v>
      </c>
      <c r="N308" s="18">
        <v>199.53</v>
      </c>
      <c r="O308" s="17">
        <v>177.65</v>
      </c>
      <c r="P308" s="18">
        <v>175.85</v>
      </c>
      <c r="Q308" s="19">
        <v>176.75</v>
      </c>
      <c r="R308" s="18">
        <v>22.54</v>
      </c>
      <c r="S308" s="18">
        <v>21.939999999999998</v>
      </c>
      <c r="T308" s="18">
        <v>22.24</v>
      </c>
      <c r="U308" s="17">
        <v>14.3</v>
      </c>
      <c r="V308" s="18">
        <v>13.700000000000001</v>
      </c>
      <c r="W308" s="19">
        <v>14</v>
      </c>
      <c r="X308" s="17">
        <v>14.82</v>
      </c>
      <c r="Y308" s="18">
        <v>14.02</v>
      </c>
      <c r="Z308" s="19">
        <v>14.42</v>
      </c>
      <c r="AA308" s="17">
        <v>102.56</v>
      </c>
      <c r="AB308" s="18">
        <v>98.56</v>
      </c>
      <c r="AC308" s="19">
        <v>100.56</v>
      </c>
      <c r="AD308" s="17">
        <v>93.51</v>
      </c>
      <c r="AE308" s="18">
        <v>89.51</v>
      </c>
      <c r="AF308" s="19">
        <v>91.51</v>
      </c>
      <c r="AG308" s="18">
        <v>20.16</v>
      </c>
      <c r="AH308" s="18">
        <v>19.3</v>
      </c>
      <c r="AI308" s="18">
        <v>19.73</v>
      </c>
      <c r="AJ308" s="20"/>
      <c r="AK308" s="21"/>
      <c r="AL308" s="22"/>
      <c r="AM308" s="18">
        <v>116.61</v>
      </c>
      <c r="AN308" s="18">
        <v>114.95</v>
      </c>
      <c r="AO308" s="18">
        <v>115.78</v>
      </c>
      <c r="AP308" s="17">
        <v>41.7</v>
      </c>
      <c r="AQ308" s="18">
        <v>40.1</v>
      </c>
      <c r="AR308" s="19">
        <v>40.900000000000006</v>
      </c>
      <c r="AS308" s="18">
        <v>42.49</v>
      </c>
      <c r="AT308" s="18">
        <v>41.13</v>
      </c>
      <c r="AU308" s="18">
        <v>41.81</v>
      </c>
      <c r="AV308" s="17">
        <v>21.76</v>
      </c>
      <c r="AW308" s="18">
        <v>21.16</v>
      </c>
      <c r="AX308" s="19">
        <v>21.46</v>
      </c>
      <c r="AY308" s="17">
        <v>4.6399999999999997</v>
      </c>
      <c r="AZ308" s="18">
        <v>4.4799999999999995</v>
      </c>
      <c r="BA308" s="19">
        <v>4.5599999999999996</v>
      </c>
      <c r="BB308" s="17">
        <v>1.98</v>
      </c>
      <c r="BC308" s="23">
        <v>1.68</v>
      </c>
      <c r="BD308" s="24">
        <v>1.83</v>
      </c>
      <c r="BE308" s="18">
        <v>0.7</v>
      </c>
      <c r="BF308" s="23">
        <v>0.39999999999999997</v>
      </c>
      <c r="BG308" s="23">
        <v>0.54999999999999993</v>
      </c>
      <c r="BH308" s="17">
        <v>509.01</v>
      </c>
      <c r="BI308" s="18">
        <v>493.01</v>
      </c>
      <c r="BJ308" s="19">
        <v>501.01</v>
      </c>
      <c r="BK308" s="18">
        <v>42.81</v>
      </c>
      <c r="BL308" s="18">
        <v>41.45</v>
      </c>
      <c r="BM308" s="18">
        <v>42.13</v>
      </c>
      <c r="BN308" s="25">
        <v>1.1000000000000001</v>
      </c>
      <c r="BO308" s="23">
        <v>0.8600000000000001</v>
      </c>
      <c r="BP308" s="24">
        <v>0.98000000000000009</v>
      </c>
      <c r="BQ308" s="18">
        <v>8.65</v>
      </c>
      <c r="BR308" s="18">
        <v>6.65</v>
      </c>
      <c r="BS308" s="18">
        <v>7.65</v>
      </c>
      <c r="BT308" s="17">
        <v>11.28</v>
      </c>
      <c r="BU308" s="18">
        <v>10.879999999999999</v>
      </c>
      <c r="BV308" s="19">
        <v>11.079999999999998</v>
      </c>
      <c r="BW308" s="17">
        <v>2.79</v>
      </c>
      <c r="BX308" s="23">
        <v>2.5099999999999998</v>
      </c>
      <c r="BY308" s="24">
        <v>2.65</v>
      </c>
      <c r="BZ308" s="17">
        <v>10.18</v>
      </c>
      <c r="CA308" s="18">
        <v>7.18</v>
      </c>
      <c r="CB308" s="19">
        <v>8.68</v>
      </c>
      <c r="CC308" s="17">
        <v>6.67</v>
      </c>
      <c r="CD308" s="18">
        <v>6.43</v>
      </c>
      <c r="CE308" s="19">
        <v>6.55</v>
      </c>
      <c r="CF308" s="17">
        <v>1.82</v>
      </c>
      <c r="CG308" s="18">
        <v>1.32</v>
      </c>
      <c r="CH308" s="19">
        <v>1.57</v>
      </c>
      <c r="CI308" s="17">
        <v>0.43</v>
      </c>
      <c r="CJ308" s="18">
        <v>0.39</v>
      </c>
      <c r="CK308" s="19">
        <v>0.41000000000000003</v>
      </c>
      <c r="CL308" s="17">
        <v>39.450000000000003</v>
      </c>
      <c r="CM308">
        <v>37.050000000000004</v>
      </c>
      <c r="CN308">
        <v>38.25</v>
      </c>
      <c r="CO308">
        <v>6.98</v>
      </c>
      <c r="CP308">
        <v>1.9800000000000004</v>
      </c>
      <c r="CQ308">
        <v>4.4800000000000004</v>
      </c>
    </row>
    <row r="309" spans="1:95">
      <c r="A309" s="223">
        <v>45596</v>
      </c>
      <c r="B309" s="16" t="s">
        <v>99</v>
      </c>
      <c r="C309" s="18">
        <v>154.63999999999999</v>
      </c>
      <c r="D309" s="18">
        <v>152.63999999999999</v>
      </c>
      <c r="E309" s="18">
        <v>153.63999999999999</v>
      </c>
      <c r="F309" s="17">
        <v>168.23</v>
      </c>
      <c r="G309" s="18">
        <v>165.23</v>
      </c>
      <c r="H309" s="19">
        <v>166.73</v>
      </c>
      <c r="I309" s="18">
        <v>111.97</v>
      </c>
      <c r="J309" s="18">
        <v>108.77</v>
      </c>
      <c r="K309" s="18">
        <v>110.37</v>
      </c>
      <c r="L309" s="17">
        <v>203.01</v>
      </c>
      <c r="M309" s="18">
        <v>195.01</v>
      </c>
      <c r="N309" s="19">
        <v>199.01</v>
      </c>
      <c r="O309" s="18">
        <v>178.19</v>
      </c>
      <c r="P309" s="18">
        <v>176.39</v>
      </c>
      <c r="Q309" s="18">
        <v>177.29</v>
      </c>
      <c r="R309" s="17">
        <v>22.65</v>
      </c>
      <c r="S309" s="18">
        <v>22.049999999999997</v>
      </c>
      <c r="T309" s="19">
        <v>22.349999999999998</v>
      </c>
      <c r="U309" s="17">
        <v>14.31</v>
      </c>
      <c r="V309" s="18">
        <v>13.71</v>
      </c>
      <c r="W309" s="19">
        <v>14.010000000000002</v>
      </c>
      <c r="X309" s="17">
        <v>14.77</v>
      </c>
      <c r="Y309" s="18">
        <v>13.969999999999999</v>
      </c>
      <c r="Z309" s="19">
        <v>14.37</v>
      </c>
      <c r="AA309" s="17">
        <v>102.85</v>
      </c>
      <c r="AB309" s="18">
        <v>98.85</v>
      </c>
      <c r="AC309" s="19">
        <v>100.85</v>
      </c>
      <c r="AD309" s="18">
        <v>93.62</v>
      </c>
      <c r="AE309" s="18">
        <v>89.62</v>
      </c>
      <c r="AF309" s="18">
        <v>91.62</v>
      </c>
      <c r="AG309" s="17">
        <v>20.2</v>
      </c>
      <c r="AH309" s="18">
        <v>19.34</v>
      </c>
      <c r="AI309" s="19">
        <v>19.77</v>
      </c>
      <c r="AJ309" s="20"/>
      <c r="AK309" s="21"/>
      <c r="AL309" s="22"/>
      <c r="AM309" s="17">
        <v>116.96</v>
      </c>
      <c r="AN309" s="18">
        <v>115.3</v>
      </c>
      <c r="AO309" s="19">
        <v>116.13</v>
      </c>
      <c r="AP309" s="17">
        <v>41.77</v>
      </c>
      <c r="AQ309" s="18">
        <v>40.17</v>
      </c>
      <c r="AR309" s="19">
        <v>40.97</v>
      </c>
      <c r="AS309" s="18">
        <v>42.58</v>
      </c>
      <c r="AT309" s="18">
        <v>41.22</v>
      </c>
      <c r="AU309" s="18">
        <v>41.9</v>
      </c>
      <c r="AV309" s="17">
        <v>21.84</v>
      </c>
      <c r="AW309" s="18">
        <v>21.24</v>
      </c>
      <c r="AX309" s="19">
        <v>21.54</v>
      </c>
      <c r="AY309" s="17">
        <v>4.63</v>
      </c>
      <c r="AZ309" s="18">
        <v>4.47</v>
      </c>
      <c r="BA309" s="19">
        <v>4.55</v>
      </c>
      <c r="BB309" s="17">
        <v>1.99</v>
      </c>
      <c r="BC309" s="23">
        <v>1.69</v>
      </c>
      <c r="BD309" s="24">
        <v>1.8399999999999999</v>
      </c>
      <c r="BE309" s="17">
        <v>0.71</v>
      </c>
      <c r="BF309" s="23">
        <v>0.41</v>
      </c>
      <c r="BG309" s="24">
        <v>0.55999999999999994</v>
      </c>
      <c r="BH309" s="17">
        <v>510.09</v>
      </c>
      <c r="BI309" s="18">
        <v>494.09</v>
      </c>
      <c r="BJ309" s="19">
        <v>502.09</v>
      </c>
      <c r="BK309" s="18">
        <v>42.91</v>
      </c>
      <c r="BL309" s="18">
        <v>41.55</v>
      </c>
      <c r="BM309" s="18">
        <v>42.23</v>
      </c>
      <c r="BN309" s="25">
        <v>1.1000000000000001</v>
      </c>
      <c r="BO309" s="23">
        <v>0.8600000000000001</v>
      </c>
      <c r="BP309" s="24">
        <v>0.98000000000000009</v>
      </c>
      <c r="BQ309" s="18">
        <v>8.61</v>
      </c>
      <c r="BR309" s="18">
        <v>6.6099999999999994</v>
      </c>
      <c r="BS309" s="18">
        <v>7.6099999999999994</v>
      </c>
      <c r="BT309" s="17">
        <v>11.36</v>
      </c>
      <c r="BU309" s="18">
        <v>10.959999999999999</v>
      </c>
      <c r="BV309" s="19">
        <v>11.16</v>
      </c>
      <c r="BW309" s="17">
        <v>2.8</v>
      </c>
      <c r="BX309" s="23">
        <v>2.5199999999999996</v>
      </c>
      <c r="BY309" s="24">
        <v>2.6599999999999997</v>
      </c>
      <c r="BZ309" s="17">
        <v>10.19</v>
      </c>
      <c r="CA309" s="18">
        <v>7.1899999999999995</v>
      </c>
      <c r="CB309" s="19">
        <v>8.69</v>
      </c>
      <c r="CC309" s="17">
        <v>6.7</v>
      </c>
      <c r="CD309" s="18">
        <v>6.46</v>
      </c>
      <c r="CE309" s="19">
        <v>6.58</v>
      </c>
      <c r="CF309" s="18">
        <v>1.84</v>
      </c>
      <c r="CG309" s="18">
        <v>1.34</v>
      </c>
      <c r="CH309" s="18">
        <v>1.59</v>
      </c>
      <c r="CI309" s="17">
        <v>0.43</v>
      </c>
      <c r="CJ309" s="18">
        <v>0.39</v>
      </c>
      <c r="CK309" s="19">
        <v>0.41000000000000003</v>
      </c>
      <c r="CL309" s="17">
        <v>39.520000000000003</v>
      </c>
      <c r="CM309">
        <v>37.120000000000005</v>
      </c>
      <c r="CN309">
        <v>38.320000000000007</v>
      </c>
      <c r="CO309">
        <v>6.99</v>
      </c>
      <c r="CP309">
        <v>1.9900000000000002</v>
      </c>
      <c r="CQ309">
        <v>4.49</v>
      </c>
    </row>
    <row r="310" spans="1:95">
      <c r="A310" s="223">
        <v>45597</v>
      </c>
      <c r="B310" s="16" t="s">
        <v>100</v>
      </c>
      <c r="C310" s="17">
        <v>153.05000000000001</v>
      </c>
      <c r="D310" s="18">
        <v>151.05000000000001</v>
      </c>
      <c r="E310" s="19">
        <v>152.05000000000001</v>
      </c>
      <c r="F310" s="17">
        <v>167.01</v>
      </c>
      <c r="G310" s="18">
        <v>164.01</v>
      </c>
      <c r="H310" s="19">
        <v>165.51</v>
      </c>
      <c r="I310" s="17">
        <v>110.73</v>
      </c>
      <c r="J310" s="18">
        <v>107.53</v>
      </c>
      <c r="K310" s="19">
        <v>109.13</v>
      </c>
      <c r="L310" s="18">
        <v>200.08</v>
      </c>
      <c r="M310" s="18">
        <v>192.08</v>
      </c>
      <c r="N310" s="18">
        <v>196.08</v>
      </c>
      <c r="O310" s="17">
        <v>176.97</v>
      </c>
      <c r="P310" s="18">
        <v>175.17</v>
      </c>
      <c r="Q310" s="19">
        <v>176.07</v>
      </c>
      <c r="R310" s="18">
        <v>22.49</v>
      </c>
      <c r="S310" s="18">
        <v>21.889999999999997</v>
      </c>
      <c r="T310" s="18">
        <v>22.189999999999998</v>
      </c>
      <c r="U310" s="17">
        <v>14.12</v>
      </c>
      <c r="V310" s="18">
        <v>13.52</v>
      </c>
      <c r="W310" s="19">
        <v>13.82</v>
      </c>
      <c r="X310" s="17">
        <v>14.69</v>
      </c>
      <c r="Y310" s="18">
        <v>13.889999999999999</v>
      </c>
      <c r="Z310" s="19">
        <v>14.29</v>
      </c>
      <c r="AA310" s="17">
        <v>101.91</v>
      </c>
      <c r="AB310" s="18">
        <v>97.91</v>
      </c>
      <c r="AC310" s="19">
        <v>99.91</v>
      </c>
      <c r="AD310" s="17">
        <v>92.77</v>
      </c>
      <c r="AE310" s="18">
        <v>88.77</v>
      </c>
      <c r="AF310" s="19">
        <v>90.77</v>
      </c>
      <c r="AG310" s="18">
        <v>19.989999999999998</v>
      </c>
      <c r="AH310" s="18">
        <v>19.13</v>
      </c>
      <c r="AI310" s="18">
        <v>19.559999999999999</v>
      </c>
      <c r="AJ310" s="20"/>
      <c r="AK310" s="21"/>
      <c r="AL310" s="22"/>
      <c r="AM310" s="18">
        <v>115.99</v>
      </c>
      <c r="AN310" s="18">
        <v>114.33</v>
      </c>
      <c r="AO310" s="18">
        <v>115.16</v>
      </c>
      <c r="AP310" s="17">
        <v>41.37</v>
      </c>
      <c r="AQ310" s="18">
        <v>39.769999999999996</v>
      </c>
      <c r="AR310" s="19">
        <v>40.569999999999993</v>
      </c>
      <c r="AS310" s="18">
        <v>42.14</v>
      </c>
      <c r="AT310" s="18">
        <v>40.78</v>
      </c>
      <c r="AU310" s="18">
        <v>41.46</v>
      </c>
      <c r="AV310" s="17">
        <v>21.64</v>
      </c>
      <c r="AW310" s="18">
        <v>21.04</v>
      </c>
      <c r="AX310" s="19">
        <v>21.34</v>
      </c>
      <c r="AY310" s="17">
        <v>4.58</v>
      </c>
      <c r="AZ310" s="18">
        <v>4.42</v>
      </c>
      <c r="BA310" s="19">
        <v>4.5</v>
      </c>
      <c r="BB310" s="17">
        <v>1.97</v>
      </c>
      <c r="BC310" s="23">
        <v>1.67</v>
      </c>
      <c r="BD310" s="24">
        <v>1.8199999999999998</v>
      </c>
      <c r="BE310" s="18">
        <v>0.7</v>
      </c>
      <c r="BF310" s="23">
        <v>0.39999999999999997</v>
      </c>
      <c r="BG310" s="23">
        <v>0.54999999999999993</v>
      </c>
      <c r="BH310" s="17">
        <v>505.06</v>
      </c>
      <c r="BI310" s="18">
        <v>489.06</v>
      </c>
      <c r="BJ310" s="19">
        <v>497.06</v>
      </c>
      <c r="BK310" s="18">
        <v>42.46</v>
      </c>
      <c r="BL310" s="18">
        <v>41.1</v>
      </c>
      <c r="BM310" s="18">
        <v>41.78</v>
      </c>
      <c r="BN310" s="25">
        <v>1.0900000000000001</v>
      </c>
      <c r="BO310" s="23">
        <v>0.85000000000000009</v>
      </c>
      <c r="BP310" s="24">
        <v>0.97000000000000008</v>
      </c>
      <c r="BQ310" s="18">
        <v>8.58</v>
      </c>
      <c r="BR310" s="18">
        <v>6.58</v>
      </c>
      <c r="BS310" s="18">
        <v>7.58</v>
      </c>
      <c r="BT310" s="17">
        <v>11.27</v>
      </c>
      <c r="BU310" s="18">
        <v>10.87</v>
      </c>
      <c r="BV310" s="19">
        <v>11.07</v>
      </c>
      <c r="BW310" s="17">
        <v>2.78</v>
      </c>
      <c r="BX310" s="23">
        <v>2.5</v>
      </c>
      <c r="BY310" s="24">
        <v>2.6399999999999997</v>
      </c>
      <c r="BZ310" s="17">
        <v>10.130000000000001</v>
      </c>
      <c r="CA310" s="18">
        <v>7.1300000000000008</v>
      </c>
      <c r="CB310" s="19">
        <v>8.6300000000000008</v>
      </c>
      <c r="CC310" s="17">
        <v>6.66</v>
      </c>
      <c r="CD310" s="18">
        <v>6.42</v>
      </c>
      <c r="CE310" s="19">
        <v>6.54</v>
      </c>
      <c r="CF310" s="17">
        <v>1.81</v>
      </c>
      <c r="CG310" s="18">
        <v>1.31</v>
      </c>
      <c r="CH310" s="19">
        <v>1.56</v>
      </c>
      <c r="CI310" s="17">
        <v>0.43</v>
      </c>
      <c r="CJ310" s="18">
        <v>0.39</v>
      </c>
      <c r="CK310" s="19">
        <v>0.41000000000000003</v>
      </c>
      <c r="CL310" s="17">
        <v>39.22</v>
      </c>
      <c r="CM310">
        <v>36.82</v>
      </c>
      <c r="CN310">
        <v>38.019999999999996</v>
      </c>
      <c r="CO310">
        <v>6.95</v>
      </c>
      <c r="CP310">
        <v>1.9500000000000002</v>
      </c>
      <c r="CQ310">
        <v>4.45</v>
      </c>
    </row>
    <row r="311" spans="1:95">
      <c r="A311" s="223">
        <v>45598</v>
      </c>
      <c r="B311" s="16" t="s">
        <v>307</v>
      </c>
      <c r="C311" s="17"/>
      <c r="D311" s="18"/>
      <c r="E311" s="19"/>
      <c r="F311" s="17"/>
      <c r="G311" s="18"/>
      <c r="H311" s="19"/>
      <c r="I311" s="17"/>
      <c r="J311" s="18"/>
      <c r="K311" s="19"/>
      <c r="L311" s="18"/>
      <c r="M311" s="18"/>
      <c r="N311" s="18"/>
      <c r="O311" s="17"/>
      <c r="P311" s="18"/>
      <c r="Q311" s="19"/>
      <c r="R311" s="18"/>
      <c r="S311" s="18"/>
      <c r="T311" s="18"/>
      <c r="U311" s="17"/>
      <c r="V311" s="18"/>
      <c r="W311" s="19"/>
      <c r="X311" s="17"/>
      <c r="Y311" s="18"/>
      <c r="Z311" s="19"/>
      <c r="AA311" s="17"/>
      <c r="AB311" s="18"/>
      <c r="AC311" s="19"/>
      <c r="AD311" s="17"/>
      <c r="AE311" s="18"/>
      <c r="AF311" s="19"/>
      <c r="AG311" s="18"/>
      <c r="AH311" s="18"/>
      <c r="AI311" s="18"/>
      <c r="AJ311" s="20"/>
      <c r="AK311" s="21"/>
      <c r="AL311" s="22"/>
      <c r="AM311" s="18"/>
      <c r="AN311" s="18"/>
      <c r="AO311" s="18"/>
      <c r="AP311" s="17"/>
      <c r="AQ311" s="18"/>
      <c r="AR311" s="19"/>
      <c r="AS311" s="18"/>
      <c r="AT311" s="18"/>
      <c r="AU311" s="18"/>
      <c r="AV311" s="17"/>
      <c r="AW311" s="18"/>
      <c r="AX311" s="19"/>
      <c r="AY311" s="17"/>
      <c r="AZ311" s="18"/>
      <c r="BA311" s="19"/>
      <c r="BB311" s="17"/>
      <c r="BC311" s="23"/>
      <c r="BD311" s="24"/>
      <c r="BE311" s="18"/>
      <c r="BF311" s="23"/>
      <c r="BG311" s="23"/>
      <c r="BH311" s="17"/>
      <c r="BI311" s="18"/>
      <c r="BJ311" s="19"/>
      <c r="BK311" s="18"/>
      <c r="BL311" s="18"/>
      <c r="BM311" s="18"/>
      <c r="BN311" s="25"/>
      <c r="BO311" s="23"/>
      <c r="BP311" s="24"/>
      <c r="BQ311" s="18"/>
      <c r="BR311" s="18"/>
      <c r="BS311" s="18"/>
      <c r="BT311" s="17"/>
      <c r="BU311" s="18"/>
      <c r="BV311" s="19"/>
      <c r="BW311" s="17"/>
      <c r="BX311" s="23"/>
      <c r="BY311" s="24"/>
      <c r="BZ311" s="17"/>
      <c r="CA311" s="18"/>
      <c r="CB311" s="19"/>
      <c r="CC311" s="17"/>
      <c r="CD311" s="18"/>
      <c r="CE311" s="19"/>
      <c r="CF311" s="17"/>
      <c r="CG311" s="18"/>
      <c r="CH311" s="19"/>
      <c r="CI311" s="17"/>
      <c r="CJ311" s="18"/>
      <c r="CK311" s="19"/>
      <c r="CL311" s="17"/>
    </row>
    <row r="312" spans="1:95">
      <c r="A312" s="223">
        <v>45599</v>
      </c>
      <c r="B312" s="16" t="s">
        <v>308</v>
      </c>
      <c r="C312" s="17"/>
      <c r="D312" s="18"/>
      <c r="E312" s="19"/>
      <c r="F312" s="17"/>
      <c r="G312" s="18"/>
      <c r="H312" s="19"/>
      <c r="I312" s="17"/>
      <c r="J312" s="18"/>
      <c r="K312" s="19"/>
      <c r="L312" s="18"/>
      <c r="M312" s="18"/>
      <c r="N312" s="18"/>
      <c r="O312" s="17"/>
      <c r="P312" s="18"/>
      <c r="Q312" s="19"/>
      <c r="R312" s="18"/>
      <c r="S312" s="18"/>
      <c r="T312" s="18"/>
      <c r="U312" s="17"/>
      <c r="V312" s="18"/>
      <c r="W312" s="19"/>
      <c r="X312" s="17"/>
      <c r="Y312" s="18"/>
      <c r="Z312" s="19"/>
      <c r="AA312" s="17"/>
      <c r="AB312" s="18"/>
      <c r="AC312" s="19"/>
      <c r="AD312" s="17"/>
      <c r="AE312" s="18"/>
      <c r="AF312" s="19"/>
      <c r="AG312" s="18"/>
      <c r="AH312" s="18"/>
      <c r="AI312" s="18"/>
      <c r="AJ312" s="20"/>
      <c r="AK312" s="21"/>
      <c r="AL312" s="22"/>
      <c r="AM312" s="18"/>
      <c r="AN312" s="18"/>
      <c r="AO312" s="18"/>
      <c r="AP312" s="17"/>
      <c r="AQ312" s="18"/>
      <c r="AR312" s="19"/>
      <c r="AS312" s="18"/>
      <c r="AT312" s="18"/>
      <c r="AU312" s="18"/>
      <c r="AV312" s="17"/>
      <c r="AW312" s="18"/>
      <c r="AX312" s="19"/>
      <c r="AY312" s="17"/>
      <c r="AZ312" s="18"/>
      <c r="BA312" s="19"/>
      <c r="BB312" s="17"/>
      <c r="BC312" s="23"/>
      <c r="BD312" s="24"/>
      <c r="BE312" s="18"/>
      <c r="BF312" s="23"/>
      <c r="BG312" s="23"/>
      <c r="BH312" s="17"/>
      <c r="BI312" s="18"/>
      <c r="BJ312" s="19"/>
      <c r="BK312" s="18"/>
      <c r="BL312" s="18"/>
      <c r="BM312" s="18"/>
      <c r="BN312" s="25"/>
      <c r="BO312" s="23"/>
      <c r="BP312" s="24"/>
      <c r="BQ312" s="18"/>
      <c r="BR312" s="18"/>
      <c r="BS312" s="18"/>
      <c r="BT312" s="17"/>
      <c r="BU312" s="18"/>
      <c r="BV312" s="19"/>
      <c r="BW312" s="17"/>
      <c r="BX312" s="23"/>
      <c r="BY312" s="24"/>
      <c r="BZ312" s="17"/>
      <c r="CA312" s="18"/>
      <c r="CB312" s="19"/>
      <c r="CC312" s="17"/>
      <c r="CD312" s="18"/>
      <c r="CE312" s="19"/>
      <c r="CF312" s="17"/>
      <c r="CG312" s="18"/>
      <c r="CH312" s="19"/>
      <c r="CI312" s="17"/>
      <c r="CJ312" s="18"/>
      <c r="CK312" s="19"/>
      <c r="CL312" s="17"/>
    </row>
    <row r="313" spans="1:95">
      <c r="A313" s="223">
        <v>45600</v>
      </c>
      <c r="B313" s="16" t="s">
        <v>96</v>
      </c>
      <c r="C313" s="18"/>
      <c r="D313" s="18"/>
      <c r="E313" s="18"/>
      <c r="F313" s="17"/>
      <c r="G313" s="18"/>
      <c r="H313" s="19"/>
      <c r="I313" s="18"/>
      <c r="J313" s="18"/>
      <c r="K313" s="18"/>
      <c r="L313" s="17"/>
      <c r="M313" s="18"/>
      <c r="N313" s="19"/>
      <c r="O313" s="18"/>
      <c r="P313" s="18"/>
      <c r="Q313" s="18"/>
      <c r="R313" s="17"/>
      <c r="S313" s="18"/>
      <c r="T313" s="19"/>
      <c r="U313" s="17"/>
      <c r="V313" s="18"/>
      <c r="W313" s="19"/>
      <c r="X313" s="17"/>
      <c r="Y313" s="18"/>
      <c r="Z313" s="19"/>
      <c r="AA313" s="17"/>
      <c r="AB313" s="18"/>
      <c r="AC313" s="19"/>
      <c r="AD313" s="18"/>
      <c r="AE313" s="18"/>
      <c r="AF313" s="18"/>
      <c r="AG313" s="17"/>
      <c r="AH313" s="18"/>
      <c r="AI313" s="19"/>
      <c r="AJ313" s="20"/>
      <c r="AK313" s="21"/>
      <c r="AL313" s="22"/>
      <c r="AM313" s="17"/>
      <c r="AN313" s="18"/>
      <c r="AO313" s="19"/>
      <c r="AP313" s="17"/>
      <c r="AQ313" s="18"/>
      <c r="AR313" s="19"/>
      <c r="AS313" s="18"/>
      <c r="AT313" s="18"/>
      <c r="AU313" s="18"/>
      <c r="AV313" s="17"/>
      <c r="AW313" s="18"/>
      <c r="AX313" s="19"/>
      <c r="AY313" s="17"/>
      <c r="AZ313" s="18"/>
      <c r="BA313" s="19"/>
      <c r="BB313" s="17"/>
      <c r="BC313" s="23"/>
      <c r="BD313" s="24"/>
      <c r="BE313" s="17"/>
      <c r="BF313" s="23"/>
      <c r="BG313" s="24"/>
      <c r="BH313" s="17"/>
      <c r="BI313" s="18"/>
      <c r="BJ313" s="19"/>
      <c r="BK313" s="18"/>
      <c r="BL313" s="18"/>
      <c r="BM313" s="18"/>
      <c r="BN313" s="25"/>
      <c r="BO313" s="23"/>
      <c r="BP313" s="24"/>
      <c r="BQ313" s="18"/>
      <c r="BR313" s="18"/>
      <c r="BS313" s="18"/>
      <c r="BT313" s="17"/>
      <c r="BU313" s="18"/>
      <c r="BV313" s="19"/>
      <c r="BW313" s="17"/>
      <c r="BX313" s="23"/>
      <c r="BY313" s="24"/>
      <c r="BZ313" s="17"/>
      <c r="CA313" s="18"/>
      <c r="CB313" s="19"/>
      <c r="CC313" s="17"/>
      <c r="CD313" s="18"/>
      <c r="CE313" s="19"/>
      <c r="CF313" s="18"/>
      <c r="CG313" s="18"/>
      <c r="CH313" s="18"/>
      <c r="CI313" s="17"/>
      <c r="CJ313" s="18"/>
      <c r="CK313" s="19"/>
      <c r="CL313" s="17"/>
    </row>
    <row r="314" spans="1:95">
      <c r="A314" s="223">
        <v>45601</v>
      </c>
      <c r="B314" s="16" t="s">
        <v>97</v>
      </c>
      <c r="C314" s="17">
        <v>153.43</v>
      </c>
      <c r="D314" s="18">
        <v>151.43</v>
      </c>
      <c r="E314" s="19">
        <v>152.43</v>
      </c>
      <c r="F314" s="17">
        <v>167.28</v>
      </c>
      <c r="G314" s="18">
        <v>164.28</v>
      </c>
      <c r="H314" s="19">
        <v>165.78</v>
      </c>
      <c r="I314" s="17">
        <v>111.28</v>
      </c>
      <c r="J314" s="18">
        <v>108.08</v>
      </c>
      <c r="K314" s="19">
        <v>109.68</v>
      </c>
      <c r="L314" s="18">
        <v>201.52</v>
      </c>
      <c r="M314" s="18">
        <v>193.52</v>
      </c>
      <c r="N314" s="18">
        <v>197.52</v>
      </c>
      <c r="O314" s="17">
        <v>177.32</v>
      </c>
      <c r="P314" s="18">
        <v>175.51999999999998</v>
      </c>
      <c r="Q314" s="19">
        <v>176.42</v>
      </c>
      <c r="R314" s="18">
        <v>22.53</v>
      </c>
      <c r="S314" s="18">
        <v>21.93</v>
      </c>
      <c r="T314" s="18">
        <v>22.23</v>
      </c>
      <c r="U314" s="17">
        <v>14.16</v>
      </c>
      <c r="V314" s="18">
        <v>13.56</v>
      </c>
      <c r="W314" s="19">
        <v>13.86</v>
      </c>
      <c r="X314" s="17">
        <v>14.61</v>
      </c>
      <c r="Y314" s="18">
        <v>13.809999999999999</v>
      </c>
      <c r="Z314" s="19">
        <v>14.209999999999999</v>
      </c>
      <c r="AA314" s="17">
        <v>102.36</v>
      </c>
      <c r="AB314" s="18">
        <v>98.36</v>
      </c>
      <c r="AC314" s="19">
        <v>100.36</v>
      </c>
      <c r="AD314" s="17">
        <v>93</v>
      </c>
      <c r="AE314" s="18">
        <v>89</v>
      </c>
      <c r="AF314" s="19">
        <v>91</v>
      </c>
      <c r="AG314" s="18">
        <v>20.04</v>
      </c>
      <c r="AH314" s="18">
        <v>19.18</v>
      </c>
      <c r="AI314" s="18">
        <v>19.61</v>
      </c>
      <c r="AJ314" s="20"/>
      <c r="AK314" s="21"/>
      <c r="AL314" s="22"/>
      <c r="AM314" s="18">
        <v>116.34</v>
      </c>
      <c r="AN314" s="18">
        <v>114.68</v>
      </c>
      <c r="AO314" s="18">
        <v>115.51</v>
      </c>
      <c r="AP314" s="17">
        <v>41.37</v>
      </c>
      <c r="AQ314" s="18">
        <v>39.769999999999996</v>
      </c>
      <c r="AR314" s="19">
        <v>40.569999999999993</v>
      </c>
      <c r="AS314" s="18">
        <v>42.25</v>
      </c>
      <c r="AT314" s="18">
        <v>40.89</v>
      </c>
      <c r="AU314" s="18">
        <v>41.57</v>
      </c>
      <c r="AV314" s="17">
        <v>21.72</v>
      </c>
      <c r="AW314" s="18">
        <v>21.119999999999997</v>
      </c>
      <c r="AX314" s="19">
        <v>21.419999999999998</v>
      </c>
      <c r="AY314" s="17">
        <v>4.59</v>
      </c>
      <c r="AZ314" s="18">
        <v>4.43</v>
      </c>
      <c r="BA314" s="19">
        <v>4.51</v>
      </c>
      <c r="BB314" s="17">
        <v>1.97</v>
      </c>
      <c r="BC314" s="23">
        <v>1.67</v>
      </c>
      <c r="BD314" s="24">
        <v>1.8199999999999998</v>
      </c>
      <c r="BE314" s="18">
        <v>0.7</v>
      </c>
      <c r="BF314" s="23">
        <v>0.39999999999999997</v>
      </c>
      <c r="BG314" s="23">
        <v>0.54999999999999993</v>
      </c>
      <c r="BH314" s="17">
        <v>506.14</v>
      </c>
      <c r="BI314" s="18">
        <v>490.14</v>
      </c>
      <c r="BJ314" s="19">
        <v>498.14</v>
      </c>
      <c r="BK314" s="18">
        <v>42.57</v>
      </c>
      <c r="BL314" s="18">
        <v>41.21</v>
      </c>
      <c r="BM314" s="18">
        <v>41.89</v>
      </c>
      <c r="BN314" s="25">
        <v>1.0900000000000001</v>
      </c>
      <c r="BO314" s="23">
        <v>0.85000000000000009</v>
      </c>
      <c r="BP314" s="24">
        <v>0.97000000000000008</v>
      </c>
      <c r="BQ314" s="18">
        <v>8.59</v>
      </c>
      <c r="BR314" s="18">
        <v>6.59</v>
      </c>
      <c r="BS314" s="18">
        <v>7.59</v>
      </c>
      <c r="BT314" s="17">
        <v>11.28</v>
      </c>
      <c r="BU314" s="18">
        <v>10.879999999999999</v>
      </c>
      <c r="BV314" s="19">
        <v>11.079999999999998</v>
      </c>
      <c r="BW314" s="17">
        <v>2.77</v>
      </c>
      <c r="BX314" s="23">
        <v>2.4900000000000002</v>
      </c>
      <c r="BY314" s="24">
        <v>2.63</v>
      </c>
      <c r="BZ314" s="17">
        <v>10.199999999999999</v>
      </c>
      <c r="CA314" s="18">
        <v>7.1999999999999993</v>
      </c>
      <c r="CB314" s="19">
        <v>8.6999999999999993</v>
      </c>
      <c r="CC314" s="17">
        <v>6.67</v>
      </c>
      <c r="CD314" s="18">
        <v>6.43</v>
      </c>
      <c r="CE314" s="19">
        <v>6.55</v>
      </c>
      <c r="CF314" s="17">
        <v>1.8</v>
      </c>
      <c r="CG314" s="18">
        <v>1.3</v>
      </c>
      <c r="CH314" s="19">
        <v>1.55</v>
      </c>
      <c r="CI314" s="17">
        <v>0.43</v>
      </c>
      <c r="CJ314" s="18">
        <v>0.39</v>
      </c>
      <c r="CK314" s="19">
        <v>0.41000000000000003</v>
      </c>
      <c r="CL314" s="17">
        <v>39.28</v>
      </c>
      <c r="CM314">
        <v>36.880000000000003</v>
      </c>
      <c r="CN314">
        <v>38.08</v>
      </c>
      <c r="CO314">
        <v>6.94</v>
      </c>
      <c r="CP314">
        <v>1.9400000000000004</v>
      </c>
      <c r="CQ314">
        <v>4.4400000000000004</v>
      </c>
    </row>
    <row r="315" spans="1:95">
      <c r="A315" s="223">
        <v>45602</v>
      </c>
      <c r="B315" s="16" t="s">
        <v>98</v>
      </c>
      <c r="C315" s="17">
        <v>153.85</v>
      </c>
      <c r="D315" s="18">
        <v>151.85</v>
      </c>
      <c r="E315" s="19">
        <v>152.85</v>
      </c>
      <c r="F315" s="17">
        <v>167.37</v>
      </c>
      <c r="G315" s="18">
        <v>164.37</v>
      </c>
      <c r="H315" s="19">
        <v>165.87</v>
      </c>
      <c r="I315" s="17">
        <v>111.72</v>
      </c>
      <c r="J315" s="18">
        <v>108.52</v>
      </c>
      <c r="K315" s="19">
        <v>110.12</v>
      </c>
      <c r="L315" s="18">
        <v>202.23</v>
      </c>
      <c r="M315" s="18">
        <v>194.23</v>
      </c>
      <c r="N315" s="18">
        <v>198.23</v>
      </c>
      <c r="O315" s="17">
        <v>177.04</v>
      </c>
      <c r="P315" s="18">
        <v>175.23999999999998</v>
      </c>
      <c r="Q315" s="19">
        <v>176.14</v>
      </c>
      <c r="R315" s="18">
        <v>22.54</v>
      </c>
      <c r="S315" s="18">
        <v>21.939999999999998</v>
      </c>
      <c r="T315" s="18">
        <v>22.24</v>
      </c>
      <c r="U315" s="17">
        <v>14.17</v>
      </c>
      <c r="V315" s="18">
        <v>13.57</v>
      </c>
      <c r="W315" s="19">
        <v>13.870000000000001</v>
      </c>
      <c r="X315" s="17">
        <v>14.59</v>
      </c>
      <c r="Y315" s="18">
        <v>13.79</v>
      </c>
      <c r="Z315" s="19">
        <v>14.19</v>
      </c>
      <c r="AA315" s="17">
        <v>102.87</v>
      </c>
      <c r="AB315" s="18">
        <v>98.87</v>
      </c>
      <c r="AC315" s="19">
        <v>100.87</v>
      </c>
      <c r="AD315" s="17">
        <v>93.28</v>
      </c>
      <c r="AE315" s="18">
        <v>89.28</v>
      </c>
      <c r="AF315" s="19">
        <v>91.28</v>
      </c>
      <c r="AG315" s="18">
        <v>20.09</v>
      </c>
      <c r="AH315" s="18">
        <v>19.23</v>
      </c>
      <c r="AI315" s="18">
        <v>19.66</v>
      </c>
      <c r="AJ315" s="20"/>
      <c r="AK315" s="21"/>
      <c r="AL315" s="22"/>
      <c r="AM315" s="18">
        <v>116.56</v>
      </c>
      <c r="AN315" s="18">
        <v>114.9</v>
      </c>
      <c r="AO315" s="18">
        <v>115.73</v>
      </c>
      <c r="AP315" s="17">
        <v>41.56</v>
      </c>
      <c r="AQ315" s="18">
        <v>39.96</v>
      </c>
      <c r="AR315" s="19">
        <v>40.760000000000005</v>
      </c>
      <c r="AS315" s="18">
        <v>42.23</v>
      </c>
      <c r="AT315" s="18">
        <v>40.869999999999997</v>
      </c>
      <c r="AU315" s="18">
        <v>41.55</v>
      </c>
      <c r="AV315" s="17">
        <v>21.72</v>
      </c>
      <c r="AW315" s="18">
        <v>21.119999999999997</v>
      </c>
      <c r="AX315" s="19">
        <v>21.419999999999998</v>
      </c>
      <c r="AY315" s="17">
        <v>4.6100000000000003</v>
      </c>
      <c r="AZ315" s="18">
        <v>4.45</v>
      </c>
      <c r="BA315" s="19">
        <v>4.53</v>
      </c>
      <c r="BB315" s="17">
        <v>1.98</v>
      </c>
      <c r="BC315" s="23">
        <v>1.68</v>
      </c>
      <c r="BD315" s="24">
        <v>1.83</v>
      </c>
      <c r="BE315" s="18">
        <v>0.7</v>
      </c>
      <c r="BF315" s="23">
        <v>0.39999999999999997</v>
      </c>
      <c r="BG315" s="23">
        <v>0.54999999999999993</v>
      </c>
      <c r="BH315" s="17">
        <v>507.51</v>
      </c>
      <c r="BI315" s="18">
        <v>491.51</v>
      </c>
      <c r="BJ315" s="19">
        <v>499.51</v>
      </c>
      <c r="BK315" s="18">
        <v>42.69</v>
      </c>
      <c r="BL315" s="18">
        <v>41.33</v>
      </c>
      <c r="BM315" s="18">
        <v>42.01</v>
      </c>
      <c r="BN315" s="25">
        <v>1.0900000000000001</v>
      </c>
      <c r="BO315" s="23">
        <v>0.85000000000000009</v>
      </c>
      <c r="BP315" s="24">
        <v>0.97000000000000008</v>
      </c>
      <c r="BQ315" s="18">
        <v>8.5299999999999994</v>
      </c>
      <c r="BR315" s="18">
        <v>6.5299999999999994</v>
      </c>
      <c r="BS315" s="18">
        <v>7.5299999999999994</v>
      </c>
      <c r="BT315" s="17">
        <v>11.24</v>
      </c>
      <c r="BU315" s="18">
        <v>10.84</v>
      </c>
      <c r="BV315" s="19">
        <v>11.04</v>
      </c>
      <c r="BW315" s="17">
        <v>2.78</v>
      </c>
      <c r="BX315" s="23">
        <v>2.5</v>
      </c>
      <c r="BY315" s="24">
        <v>2.6399999999999997</v>
      </c>
      <c r="BZ315" s="17">
        <v>10.210000000000001</v>
      </c>
      <c r="CA315" s="18">
        <v>7.2100000000000009</v>
      </c>
      <c r="CB315" s="19">
        <v>8.7100000000000009</v>
      </c>
      <c r="CC315" s="17">
        <v>6.68</v>
      </c>
      <c r="CD315" s="18">
        <v>6.4399999999999995</v>
      </c>
      <c r="CE315" s="19">
        <v>6.56</v>
      </c>
      <c r="CF315" s="17">
        <v>1.81</v>
      </c>
      <c r="CG315" s="18">
        <v>1.31</v>
      </c>
      <c r="CH315" s="19">
        <v>1.56</v>
      </c>
      <c r="CI315" s="17">
        <v>0.43</v>
      </c>
      <c r="CJ315" s="18">
        <v>0.39</v>
      </c>
      <c r="CK315" s="19">
        <v>0.41000000000000003</v>
      </c>
      <c r="CL315" s="17">
        <v>39.35</v>
      </c>
      <c r="CM315">
        <v>36.950000000000003</v>
      </c>
      <c r="CN315">
        <v>38.150000000000006</v>
      </c>
      <c r="CO315">
        <v>6.97</v>
      </c>
      <c r="CP315">
        <v>1.9699999999999998</v>
      </c>
      <c r="CQ315">
        <v>4.47</v>
      </c>
    </row>
    <row r="316" spans="1:95">
      <c r="A316" s="223">
        <v>45603</v>
      </c>
      <c r="B316" s="16" t="s">
        <v>99</v>
      </c>
      <c r="C316" s="17">
        <v>155.63</v>
      </c>
      <c r="D316" s="18">
        <v>153.63</v>
      </c>
      <c r="E316" s="19">
        <v>154.63</v>
      </c>
      <c r="F316" s="17">
        <v>167.26</v>
      </c>
      <c r="G316" s="18">
        <v>164.26</v>
      </c>
      <c r="H316" s="19">
        <v>165.76</v>
      </c>
      <c r="I316" s="17">
        <v>112.54</v>
      </c>
      <c r="J316" s="18">
        <v>109.34</v>
      </c>
      <c r="K316" s="19">
        <v>110.94</v>
      </c>
      <c r="L316" s="18">
        <v>203.27</v>
      </c>
      <c r="M316" s="18">
        <v>195.27</v>
      </c>
      <c r="N316" s="18">
        <v>199.27</v>
      </c>
      <c r="O316" s="17">
        <v>177.12</v>
      </c>
      <c r="P316" s="18">
        <v>175.32</v>
      </c>
      <c r="Q316" s="19">
        <v>176.22</v>
      </c>
      <c r="R316" s="18">
        <v>22.53</v>
      </c>
      <c r="S316" s="18">
        <v>21.93</v>
      </c>
      <c r="T316" s="18">
        <v>22.23</v>
      </c>
      <c r="U316" s="17">
        <v>14.24</v>
      </c>
      <c r="V316" s="18">
        <v>13.64</v>
      </c>
      <c r="W316" s="19">
        <v>13.940000000000001</v>
      </c>
      <c r="X316" s="17">
        <v>14.64</v>
      </c>
      <c r="Y316" s="18">
        <v>13.84</v>
      </c>
      <c r="Z316" s="19">
        <v>14.24</v>
      </c>
      <c r="AA316" s="17">
        <v>103.56</v>
      </c>
      <c r="AB316" s="18">
        <v>99.56</v>
      </c>
      <c r="AC316" s="19">
        <v>101.56</v>
      </c>
      <c r="AD316" s="17">
        <v>93.76</v>
      </c>
      <c r="AE316" s="18">
        <v>89.76</v>
      </c>
      <c r="AF316" s="19">
        <v>91.76</v>
      </c>
      <c r="AG316" s="18">
        <v>20.32</v>
      </c>
      <c r="AH316" s="18">
        <v>19.46</v>
      </c>
      <c r="AI316" s="18">
        <v>19.89</v>
      </c>
      <c r="AJ316" s="20"/>
      <c r="AK316" s="21"/>
      <c r="AL316" s="22"/>
      <c r="AM316" s="18">
        <v>116.76</v>
      </c>
      <c r="AN316" s="18">
        <v>115.10000000000001</v>
      </c>
      <c r="AO316" s="18">
        <v>115.93</v>
      </c>
      <c r="AP316" s="17">
        <v>41.9</v>
      </c>
      <c r="AQ316" s="18">
        <v>40.299999999999997</v>
      </c>
      <c r="AR316" s="19">
        <v>41.099999999999994</v>
      </c>
      <c r="AS316" s="18">
        <v>42.74</v>
      </c>
      <c r="AT316" s="18">
        <v>41.38</v>
      </c>
      <c r="AU316" s="18">
        <v>42.06</v>
      </c>
      <c r="AV316" s="17">
        <v>21.77</v>
      </c>
      <c r="AW316" s="18">
        <v>21.169999999999998</v>
      </c>
      <c r="AX316" s="19">
        <v>21.47</v>
      </c>
      <c r="AY316" s="17">
        <v>4.58</v>
      </c>
      <c r="AZ316" s="18">
        <v>4.42</v>
      </c>
      <c r="BA316" s="19">
        <v>4.5</v>
      </c>
      <c r="BB316" s="17">
        <v>2</v>
      </c>
      <c r="BC316" s="23">
        <v>1.7</v>
      </c>
      <c r="BD316" s="24">
        <v>1.85</v>
      </c>
      <c r="BE316" s="18">
        <v>0.71</v>
      </c>
      <c r="BF316" s="23">
        <v>0.41</v>
      </c>
      <c r="BG316" s="23">
        <v>0.55999999999999994</v>
      </c>
      <c r="BH316" s="17">
        <v>510.7</v>
      </c>
      <c r="BI316" s="18">
        <v>494.7</v>
      </c>
      <c r="BJ316" s="19">
        <v>502.7</v>
      </c>
      <c r="BK316" s="18">
        <v>43.17</v>
      </c>
      <c r="BL316" s="18">
        <v>41.81</v>
      </c>
      <c r="BM316" s="18">
        <v>42.49</v>
      </c>
      <c r="BN316" s="25">
        <v>1.1000000000000001</v>
      </c>
      <c r="BO316" s="23">
        <v>0.8600000000000001</v>
      </c>
      <c r="BP316" s="24">
        <v>0.98000000000000009</v>
      </c>
      <c r="BQ316" s="18">
        <v>8.67</v>
      </c>
      <c r="BR316" s="18">
        <v>6.67</v>
      </c>
      <c r="BS316" s="18">
        <v>7.67</v>
      </c>
      <c r="BT316" s="17">
        <v>11.24</v>
      </c>
      <c r="BU316" s="18">
        <v>10.84</v>
      </c>
      <c r="BV316" s="19">
        <v>11.04</v>
      </c>
      <c r="BW316" s="17">
        <v>2.79</v>
      </c>
      <c r="BX316" s="23">
        <v>2.5099999999999998</v>
      </c>
      <c r="BY316" s="24">
        <v>2.65</v>
      </c>
      <c r="BZ316" s="17">
        <v>10.26</v>
      </c>
      <c r="CA316" s="18">
        <v>7.26</v>
      </c>
      <c r="CB316" s="19">
        <v>8.76</v>
      </c>
      <c r="CC316" s="17">
        <v>6.67</v>
      </c>
      <c r="CD316" s="18">
        <v>6.43</v>
      </c>
      <c r="CE316" s="19">
        <v>6.55</v>
      </c>
      <c r="CF316" s="17">
        <v>1.84</v>
      </c>
      <c r="CG316" s="18">
        <v>1.34</v>
      </c>
      <c r="CH316" s="19">
        <v>1.59</v>
      </c>
      <c r="CI316" s="17">
        <v>0.42</v>
      </c>
      <c r="CJ316" s="18">
        <v>0.38</v>
      </c>
      <c r="CK316" s="19">
        <v>0.4</v>
      </c>
      <c r="CL316" s="17">
        <v>39.33</v>
      </c>
      <c r="CM316">
        <v>36.93</v>
      </c>
      <c r="CN316">
        <v>38.129999999999995</v>
      </c>
      <c r="CO316">
        <v>7.03</v>
      </c>
      <c r="CP316">
        <v>2.0300000000000002</v>
      </c>
      <c r="CQ316">
        <v>4.53</v>
      </c>
    </row>
    <row r="317" spans="1:95">
      <c r="A317" s="223">
        <v>45604</v>
      </c>
      <c r="B317" s="16" t="s">
        <v>100</v>
      </c>
      <c r="C317" s="17">
        <v>154.13</v>
      </c>
      <c r="D317" s="18">
        <v>152.13</v>
      </c>
      <c r="E317" s="19">
        <v>153.13</v>
      </c>
      <c r="F317" s="17">
        <v>166.76</v>
      </c>
      <c r="G317" s="18">
        <v>163.76</v>
      </c>
      <c r="H317" s="19">
        <v>165.26</v>
      </c>
      <c r="I317" s="17">
        <v>111.96</v>
      </c>
      <c r="J317" s="18">
        <v>108.75999999999999</v>
      </c>
      <c r="K317" s="19">
        <v>110.35999999999999</v>
      </c>
      <c r="L317" s="18">
        <v>202.76</v>
      </c>
      <c r="M317" s="18">
        <v>194.76</v>
      </c>
      <c r="N317" s="18">
        <v>198.76</v>
      </c>
      <c r="O317" s="17">
        <v>176.23</v>
      </c>
      <c r="P317" s="18">
        <v>174.42999999999998</v>
      </c>
      <c r="Q317" s="19">
        <v>175.32999999999998</v>
      </c>
      <c r="R317" s="18">
        <v>22.46</v>
      </c>
      <c r="S317" s="18">
        <v>21.86</v>
      </c>
      <c r="T317" s="18">
        <v>22.16</v>
      </c>
      <c r="U317" s="17">
        <v>14.39</v>
      </c>
      <c r="V317" s="18">
        <v>13.790000000000001</v>
      </c>
      <c r="W317" s="19">
        <v>14.09</v>
      </c>
      <c r="X317" s="17">
        <v>14.73</v>
      </c>
      <c r="Y317" s="18">
        <v>13.93</v>
      </c>
      <c r="Z317" s="19">
        <v>14.33</v>
      </c>
      <c r="AA317" s="17">
        <v>104.12</v>
      </c>
      <c r="AB317" s="18">
        <v>100.12</v>
      </c>
      <c r="AC317" s="19">
        <v>102.12</v>
      </c>
      <c r="AD317" s="17">
        <v>94.21</v>
      </c>
      <c r="AE317" s="18">
        <v>90.21</v>
      </c>
      <c r="AF317" s="19">
        <v>92.21</v>
      </c>
      <c r="AG317" s="18">
        <v>20.13</v>
      </c>
      <c r="AH317" s="18">
        <v>19.27</v>
      </c>
      <c r="AI317" s="18">
        <v>19.7</v>
      </c>
      <c r="AJ317" s="20"/>
      <c r="AK317" s="21"/>
      <c r="AL317" s="22"/>
      <c r="AM317" s="18">
        <v>116.75</v>
      </c>
      <c r="AN317" s="18">
        <v>115.09</v>
      </c>
      <c r="AO317" s="18">
        <v>115.92</v>
      </c>
      <c r="AP317" s="17">
        <v>41.66</v>
      </c>
      <c r="AQ317" s="18">
        <v>40.059999999999995</v>
      </c>
      <c r="AR317" s="19">
        <v>40.86</v>
      </c>
      <c r="AS317" s="18">
        <v>42.34</v>
      </c>
      <c r="AT317" s="18">
        <v>40.980000000000004</v>
      </c>
      <c r="AU317" s="18">
        <v>41.660000000000004</v>
      </c>
      <c r="AV317" s="17">
        <v>21.7</v>
      </c>
      <c r="AW317" s="18">
        <v>21.099999999999998</v>
      </c>
      <c r="AX317" s="19">
        <v>21.4</v>
      </c>
      <c r="AY317" s="17">
        <v>4.58</v>
      </c>
      <c r="AZ317" s="18">
        <v>4.42</v>
      </c>
      <c r="BA317" s="19">
        <v>4.5</v>
      </c>
      <c r="BB317" s="17">
        <v>1.98</v>
      </c>
      <c r="BC317" s="23">
        <v>1.68</v>
      </c>
      <c r="BD317" s="24">
        <v>1.83</v>
      </c>
      <c r="BE317" s="18">
        <v>0.7</v>
      </c>
      <c r="BF317" s="23">
        <v>0.39999999999999997</v>
      </c>
      <c r="BG317" s="23">
        <v>0.54999999999999993</v>
      </c>
      <c r="BH317" s="17">
        <v>508.26</v>
      </c>
      <c r="BI317" s="18">
        <v>492.26</v>
      </c>
      <c r="BJ317" s="19">
        <v>500.26</v>
      </c>
      <c r="BK317" s="18">
        <v>42.76</v>
      </c>
      <c r="BL317" s="18">
        <v>41.4</v>
      </c>
      <c r="BM317" s="18">
        <v>42.08</v>
      </c>
      <c r="BN317" s="25">
        <v>1.1000000000000001</v>
      </c>
      <c r="BO317" s="23">
        <v>0.8600000000000001</v>
      </c>
      <c r="BP317" s="24">
        <v>0.98000000000000009</v>
      </c>
      <c r="BQ317" s="18">
        <v>8.73</v>
      </c>
      <c r="BR317" s="18">
        <v>6.73</v>
      </c>
      <c r="BS317" s="18">
        <v>7.73</v>
      </c>
      <c r="BT317" s="17">
        <v>11.27</v>
      </c>
      <c r="BU317" s="18">
        <v>10.87</v>
      </c>
      <c r="BV317" s="19">
        <v>11.07</v>
      </c>
      <c r="BW317" s="17">
        <v>2.77</v>
      </c>
      <c r="BX317" s="23">
        <v>2.4900000000000002</v>
      </c>
      <c r="BY317" s="24">
        <v>2.63</v>
      </c>
      <c r="BZ317" s="17">
        <v>10.33</v>
      </c>
      <c r="CA317" s="18">
        <v>7.33</v>
      </c>
      <c r="CB317" s="19">
        <v>8.83</v>
      </c>
      <c r="CC317" s="17">
        <v>6.67</v>
      </c>
      <c r="CD317" s="18">
        <v>6.43</v>
      </c>
      <c r="CE317" s="19">
        <v>6.55</v>
      </c>
      <c r="CF317" s="17">
        <v>1.81</v>
      </c>
      <c r="CG317" s="18">
        <v>1.31</v>
      </c>
      <c r="CH317" s="19">
        <v>1.56</v>
      </c>
      <c r="CI317" s="17">
        <v>0.43</v>
      </c>
      <c r="CJ317" s="18">
        <v>0.39</v>
      </c>
      <c r="CK317" s="19">
        <v>0.41000000000000003</v>
      </c>
      <c r="CL317" s="17">
        <v>39.54</v>
      </c>
      <c r="CM317">
        <v>37.14</v>
      </c>
      <c r="CN317">
        <v>38.340000000000003</v>
      </c>
      <c r="CO317">
        <v>6.98</v>
      </c>
      <c r="CP317">
        <v>1.9800000000000004</v>
      </c>
      <c r="CQ317">
        <v>4.4800000000000004</v>
      </c>
    </row>
    <row r="318" spans="1:95">
      <c r="A318" s="223">
        <v>45605</v>
      </c>
      <c r="B318" s="16" t="s">
        <v>307</v>
      </c>
      <c r="C318" s="18"/>
      <c r="D318" s="18"/>
      <c r="E318" s="18"/>
      <c r="F318" s="17"/>
      <c r="G318" s="18"/>
      <c r="H318" s="19"/>
      <c r="I318" s="18"/>
      <c r="J318" s="18"/>
      <c r="K318" s="18"/>
      <c r="L318" s="17"/>
      <c r="M318" s="18"/>
      <c r="N318" s="19"/>
      <c r="O318" s="18"/>
      <c r="P318" s="18"/>
      <c r="Q318" s="18"/>
      <c r="R318" s="17"/>
      <c r="S318" s="18"/>
      <c r="T318" s="19"/>
      <c r="U318" s="17"/>
      <c r="V318" s="18"/>
      <c r="W318" s="19"/>
      <c r="X318" s="17"/>
      <c r="Y318" s="18"/>
      <c r="Z318" s="19"/>
      <c r="AA318" s="17"/>
      <c r="AB318" s="18"/>
      <c r="AC318" s="19"/>
      <c r="AD318" s="18"/>
      <c r="AE318" s="18"/>
      <c r="AF318" s="18"/>
      <c r="AG318" s="17"/>
      <c r="AH318" s="18"/>
      <c r="AI318" s="19"/>
      <c r="AJ318" s="20"/>
      <c r="AK318" s="21"/>
      <c r="AL318" s="22"/>
      <c r="AM318" s="17"/>
      <c r="AN318" s="18"/>
      <c r="AO318" s="19"/>
      <c r="AP318" s="17"/>
      <c r="AQ318" s="18"/>
      <c r="AR318" s="19"/>
      <c r="AS318" s="18"/>
      <c r="AT318" s="18"/>
      <c r="AU318" s="18"/>
      <c r="AV318" s="17"/>
      <c r="AW318" s="18"/>
      <c r="AX318" s="19"/>
      <c r="AY318" s="17"/>
      <c r="AZ318" s="18"/>
      <c r="BA318" s="19"/>
      <c r="BB318" s="17"/>
      <c r="BC318" s="23"/>
      <c r="BD318" s="24"/>
      <c r="BE318" s="17"/>
      <c r="BF318" s="23"/>
      <c r="BG318" s="24"/>
      <c r="BH318" s="17"/>
      <c r="BI318" s="18"/>
      <c r="BJ318" s="19"/>
      <c r="BK318" s="18"/>
      <c r="BL318" s="18"/>
      <c r="BM318" s="18"/>
      <c r="BN318" s="25"/>
      <c r="BO318" s="23"/>
      <c r="BP318" s="24"/>
      <c r="BQ318" s="18"/>
      <c r="BR318" s="18"/>
      <c r="BS318" s="18"/>
      <c r="BT318" s="17"/>
      <c r="BU318" s="18"/>
      <c r="BV318" s="19"/>
      <c r="BW318" s="17"/>
      <c r="BX318" s="23"/>
      <c r="BY318" s="24"/>
      <c r="BZ318" s="17"/>
      <c r="CA318" s="18"/>
      <c r="CB318" s="19"/>
      <c r="CC318" s="17"/>
      <c r="CD318" s="18"/>
      <c r="CE318" s="19"/>
      <c r="CF318" s="18"/>
      <c r="CG318" s="18"/>
      <c r="CH318" s="18"/>
      <c r="CI318" s="17"/>
      <c r="CJ318" s="18"/>
      <c r="CK318" s="19"/>
      <c r="CL318" s="17"/>
    </row>
    <row r="319" spans="1:95">
      <c r="A319" s="223">
        <v>45606</v>
      </c>
      <c r="B319" s="16" t="s">
        <v>308</v>
      </c>
      <c r="C319" s="17"/>
      <c r="D319" s="18"/>
      <c r="E319" s="19"/>
      <c r="F319" s="17"/>
      <c r="G319" s="18"/>
      <c r="H319" s="19"/>
      <c r="I319" s="17"/>
      <c r="J319" s="18"/>
      <c r="K319" s="19"/>
      <c r="L319" s="18"/>
      <c r="M319" s="18"/>
      <c r="N319" s="18"/>
      <c r="O319" s="17"/>
      <c r="P319" s="18"/>
      <c r="Q319" s="19"/>
      <c r="R319" s="18"/>
      <c r="S319" s="18"/>
      <c r="T319" s="18"/>
      <c r="U319" s="17"/>
      <c r="V319" s="18"/>
      <c r="W319" s="19"/>
      <c r="X319" s="17"/>
      <c r="Y319" s="18"/>
      <c r="Z319" s="19"/>
      <c r="AA319" s="17"/>
      <c r="AB319" s="18"/>
      <c r="AC319" s="19"/>
      <c r="AD319" s="17"/>
      <c r="AE319" s="18"/>
      <c r="AF319" s="19"/>
      <c r="AG319" s="18"/>
      <c r="AH319" s="18"/>
      <c r="AI319" s="18"/>
      <c r="AJ319" s="20"/>
      <c r="AK319" s="21"/>
      <c r="AL319" s="22"/>
      <c r="AM319" s="18"/>
      <c r="AN319" s="18"/>
      <c r="AO319" s="18"/>
      <c r="AP319" s="17"/>
      <c r="AQ319" s="18"/>
      <c r="AR319" s="19"/>
      <c r="AS319" s="18"/>
      <c r="AT319" s="18"/>
      <c r="AU319" s="18"/>
      <c r="AV319" s="17"/>
      <c r="AW319" s="18"/>
      <c r="AX319" s="19"/>
      <c r="AY319" s="17"/>
      <c r="AZ319" s="18"/>
      <c r="BA319" s="19"/>
      <c r="BB319" s="17"/>
      <c r="BC319" s="23"/>
      <c r="BD319" s="24"/>
      <c r="BE319" s="18"/>
      <c r="BF319" s="23"/>
      <c r="BG319" s="23"/>
      <c r="BH319" s="17"/>
      <c r="BI319" s="18"/>
      <c r="BJ319" s="19"/>
      <c r="BK319" s="18"/>
      <c r="BL319" s="18"/>
      <c r="BM319" s="18"/>
      <c r="BN319" s="25"/>
      <c r="BO319" s="23"/>
      <c r="BP319" s="24"/>
      <c r="BQ319" s="18"/>
      <c r="BR319" s="18"/>
      <c r="BS319" s="18"/>
      <c r="BT319" s="17"/>
      <c r="BU319" s="18"/>
      <c r="BV319" s="19"/>
      <c r="BW319" s="17"/>
      <c r="BX319" s="23"/>
      <c r="BY319" s="24"/>
      <c r="BZ319" s="17"/>
      <c r="CA319" s="18"/>
      <c r="CB319" s="19"/>
      <c r="CC319" s="17"/>
      <c r="CD319" s="18"/>
      <c r="CE319" s="19"/>
      <c r="CF319" s="17"/>
      <c r="CG319" s="18"/>
      <c r="CH319" s="19"/>
      <c r="CI319" s="17"/>
      <c r="CJ319" s="18"/>
      <c r="CK319" s="19"/>
      <c r="CL319" s="17"/>
    </row>
    <row r="320" spans="1:95">
      <c r="A320" s="223">
        <v>45607</v>
      </c>
      <c r="B320" s="16" t="s">
        <v>96</v>
      </c>
      <c r="C320" s="17">
        <v>154.13999999999999</v>
      </c>
      <c r="D320" s="18">
        <v>152.13999999999999</v>
      </c>
      <c r="E320" s="19">
        <v>153.13999999999999</v>
      </c>
      <c r="F320" s="17">
        <v>165.54</v>
      </c>
      <c r="G320" s="18">
        <v>162.54</v>
      </c>
      <c r="H320" s="19">
        <v>164.04</v>
      </c>
      <c r="I320" s="17">
        <v>111.67</v>
      </c>
      <c r="J320" s="18">
        <v>108.47</v>
      </c>
      <c r="K320" s="19">
        <v>110.07</v>
      </c>
      <c r="L320" s="18">
        <v>201.75</v>
      </c>
      <c r="M320" s="18">
        <v>193.75</v>
      </c>
      <c r="N320" s="18">
        <v>197.75</v>
      </c>
      <c r="O320" s="17">
        <v>175.66</v>
      </c>
      <c r="P320" s="18">
        <v>173.85999999999999</v>
      </c>
      <c r="Q320" s="19">
        <v>174.76</v>
      </c>
      <c r="R320" s="18">
        <v>22.3</v>
      </c>
      <c r="S320" s="18">
        <v>21.7</v>
      </c>
      <c r="T320" s="18">
        <v>22</v>
      </c>
      <c r="U320" s="17">
        <v>14.21</v>
      </c>
      <c r="V320" s="18">
        <v>13.610000000000001</v>
      </c>
      <c r="W320" s="19">
        <v>13.91</v>
      </c>
      <c r="X320" s="17">
        <v>14.55</v>
      </c>
      <c r="Y320" s="18">
        <v>13.75</v>
      </c>
      <c r="Z320" s="19">
        <v>14.15</v>
      </c>
      <c r="AA320" s="17">
        <v>102.9</v>
      </c>
      <c r="AB320" s="18">
        <v>98.9</v>
      </c>
      <c r="AC320" s="19">
        <v>100.9</v>
      </c>
      <c r="AD320" s="17">
        <v>93.36</v>
      </c>
      <c r="AE320" s="18">
        <v>89.36</v>
      </c>
      <c r="AF320" s="19">
        <v>91.36</v>
      </c>
      <c r="AG320" s="18">
        <v>20.13</v>
      </c>
      <c r="AH320" s="18">
        <v>19.27</v>
      </c>
      <c r="AI320" s="18">
        <v>19.7</v>
      </c>
      <c r="AJ320" s="20"/>
      <c r="AK320" s="21"/>
      <c r="AL320" s="22"/>
      <c r="AM320" s="18">
        <v>116.21</v>
      </c>
      <c r="AN320" s="18">
        <v>114.55</v>
      </c>
      <c r="AO320" s="18">
        <v>115.38</v>
      </c>
      <c r="AP320" s="17">
        <v>41.64</v>
      </c>
      <c r="AQ320" s="18">
        <v>40.04</v>
      </c>
      <c r="AR320" s="19">
        <v>40.840000000000003</v>
      </c>
      <c r="AS320" s="18">
        <v>42.44</v>
      </c>
      <c r="AT320" s="18">
        <v>41.08</v>
      </c>
      <c r="AU320" s="18">
        <v>41.76</v>
      </c>
      <c r="AV320" s="17">
        <v>21.58</v>
      </c>
      <c r="AW320" s="18">
        <v>20.979999999999997</v>
      </c>
      <c r="AX320" s="19">
        <v>21.279999999999998</v>
      </c>
      <c r="AY320" s="17">
        <v>4.55</v>
      </c>
      <c r="AZ320" s="18">
        <v>4.3899999999999997</v>
      </c>
      <c r="BA320" s="19">
        <v>4.47</v>
      </c>
      <c r="BB320" s="17">
        <v>1.97</v>
      </c>
      <c r="BC320" s="23">
        <v>1.67</v>
      </c>
      <c r="BD320" s="24">
        <v>1.8199999999999998</v>
      </c>
      <c r="BE320" s="18">
        <v>0.7</v>
      </c>
      <c r="BF320" s="23">
        <v>0.39999999999999997</v>
      </c>
      <c r="BG320" s="23">
        <v>0.54999999999999993</v>
      </c>
      <c r="BH320" s="17">
        <v>507.64</v>
      </c>
      <c r="BI320" s="18">
        <v>491.64</v>
      </c>
      <c r="BJ320" s="19">
        <v>499.64</v>
      </c>
      <c r="BK320" s="18">
        <v>42.77</v>
      </c>
      <c r="BL320" s="18">
        <v>41.410000000000004</v>
      </c>
      <c r="BM320" s="18">
        <v>42.09</v>
      </c>
      <c r="BN320" s="25">
        <v>1.1000000000000001</v>
      </c>
      <c r="BO320" s="23">
        <v>0.8600000000000001</v>
      </c>
      <c r="BP320" s="24">
        <v>0.98000000000000009</v>
      </c>
      <c r="BQ320" s="18">
        <v>8.6</v>
      </c>
      <c r="BR320" s="18">
        <v>6.6</v>
      </c>
      <c r="BS320" s="18">
        <v>7.6</v>
      </c>
      <c r="BT320" s="17">
        <v>11.17</v>
      </c>
      <c r="BU320" s="18">
        <v>10.77</v>
      </c>
      <c r="BV320" s="19">
        <v>10.969999999999999</v>
      </c>
      <c r="BW320" s="17">
        <v>2.79</v>
      </c>
      <c r="BX320" s="23">
        <v>2.5099999999999998</v>
      </c>
      <c r="BY320" s="24">
        <v>2.65</v>
      </c>
      <c r="BZ320" s="17">
        <v>10.19</v>
      </c>
      <c r="CA320" s="18">
        <v>7.1899999999999995</v>
      </c>
      <c r="CB320" s="19">
        <v>8.69</v>
      </c>
      <c r="CC320" s="17">
        <v>6.61</v>
      </c>
      <c r="CD320" s="18">
        <v>6.37</v>
      </c>
      <c r="CE320" s="19">
        <v>6.49</v>
      </c>
      <c r="CF320" s="17">
        <v>1.82</v>
      </c>
      <c r="CG320" s="18">
        <v>1.32</v>
      </c>
      <c r="CH320" s="19">
        <v>1.57</v>
      </c>
      <c r="CI320" s="17">
        <v>0.42</v>
      </c>
      <c r="CJ320" s="18">
        <v>0.38</v>
      </c>
      <c r="CK320" s="19">
        <v>0.4</v>
      </c>
      <c r="CL320" s="17">
        <v>39.08</v>
      </c>
      <c r="CM320">
        <v>36.68</v>
      </c>
      <c r="CN320">
        <v>37.879999999999995</v>
      </c>
      <c r="CO320">
        <v>6.96</v>
      </c>
      <c r="CP320">
        <v>1.96</v>
      </c>
      <c r="CQ320">
        <v>4.46</v>
      </c>
    </row>
    <row r="321" spans="1:95">
      <c r="A321" s="223">
        <v>45608</v>
      </c>
      <c r="B321" s="16" t="s">
        <v>97</v>
      </c>
      <c r="C321" s="17">
        <v>154.83000000000001</v>
      </c>
      <c r="D321" s="18">
        <v>152.83000000000001</v>
      </c>
      <c r="E321" s="19">
        <v>153.83000000000001</v>
      </c>
      <c r="F321" s="17">
        <v>165.45</v>
      </c>
      <c r="G321" s="18">
        <v>162.44999999999999</v>
      </c>
      <c r="H321" s="19">
        <v>163.95</v>
      </c>
      <c r="I321" s="17">
        <v>112.09</v>
      </c>
      <c r="J321" s="18">
        <v>108.89</v>
      </c>
      <c r="K321" s="19">
        <v>110.49000000000001</v>
      </c>
      <c r="L321" s="18">
        <v>201.96</v>
      </c>
      <c r="M321" s="18">
        <v>193.96</v>
      </c>
      <c r="N321" s="18">
        <v>197.96</v>
      </c>
      <c r="O321" s="17">
        <v>175.57</v>
      </c>
      <c r="P321" s="18">
        <v>173.76999999999998</v>
      </c>
      <c r="Q321" s="19">
        <v>174.67</v>
      </c>
      <c r="R321" s="18">
        <v>22.28</v>
      </c>
      <c r="S321" s="18">
        <v>21.68</v>
      </c>
      <c r="T321" s="18">
        <v>21.98</v>
      </c>
      <c r="U321" s="17">
        <v>14.26</v>
      </c>
      <c r="V321" s="18">
        <v>13.66</v>
      </c>
      <c r="W321" s="19">
        <v>13.96</v>
      </c>
      <c r="X321" s="17">
        <v>14.6</v>
      </c>
      <c r="Y321" s="18">
        <v>13.799999999999999</v>
      </c>
      <c r="Z321" s="19">
        <v>14.2</v>
      </c>
      <c r="AA321" s="17">
        <v>103.11</v>
      </c>
      <c r="AB321" s="18">
        <v>99.11</v>
      </c>
      <c r="AC321" s="19">
        <v>101.11</v>
      </c>
      <c r="AD321" s="17">
        <v>93.77</v>
      </c>
      <c r="AE321" s="18">
        <v>89.77</v>
      </c>
      <c r="AF321" s="19">
        <v>91.77</v>
      </c>
      <c r="AG321" s="18">
        <v>20.21</v>
      </c>
      <c r="AH321" s="18">
        <v>19.350000000000001</v>
      </c>
      <c r="AI321" s="18">
        <v>19.78</v>
      </c>
      <c r="AJ321" s="20"/>
      <c r="AK321" s="21"/>
      <c r="AL321" s="22"/>
      <c r="AM321" s="18">
        <v>116.18</v>
      </c>
      <c r="AN321" s="18">
        <v>114.52000000000001</v>
      </c>
      <c r="AO321" s="18">
        <v>115.35000000000001</v>
      </c>
      <c r="AP321" s="17">
        <v>41.82</v>
      </c>
      <c r="AQ321" s="18">
        <v>40.22</v>
      </c>
      <c r="AR321" s="19">
        <v>41.019999999999996</v>
      </c>
      <c r="AS321" s="18">
        <v>42.63</v>
      </c>
      <c r="AT321" s="18">
        <v>41.27</v>
      </c>
      <c r="AU321" s="18">
        <v>41.95</v>
      </c>
      <c r="AV321" s="17">
        <v>21.59</v>
      </c>
      <c r="AW321" s="18">
        <v>20.99</v>
      </c>
      <c r="AX321" s="19">
        <v>21.29</v>
      </c>
      <c r="AY321" s="17">
        <v>4.53</v>
      </c>
      <c r="AZ321" s="18">
        <v>4.37</v>
      </c>
      <c r="BA321" s="19">
        <v>4.45</v>
      </c>
      <c r="BB321" s="17">
        <v>1.98</v>
      </c>
      <c r="BC321" s="23">
        <v>1.68</v>
      </c>
      <c r="BD321" s="24">
        <v>1.83</v>
      </c>
      <c r="BE321" s="18">
        <v>0.71</v>
      </c>
      <c r="BF321" s="23">
        <v>0.41</v>
      </c>
      <c r="BG321" s="23">
        <v>0.55999999999999994</v>
      </c>
      <c r="BH321" s="17">
        <v>509.57</v>
      </c>
      <c r="BI321" s="18">
        <v>493.57</v>
      </c>
      <c r="BJ321" s="19">
        <v>501.57</v>
      </c>
      <c r="BK321" s="18">
        <v>42.95</v>
      </c>
      <c r="BL321" s="18">
        <v>41.59</v>
      </c>
      <c r="BM321" s="18">
        <v>42.27</v>
      </c>
      <c r="BN321" s="25">
        <v>1.1000000000000001</v>
      </c>
      <c r="BO321" s="23">
        <v>0.8600000000000001</v>
      </c>
      <c r="BP321" s="24">
        <v>0.98000000000000009</v>
      </c>
      <c r="BQ321" s="18">
        <v>8.5500000000000007</v>
      </c>
      <c r="BR321" s="18">
        <v>6.5500000000000007</v>
      </c>
      <c r="BS321" s="18">
        <v>7.5500000000000007</v>
      </c>
      <c r="BT321" s="17">
        <v>11.19</v>
      </c>
      <c r="BU321" s="18">
        <v>10.79</v>
      </c>
      <c r="BV321" s="19">
        <v>10.989999999999998</v>
      </c>
      <c r="BW321" s="17">
        <v>2.78</v>
      </c>
      <c r="BX321" s="23">
        <v>2.5</v>
      </c>
      <c r="BY321" s="24">
        <v>2.6399999999999997</v>
      </c>
      <c r="BZ321" s="17">
        <v>10.07</v>
      </c>
      <c r="CA321" s="18">
        <v>7.07</v>
      </c>
      <c r="CB321" s="19">
        <v>8.57</v>
      </c>
      <c r="CC321" s="17">
        <v>6.6</v>
      </c>
      <c r="CD321" s="18">
        <v>6.3599999999999994</v>
      </c>
      <c r="CE321" s="19">
        <v>6.4799999999999995</v>
      </c>
      <c r="CF321" s="17">
        <v>1.85</v>
      </c>
      <c r="CG321" s="18">
        <v>1.35</v>
      </c>
      <c r="CH321" s="19">
        <v>1.6</v>
      </c>
      <c r="CI321" s="17">
        <v>0.42</v>
      </c>
      <c r="CJ321" s="18">
        <v>0.38</v>
      </c>
      <c r="CK321" s="19">
        <v>0.4</v>
      </c>
      <c r="CL321" s="17">
        <v>38.82</v>
      </c>
      <c r="CM321">
        <v>36.42</v>
      </c>
      <c r="CN321">
        <v>37.620000000000005</v>
      </c>
      <c r="CO321">
        <v>6.98</v>
      </c>
      <c r="CP321">
        <v>1.9800000000000004</v>
      </c>
      <c r="CQ321">
        <v>4.4800000000000004</v>
      </c>
    </row>
    <row r="322" spans="1:95">
      <c r="A322" s="223">
        <v>45609</v>
      </c>
      <c r="B322" s="16" t="s">
        <v>98</v>
      </c>
      <c r="C322" s="17">
        <v>155.97</v>
      </c>
      <c r="D322" s="18">
        <v>153.97</v>
      </c>
      <c r="E322" s="19">
        <v>154.97</v>
      </c>
      <c r="F322" s="17">
        <v>166.03</v>
      </c>
      <c r="G322" s="18">
        <v>163.03</v>
      </c>
      <c r="H322" s="19">
        <v>164.53</v>
      </c>
      <c r="I322" s="17">
        <v>112.7</v>
      </c>
      <c r="J322" s="18">
        <v>109.5</v>
      </c>
      <c r="K322" s="19">
        <v>111.1</v>
      </c>
      <c r="L322" s="18">
        <v>201.39</v>
      </c>
      <c r="M322" s="18">
        <v>193.39</v>
      </c>
      <c r="N322" s="18">
        <v>197.39</v>
      </c>
      <c r="O322" s="17">
        <v>176.48</v>
      </c>
      <c r="P322" s="18">
        <v>174.67999999999998</v>
      </c>
      <c r="Q322" s="19">
        <v>175.57999999999998</v>
      </c>
      <c r="R322" s="18">
        <v>22.36</v>
      </c>
      <c r="S322" s="18">
        <v>21.759999999999998</v>
      </c>
      <c r="T322" s="18">
        <v>22.06</v>
      </c>
      <c r="U322" s="17">
        <v>14.28</v>
      </c>
      <c r="V322" s="18">
        <v>13.68</v>
      </c>
      <c r="W322" s="19">
        <v>13.98</v>
      </c>
      <c r="X322" s="17">
        <v>14.61</v>
      </c>
      <c r="Y322" s="18">
        <v>13.809999999999999</v>
      </c>
      <c r="Z322" s="19">
        <v>14.209999999999999</v>
      </c>
      <c r="AA322" s="17">
        <v>103.06</v>
      </c>
      <c r="AB322" s="18">
        <v>99.06</v>
      </c>
      <c r="AC322" s="19">
        <v>101.06</v>
      </c>
      <c r="AD322" s="17">
        <v>93.71</v>
      </c>
      <c r="AE322" s="18">
        <v>89.71</v>
      </c>
      <c r="AF322" s="19">
        <v>91.71</v>
      </c>
      <c r="AG322" s="18">
        <v>20.350000000000001</v>
      </c>
      <c r="AH322" s="18">
        <v>19.490000000000002</v>
      </c>
      <c r="AI322" s="18">
        <v>19.920000000000002</v>
      </c>
      <c r="AJ322" s="20"/>
      <c r="AK322" s="21"/>
      <c r="AL322" s="22"/>
      <c r="AM322" s="18">
        <v>116.52</v>
      </c>
      <c r="AN322" s="18">
        <v>114.86</v>
      </c>
      <c r="AO322" s="18">
        <v>115.69</v>
      </c>
      <c r="AP322" s="17">
        <v>42.11</v>
      </c>
      <c r="AQ322" s="18">
        <v>40.51</v>
      </c>
      <c r="AR322" s="19">
        <v>41.31</v>
      </c>
      <c r="AS322" s="18">
        <v>42.94</v>
      </c>
      <c r="AT322" s="18">
        <v>41.58</v>
      </c>
      <c r="AU322" s="18">
        <v>42.26</v>
      </c>
      <c r="AV322" s="17">
        <v>21.69</v>
      </c>
      <c r="AW322" s="18">
        <v>21.09</v>
      </c>
      <c r="AX322" s="19">
        <v>21.39</v>
      </c>
      <c r="AY322" s="17">
        <v>4.5199999999999996</v>
      </c>
      <c r="AZ322" s="18">
        <v>4.3599999999999994</v>
      </c>
      <c r="BA322" s="19">
        <v>4.4399999999999995</v>
      </c>
      <c r="BB322" s="17">
        <v>2</v>
      </c>
      <c r="BC322" s="23">
        <v>1.7</v>
      </c>
      <c r="BD322" s="24">
        <v>1.85</v>
      </c>
      <c r="BE322" s="18">
        <v>0.71</v>
      </c>
      <c r="BF322" s="23">
        <v>0.41</v>
      </c>
      <c r="BG322" s="23">
        <v>0.55999999999999994</v>
      </c>
      <c r="BH322" s="17">
        <v>512.79</v>
      </c>
      <c r="BI322" s="18">
        <v>496.78999999999996</v>
      </c>
      <c r="BJ322" s="19">
        <v>504.78999999999996</v>
      </c>
      <c r="BK322" s="18">
        <v>43.27</v>
      </c>
      <c r="BL322" s="18">
        <v>41.910000000000004</v>
      </c>
      <c r="BM322" s="18">
        <v>42.59</v>
      </c>
      <c r="BN322" s="25">
        <v>1.1100000000000001</v>
      </c>
      <c r="BO322" s="23">
        <v>0.87000000000000011</v>
      </c>
      <c r="BP322" s="24">
        <v>0.9900000000000001</v>
      </c>
      <c r="BQ322" s="18">
        <v>8.5299999999999994</v>
      </c>
      <c r="BR322" s="18">
        <v>6.5299999999999994</v>
      </c>
      <c r="BS322" s="18">
        <v>7.5299999999999994</v>
      </c>
      <c r="BT322" s="17">
        <v>11.21</v>
      </c>
      <c r="BU322" s="18">
        <v>10.81</v>
      </c>
      <c r="BV322" s="19">
        <v>11.010000000000002</v>
      </c>
      <c r="BW322" s="17">
        <v>2.79</v>
      </c>
      <c r="BX322" s="23">
        <v>2.5099999999999998</v>
      </c>
      <c r="BY322" s="24">
        <v>2.65</v>
      </c>
      <c r="BZ322" s="17">
        <v>10.050000000000001</v>
      </c>
      <c r="CA322" s="18">
        <v>7.0500000000000007</v>
      </c>
      <c r="CB322" s="19">
        <v>8.5500000000000007</v>
      </c>
      <c r="CC322" s="17">
        <v>6.61</v>
      </c>
      <c r="CD322" s="18">
        <v>6.37</v>
      </c>
      <c r="CE322" s="19">
        <v>6.49</v>
      </c>
      <c r="CF322" s="17">
        <v>1.84</v>
      </c>
      <c r="CG322" s="18">
        <v>1.34</v>
      </c>
      <c r="CH322" s="19">
        <v>1.59</v>
      </c>
      <c r="CI322" s="17">
        <v>0.42</v>
      </c>
      <c r="CJ322" s="18">
        <v>0.38</v>
      </c>
      <c r="CK322" s="19">
        <v>0.4</v>
      </c>
      <c r="CL322" s="17">
        <v>38.979999999999997</v>
      </c>
      <c r="CM322">
        <v>36.58</v>
      </c>
      <c r="CN322">
        <v>37.78</v>
      </c>
      <c r="CO322">
        <v>7.01</v>
      </c>
      <c r="CP322">
        <v>2.0099999999999998</v>
      </c>
      <c r="CQ322">
        <v>4.51</v>
      </c>
    </row>
    <row r="323" spans="1:95">
      <c r="A323" s="223">
        <v>45610</v>
      </c>
      <c r="B323" s="16" t="s">
        <v>99</v>
      </c>
      <c r="C323" s="18">
        <v>156.77000000000001</v>
      </c>
      <c r="D323" s="18">
        <v>154.77000000000001</v>
      </c>
      <c r="E323" s="18">
        <v>155.77000000000001</v>
      </c>
      <c r="F323" s="17">
        <v>166.04</v>
      </c>
      <c r="G323" s="18">
        <v>163.04</v>
      </c>
      <c r="H323" s="19">
        <v>164.54</v>
      </c>
      <c r="I323" s="18">
        <v>112.93</v>
      </c>
      <c r="J323" s="18">
        <v>109.73</v>
      </c>
      <c r="K323" s="18">
        <v>111.33000000000001</v>
      </c>
      <c r="L323" s="17">
        <v>201.95</v>
      </c>
      <c r="M323" s="18">
        <v>193.95</v>
      </c>
      <c r="N323" s="19">
        <v>197.95</v>
      </c>
      <c r="O323" s="18">
        <v>176.75</v>
      </c>
      <c r="P323" s="18">
        <v>174.95</v>
      </c>
      <c r="Q323" s="18">
        <v>175.85</v>
      </c>
      <c r="R323" s="17">
        <v>22.36</v>
      </c>
      <c r="S323" s="18">
        <v>21.759999999999998</v>
      </c>
      <c r="T323" s="19">
        <v>22.06</v>
      </c>
      <c r="U323" s="17">
        <v>14.3</v>
      </c>
      <c r="V323" s="18">
        <v>13.700000000000001</v>
      </c>
      <c r="W323" s="19">
        <v>14</v>
      </c>
      <c r="X323" s="17">
        <v>14.58</v>
      </c>
      <c r="Y323" s="18">
        <v>13.78</v>
      </c>
      <c r="Z323" s="19">
        <v>14.18</v>
      </c>
      <c r="AA323" s="17">
        <v>103.16</v>
      </c>
      <c r="AB323" s="18">
        <v>99.16</v>
      </c>
      <c r="AC323" s="19">
        <v>101.16</v>
      </c>
      <c r="AD323" s="18">
        <v>93.58</v>
      </c>
      <c r="AE323" s="18">
        <v>89.58</v>
      </c>
      <c r="AF323" s="18">
        <v>91.58</v>
      </c>
      <c r="AG323" s="17">
        <v>20.45</v>
      </c>
      <c r="AH323" s="18">
        <v>19.59</v>
      </c>
      <c r="AI323" s="19">
        <v>20.02</v>
      </c>
      <c r="AJ323" s="20"/>
      <c r="AK323" s="21"/>
      <c r="AL323" s="22"/>
      <c r="AM323" s="17">
        <v>116.82</v>
      </c>
      <c r="AN323" s="18">
        <v>115.16</v>
      </c>
      <c r="AO323" s="19">
        <v>115.99</v>
      </c>
      <c r="AP323" s="17">
        <v>42.33</v>
      </c>
      <c r="AQ323" s="18">
        <v>40.729999999999997</v>
      </c>
      <c r="AR323" s="19">
        <v>41.53</v>
      </c>
      <c r="AS323" s="18">
        <v>43.16</v>
      </c>
      <c r="AT323" s="18">
        <v>41.8</v>
      </c>
      <c r="AU323" s="18">
        <v>42.48</v>
      </c>
      <c r="AV323" s="17">
        <v>21.8</v>
      </c>
      <c r="AW323" s="18">
        <v>21.2</v>
      </c>
      <c r="AX323" s="19">
        <v>21.5</v>
      </c>
      <c r="AY323" s="17">
        <v>4.55</v>
      </c>
      <c r="AZ323" s="18">
        <v>4.3899999999999997</v>
      </c>
      <c r="BA323" s="19">
        <v>4.47</v>
      </c>
      <c r="BB323" s="17">
        <v>2.0099999999999998</v>
      </c>
      <c r="BC323" s="23">
        <v>1.7099999999999997</v>
      </c>
      <c r="BD323" s="24">
        <v>1.8599999999999999</v>
      </c>
      <c r="BE323" s="17">
        <v>0.71</v>
      </c>
      <c r="BF323" s="23">
        <v>0.41</v>
      </c>
      <c r="BG323" s="24">
        <v>0.55999999999999994</v>
      </c>
      <c r="BH323" s="17">
        <v>515.23</v>
      </c>
      <c r="BI323" s="18">
        <v>499.23</v>
      </c>
      <c r="BJ323" s="19">
        <v>507.23</v>
      </c>
      <c r="BK323" s="18">
        <v>43.49</v>
      </c>
      <c r="BL323" s="18">
        <v>42.13</v>
      </c>
      <c r="BM323" s="18">
        <v>42.81</v>
      </c>
      <c r="BN323" s="25">
        <v>1.1100000000000001</v>
      </c>
      <c r="BO323" s="23">
        <v>0.87000000000000011</v>
      </c>
      <c r="BP323" s="24">
        <v>0.9900000000000001</v>
      </c>
      <c r="BQ323" s="18">
        <v>8.59</v>
      </c>
      <c r="BR323" s="18">
        <v>6.59</v>
      </c>
      <c r="BS323" s="18">
        <v>7.59</v>
      </c>
      <c r="BT323" s="17">
        <v>11.32</v>
      </c>
      <c r="BU323" s="18">
        <v>10.92</v>
      </c>
      <c r="BV323" s="19">
        <v>11.120000000000001</v>
      </c>
      <c r="BW323" s="17">
        <v>2.81</v>
      </c>
      <c r="BX323" s="23">
        <v>2.5300000000000002</v>
      </c>
      <c r="BY323" s="24">
        <v>2.67</v>
      </c>
      <c r="BZ323" s="17">
        <v>10.029999999999999</v>
      </c>
      <c r="CA323" s="18">
        <v>7.0299999999999994</v>
      </c>
      <c r="CB323" s="19">
        <v>8.5299999999999994</v>
      </c>
      <c r="CC323" s="17">
        <v>6.63</v>
      </c>
      <c r="CD323" s="18">
        <v>6.39</v>
      </c>
      <c r="CE323" s="19">
        <v>6.51</v>
      </c>
      <c r="CF323" s="18">
        <v>1.83</v>
      </c>
      <c r="CG323" s="18">
        <v>1.33</v>
      </c>
      <c r="CH323" s="18">
        <v>1.58</v>
      </c>
      <c r="CI323" s="17">
        <v>0.42</v>
      </c>
      <c r="CJ323" s="18">
        <v>0.38</v>
      </c>
      <c r="CK323" s="19">
        <v>0.4</v>
      </c>
      <c r="CL323" s="17">
        <v>39.1</v>
      </c>
      <c r="CM323">
        <v>36.700000000000003</v>
      </c>
      <c r="CN323">
        <v>37.900000000000006</v>
      </c>
      <c r="CO323">
        <v>7.04</v>
      </c>
      <c r="CP323">
        <v>2.04</v>
      </c>
      <c r="CQ323">
        <v>4.54</v>
      </c>
    </row>
    <row r="324" spans="1:95">
      <c r="A324" s="223">
        <v>45611</v>
      </c>
      <c r="B324" s="16" t="s">
        <v>100</v>
      </c>
      <c r="C324" s="17">
        <v>157.84</v>
      </c>
      <c r="D324" s="18">
        <v>155.84</v>
      </c>
      <c r="E324" s="19">
        <v>156.84</v>
      </c>
      <c r="F324" s="17">
        <v>166.62</v>
      </c>
      <c r="G324" s="18">
        <v>163.62</v>
      </c>
      <c r="H324" s="19">
        <v>165.12</v>
      </c>
      <c r="I324" s="17">
        <v>113.09</v>
      </c>
      <c r="J324" s="18">
        <v>109.89</v>
      </c>
      <c r="K324" s="19">
        <v>111.49000000000001</v>
      </c>
      <c r="L324" s="18">
        <v>202.61</v>
      </c>
      <c r="M324" s="18">
        <v>194.61</v>
      </c>
      <c r="N324" s="18">
        <v>198.61</v>
      </c>
      <c r="O324" s="17">
        <v>176.99</v>
      </c>
      <c r="P324" s="18">
        <v>175.19</v>
      </c>
      <c r="Q324" s="19">
        <v>176.09</v>
      </c>
      <c r="R324" s="18">
        <v>22.43</v>
      </c>
      <c r="S324" s="18">
        <v>21.83</v>
      </c>
      <c r="T324" s="18">
        <v>22.13</v>
      </c>
      <c r="U324" s="17">
        <v>14.38</v>
      </c>
      <c r="V324" s="18">
        <v>13.780000000000001</v>
      </c>
      <c r="W324" s="19">
        <v>14.080000000000002</v>
      </c>
      <c r="X324" s="17">
        <v>14.67</v>
      </c>
      <c r="Y324" s="18">
        <v>13.87</v>
      </c>
      <c r="Z324" s="19">
        <v>14.27</v>
      </c>
      <c r="AA324" s="17">
        <v>103.13</v>
      </c>
      <c r="AB324" s="18">
        <v>99.13</v>
      </c>
      <c r="AC324" s="19">
        <v>101.13</v>
      </c>
      <c r="AD324" s="17">
        <v>93.63</v>
      </c>
      <c r="AE324" s="18">
        <v>89.63</v>
      </c>
      <c r="AF324" s="19">
        <v>91.63</v>
      </c>
      <c r="AG324" s="18">
        <v>20.58</v>
      </c>
      <c r="AH324" s="18">
        <v>19.72</v>
      </c>
      <c r="AI324" s="18">
        <v>20.149999999999999</v>
      </c>
      <c r="AJ324" s="20"/>
      <c r="AK324" s="21"/>
      <c r="AL324" s="22"/>
      <c r="AM324" s="18">
        <v>117.34</v>
      </c>
      <c r="AN324" s="18">
        <v>115.68</v>
      </c>
      <c r="AO324" s="18">
        <v>116.51</v>
      </c>
      <c r="AP324" s="17">
        <v>42.65</v>
      </c>
      <c r="AQ324" s="18">
        <v>41.05</v>
      </c>
      <c r="AR324" s="19">
        <v>41.849999999999994</v>
      </c>
      <c r="AS324" s="18">
        <v>43.45</v>
      </c>
      <c r="AT324" s="18">
        <v>42.09</v>
      </c>
      <c r="AU324" s="18">
        <v>42.77</v>
      </c>
      <c r="AV324" s="17">
        <v>21.93</v>
      </c>
      <c r="AW324" s="18">
        <v>21.33</v>
      </c>
      <c r="AX324" s="19">
        <v>21.63</v>
      </c>
      <c r="AY324" s="17">
        <v>4.57</v>
      </c>
      <c r="AZ324" s="18">
        <v>4.41</v>
      </c>
      <c r="BA324" s="19">
        <v>4.49</v>
      </c>
      <c r="BB324" s="17">
        <v>2.02</v>
      </c>
      <c r="BC324" s="23">
        <v>1.72</v>
      </c>
      <c r="BD324" s="24">
        <v>1.87</v>
      </c>
      <c r="BE324" s="18">
        <v>0.72</v>
      </c>
      <c r="BF324" s="23">
        <v>0.42</v>
      </c>
      <c r="BG324" s="23">
        <v>0.56999999999999995</v>
      </c>
      <c r="BH324" s="17">
        <v>518.71</v>
      </c>
      <c r="BI324" s="18">
        <v>502.71000000000004</v>
      </c>
      <c r="BJ324" s="19">
        <v>510.71000000000004</v>
      </c>
      <c r="BK324" s="18">
        <v>43.77</v>
      </c>
      <c r="BL324" s="18">
        <v>42.410000000000004</v>
      </c>
      <c r="BM324" s="18">
        <v>43.09</v>
      </c>
      <c r="BN324" s="25">
        <v>1.1100000000000001</v>
      </c>
      <c r="BO324" s="23">
        <v>0.87000000000000011</v>
      </c>
      <c r="BP324" s="24">
        <v>0.9900000000000001</v>
      </c>
      <c r="BQ324" s="18">
        <v>8.65</v>
      </c>
      <c r="BR324" s="18">
        <v>6.65</v>
      </c>
      <c r="BS324" s="18">
        <v>7.65</v>
      </c>
      <c r="BT324" s="17">
        <v>11.36</v>
      </c>
      <c r="BU324" s="18">
        <v>10.959999999999999</v>
      </c>
      <c r="BV324" s="19">
        <v>11.16</v>
      </c>
      <c r="BW324" s="17">
        <v>2.83</v>
      </c>
      <c r="BX324" s="23">
        <v>2.5499999999999998</v>
      </c>
      <c r="BY324" s="24">
        <v>2.69</v>
      </c>
      <c r="BZ324" s="17">
        <v>10.07</v>
      </c>
      <c r="CA324" s="18">
        <v>7.07</v>
      </c>
      <c r="CB324" s="19">
        <v>8.57</v>
      </c>
      <c r="CC324" s="17">
        <v>6.66</v>
      </c>
      <c r="CD324" s="18">
        <v>6.42</v>
      </c>
      <c r="CE324" s="19">
        <v>6.54</v>
      </c>
      <c r="CF324" s="17">
        <v>1.83</v>
      </c>
      <c r="CG324" s="18">
        <v>1.33</v>
      </c>
      <c r="CH324" s="19">
        <v>1.58</v>
      </c>
      <c r="CI324" s="17">
        <v>0.43</v>
      </c>
      <c r="CJ324" s="18">
        <v>0.39</v>
      </c>
      <c r="CK324" s="19">
        <v>0.41000000000000003</v>
      </c>
      <c r="CL324" s="17">
        <v>39.43</v>
      </c>
      <c r="CM324">
        <v>37.03</v>
      </c>
      <c r="CN324">
        <v>38.230000000000004</v>
      </c>
      <c r="CO324">
        <v>7.07</v>
      </c>
      <c r="CP324">
        <v>2.0700000000000003</v>
      </c>
      <c r="CQ324">
        <v>4.57</v>
      </c>
    </row>
    <row r="325" spans="1:95">
      <c r="A325" s="223">
        <v>45612</v>
      </c>
      <c r="B325" s="16" t="s">
        <v>307</v>
      </c>
      <c r="C325" s="17"/>
      <c r="D325" s="18"/>
      <c r="E325" s="19"/>
      <c r="F325" s="17"/>
      <c r="G325" s="18"/>
      <c r="H325" s="19"/>
      <c r="I325" s="17"/>
      <c r="J325" s="18"/>
      <c r="K325" s="19"/>
      <c r="L325" s="18"/>
      <c r="M325" s="18"/>
      <c r="N325" s="18"/>
      <c r="O325" s="17"/>
      <c r="P325" s="18"/>
      <c r="Q325" s="19"/>
      <c r="R325" s="18"/>
      <c r="S325" s="18"/>
      <c r="T325" s="18"/>
      <c r="U325" s="17"/>
      <c r="V325" s="18"/>
      <c r="W325" s="19"/>
      <c r="X325" s="17"/>
      <c r="Y325" s="18"/>
      <c r="Z325" s="19"/>
      <c r="AA325" s="17"/>
      <c r="AB325" s="18"/>
      <c r="AC325" s="19"/>
      <c r="AD325" s="17"/>
      <c r="AE325" s="18"/>
      <c r="AF325" s="19"/>
      <c r="AG325" s="18"/>
      <c r="AH325" s="18"/>
      <c r="AI325" s="18"/>
      <c r="AJ325" s="20"/>
      <c r="AK325" s="21"/>
      <c r="AL325" s="22"/>
      <c r="AM325" s="18"/>
      <c r="AN325" s="18"/>
      <c r="AO325" s="18"/>
      <c r="AP325" s="17"/>
      <c r="AQ325" s="18"/>
      <c r="AR325" s="19"/>
      <c r="AS325" s="18"/>
      <c r="AT325" s="18"/>
      <c r="AU325" s="18"/>
      <c r="AV325" s="17"/>
      <c r="AW325" s="18"/>
      <c r="AX325" s="19"/>
      <c r="AY325" s="17"/>
      <c r="AZ325" s="18"/>
      <c r="BA325" s="19"/>
      <c r="BB325" s="17"/>
      <c r="BC325" s="23"/>
      <c r="BD325" s="24"/>
      <c r="BE325" s="18"/>
      <c r="BF325" s="23"/>
      <c r="BG325" s="23"/>
      <c r="BH325" s="17"/>
      <c r="BI325" s="18"/>
      <c r="BJ325" s="19"/>
      <c r="BK325" s="18"/>
      <c r="BL325" s="18"/>
      <c r="BM325" s="18"/>
      <c r="BN325" s="25"/>
      <c r="BO325" s="23"/>
      <c r="BP325" s="24"/>
      <c r="BQ325" s="18"/>
      <c r="BR325" s="18"/>
      <c r="BS325" s="18"/>
      <c r="BT325" s="17"/>
      <c r="BU325" s="18"/>
      <c r="BV325" s="19"/>
      <c r="BW325" s="17"/>
      <c r="BX325" s="23"/>
      <c r="BY325" s="24"/>
      <c r="BZ325" s="17"/>
      <c r="CA325" s="18"/>
      <c r="CB325" s="19"/>
      <c r="CC325" s="17"/>
      <c r="CD325" s="18"/>
      <c r="CE325" s="19"/>
      <c r="CF325" s="17"/>
      <c r="CG325" s="18"/>
      <c r="CH325" s="19"/>
      <c r="CI325" s="17"/>
      <c r="CJ325" s="18"/>
      <c r="CK325" s="19"/>
      <c r="CL325" s="17"/>
    </row>
    <row r="326" spans="1:95">
      <c r="A326" s="223">
        <v>45613</v>
      </c>
      <c r="B326" s="16" t="s">
        <v>308</v>
      </c>
      <c r="C326" s="17"/>
      <c r="D326" s="18"/>
      <c r="E326" s="19"/>
      <c r="F326" s="17"/>
      <c r="G326" s="18"/>
      <c r="H326" s="19"/>
      <c r="I326" s="17"/>
      <c r="J326" s="18"/>
      <c r="K326" s="19"/>
      <c r="L326" s="18"/>
      <c r="M326" s="18"/>
      <c r="N326" s="18"/>
      <c r="O326" s="17"/>
      <c r="P326" s="18"/>
      <c r="Q326" s="19"/>
      <c r="R326" s="18"/>
      <c r="S326" s="18"/>
      <c r="T326" s="18"/>
      <c r="U326" s="17"/>
      <c r="V326" s="18"/>
      <c r="W326" s="19"/>
      <c r="X326" s="17"/>
      <c r="Y326" s="18"/>
      <c r="Z326" s="19"/>
      <c r="AA326" s="17"/>
      <c r="AB326" s="18"/>
      <c r="AC326" s="19"/>
      <c r="AD326" s="17"/>
      <c r="AE326" s="18"/>
      <c r="AF326" s="19"/>
      <c r="AG326" s="18"/>
      <c r="AH326" s="18"/>
      <c r="AI326" s="18"/>
      <c r="AJ326" s="20"/>
      <c r="AK326" s="21"/>
      <c r="AL326" s="22"/>
      <c r="AM326" s="18"/>
      <c r="AN326" s="18"/>
      <c r="AO326" s="18"/>
      <c r="AP326" s="17"/>
      <c r="AQ326" s="18"/>
      <c r="AR326" s="19"/>
      <c r="AS326" s="18"/>
      <c r="AT326" s="18"/>
      <c r="AU326" s="18"/>
      <c r="AV326" s="17"/>
      <c r="AW326" s="18"/>
      <c r="AX326" s="19"/>
      <c r="AY326" s="17"/>
      <c r="AZ326" s="18"/>
      <c r="BA326" s="19"/>
      <c r="BB326" s="17"/>
      <c r="BC326" s="23"/>
      <c r="BD326" s="24"/>
      <c r="BE326" s="18"/>
      <c r="BF326" s="23"/>
      <c r="BG326" s="23"/>
      <c r="BH326" s="17"/>
      <c r="BI326" s="18"/>
      <c r="BJ326" s="19"/>
      <c r="BK326" s="18"/>
      <c r="BL326" s="18"/>
      <c r="BM326" s="18"/>
      <c r="BN326" s="25"/>
      <c r="BO326" s="23"/>
      <c r="BP326" s="24"/>
      <c r="BQ326" s="18"/>
      <c r="BR326" s="18"/>
      <c r="BS326" s="18"/>
      <c r="BT326" s="17"/>
      <c r="BU326" s="18"/>
      <c r="BV326" s="19"/>
      <c r="BW326" s="17"/>
      <c r="BX326" s="23"/>
      <c r="BY326" s="24"/>
      <c r="BZ326" s="17"/>
      <c r="CA326" s="18"/>
      <c r="CB326" s="19"/>
      <c r="CC326" s="17"/>
      <c r="CD326" s="18"/>
      <c r="CE326" s="19"/>
      <c r="CF326" s="17"/>
      <c r="CG326" s="18"/>
      <c r="CH326" s="19"/>
      <c r="CI326" s="17"/>
      <c r="CJ326" s="18"/>
      <c r="CK326" s="19"/>
      <c r="CL326" s="17"/>
    </row>
    <row r="327" spans="1:95">
      <c r="A327" s="223">
        <v>45614</v>
      </c>
      <c r="B327" s="16" t="s">
        <v>96</v>
      </c>
      <c r="C327" s="17">
        <v>155.35</v>
      </c>
      <c r="D327" s="18">
        <v>153.35</v>
      </c>
      <c r="E327" s="19">
        <v>154.35</v>
      </c>
      <c r="F327" s="17">
        <v>164.28</v>
      </c>
      <c r="G327" s="18">
        <v>161.28</v>
      </c>
      <c r="H327" s="19">
        <v>162.78</v>
      </c>
      <c r="I327" s="17">
        <v>111.25</v>
      </c>
      <c r="J327" s="18">
        <v>108.05</v>
      </c>
      <c r="K327" s="19">
        <v>109.65</v>
      </c>
      <c r="L327" s="18">
        <v>199.02</v>
      </c>
      <c r="M327" s="18">
        <v>191.02</v>
      </c>
      <c r="N327" s="18">
        <v>195.02</v>
      </c>
      <c r="O327" s="17">
        <v>174.8</v>
      </c>
      <c r="P327" s="18">
        <v>173</v>
      </c>
      <c r="Q327" s="19">
        <v>173.9</v>
      </c>
      <c r="R327" s="18">
        <v>22.12</v>
      </c>
      <c r="S327" s="18">
        <v>21.52</v>
      </c>
      <c r="T327" s="18">
        <v>21.82</v>
      </c>
      <c r="U327" s="17">
        <v>14.25</v>
      </c>
      <c r="V327" s="18">
        <v>13.65</v>
      </c>
      <c r="W327" s="19">
        <v>13.95</v>
      </c>
      <c r="X327" s="17">
        <v>14.48</v>
      </c>
      <c r="Y327" s="18">
        <v>13.68</v>
      </c>
      <c r="Z327" s="19">
        <v>14.08</v>
      </c>
      <c r="AA327" s="17">
        <v>101.96</v>
      </c>
      <c r="AB327" s="18">
        <v>97.96</v>
      </c>
      <c r="AC327" s="19">
        <v>99.96</v>
      </c>
      <c r="AD327" s="17">
        <v>92.68</v>
      </c>
      <c r="AE327" s="18">
        <v>88.68</v>
      </c>
      <c r="AF327" s="19">
        <v>90.68</v>
      </c>
      <c r="AG327" s="18">
        <v>20.260000000000002</v>
      </c>
      <c r="AH327" s="18">
        <v>19.400000000000002</v>
      </c>
      <c r="AI327" s="18">
        <v>19.830000000000002</v>
      </c>
      <c r="AJ327" s="20"/>
      <c r="AK327" s="21"/>
      <c r="AL327" s="22"/>
      <c r="AM327" s="18">
        <v>115.98</v>
      </c>
      <c r="AN327" s="18">
        <v>114.32000000000001</v>
      </c>
      <c r="AO327" s="18">
        <v>115.15</v>
      </c>
      <c r="AP327" s="17">
        <v>41.99</v>
      </c>
      <c r="AQ327" s="18">
        <v>40.39</v>
      </c>
      <c r="AR327" s="19">
        <v>41.19</v>
      </c>
      <c r="AS327" s="18">
        <v>42.77</v>
      </c>
      <c r="AT327" s="18">
        <v>41.410000000000004</v>
      </c>
      <c r="AU327" s="18">
        <v>42.09</v>
      </c>
      <c r="AV327" s="17">
        <v>21.64</v>
      </c>
      <c r="AW327" s="18">
        <v>21.04</v>
      </c>
      <c r="AX327" s="19">
        <v>21.34</v>
      </c>
      <c r="AY327" s="17">
        <v>4.53</v>
      </c>
      <c r="AZ327" s="18">
        <v>4.37</v>
      </c>
      <c r="BA327" s="19">
        <v>4.45</v>
      </c>
      <c r="BB327" s="17">
        <v>1.99</v>
      </c>
      <c r="BC327" s="23">
        <v>1.69</v>
      </c>
      <c r="BD327" s="24">
        <v>1.8399999999999999</v>
      </c>
      <c r="BE327" s="18">
        <v>0.71</v>
      </c>
      <c r="BF327" s="23">
        <v>0.41</v>
      </c>
      <c r="BG327" s="23">
        <v>0.55999999999999994</v>
      </c>
      <c r="BH327" s="17">
        <v>510.77</v>
      </c>
      <c r="BI327" s="18">
        <v>494.77</v>
      </c>
      <c r="BJ327" s="19">
        <v>502.77</v>
      </c>
      <c r="BK327" s="18">
        <v>43.08</v>
      </c>
      <c r="BL327" s="18">
        <v>41.72</v>
      </c>
      <c r="BM327" s="18">
        <v>42.4</v>
      </c>
      <c r="BN327" s="25">
        <v>1.1000000000000001</v>
      </c>
      <c r="BO327" s="23">
        <v>0.8600000000000001</v>
      </c>
      <c r="BP327" s="24">
        <v>0.98000000000000009</v>
      </c>
      <c r="BQ327" s="18">
        <v>8.59</v>
      </c>
      <c r="BR327" s="18">
        <v>6.59</v>
      </c>
      <c r="BS327" s="18">
        <v>7.59</v>
      </c>
      <c r="BT327" s="17">
        <v>11.31</v>
      </c>
      <c r="BU327" s="18">
        <v>10.91</v>
      </c>
      <c r="BV327" s="19">
        <v>11.11</v>
      </c>
      <c r="BW327" s="17">
        <v>2.79</v>
      </c>
      <c r="BX327" s="23">
        <v>2.5099999999999998</v>
      </c>
      <c r="BY327" s="24">
        <v>2.65</v>
      </c>
      <c r="BZ327" s="17">
        <v>10.01</v>
      </c>
      <c r="CA327" s="18">
        <v>7.01</v>
      </c>
      <c r="CB327" s="19">
        <v>8.51</v>
      </c>
      <c r="CC327" s="17">
        <v>6.57</v>
      </c>
      <c r="CD327" s="18">
        <v>6.33</v>
      </c>
      <c r="CE327" s="19">
        <v>6.45</v>
      </c>
      <c r="CF327" s="17">
        <v>1.8</v>
      </c>
      <c r="CG327" s="18">
        <v>1.3</v>
      </c>
      <c r="CH327" s="19">
        <v>1.55</v>
      </c>
      <c r="CI327" s="17">
        <v>0.42</v>
      </c>
      <c r="CJ327" s="18">
        <v>0.38</v>
      </c>
      <c r="CK327" s="19">
        <v>0.4</v>
      </c>
      <c r="CL327" s="17">
        <v>38.86</v>
      </c>
      <c r="CM327">
        <v>36.46</v>
      </c>
      <c r="CN327">
        <v>37.659999999999997</v>
      </c>
      <c r="CO327">
        <v>6.99</v>
      </c>
      <c r="CP327">
        <v>1.9900000000000002</v>
      </c>
      <c r="CQ327">
        <v>4.49</v>
      </c>
    </row>
    <row r="328" spans="1:95">
      <c r="A328" s="223">
        <v>45615</v>
      </c>
      <c r="B328" s="16" t="s">
        <v>97</v>
      </c>
      <c r="C328" s="18">
        <v>155.47999999999999</v>
      </c>
      <c r="D328" s="18">
        <v>153.47999999999999</v>
      </c>
      <c r="E328" s="18">
        <v>154.47999999999999</v>
      </c>
      <c r="F328" s="17">
        <v>165.11</v>
      </c>
      <c r="G328" s="18">
        <v>162.11000000000001</v>
      </c>
      <c r="H328" s="19">
        <v>163.61000000000001</v>
      </c>
      <c r="I328" s="18">
        <v>111.72</v>
      </c>
      <c r="J328" s="18">
        <v>108.52</v>
      </c>
      <c r="K328" s="18">
        <v>110.12</v>
      </c>
      <c r="L328" s="17">
        <v>199.74</v>
      </c>
      <c r="M328" s="18">
        <v>191.74</v>
      </c>
      <c r="N328" s="19">
        <v>195.74</v>
      </c>
      <c r="O328" s="18">
        <v>175.73</v>
      </c>
      <c r="P328" s="18">
        <v>173.92999999999998</v>
      </c>
      <c r="Q328" s="18">
        <v>174.82999999999998</v>
      </c>
      <c r="R328" s="17">
        <v>22.23</v>
      </c>
      <c r="S328" s="18">
        <v>21.63</v>
      </c>
      <c r="T328" s="19">
        <v>21.93</v>
      </c>
      <c r="U328" s="17">
        <v>14.3</v>
      </c>
      <c r="V328" s="18">
        <v>13.700000000000001</v>
      </c>
      <c r="W328" s="19">
        <v>14</v>
      </c>
      <c r="X328" s="17">
        <v>14.53</v>
      </c>
      <c r="Y328" s="18">
        <v>13.729999999999999</v>
      </c>
      <c r="Z328" s="19">
        <v>14.129999999999999</v>
      </c>
      <c r="AA328" s="17">
        <v>102.37</v>
      </c>
      <c r="AB328" s="18">
        <v>98.37</v>
      </c>
      <c r="AC328" s="19">
        <v>100.37</v>
      </c>
      <c r="AD328" s="18">
        <v>92.83</v>
      </c>
      <c r="AE328" s="18">
        <v>88.83</v>
      </c>
      <c r="AF328" s="18">
        <v>90.83</v>
      </c>
      <c r="AG328" s="17">
        <v>20.28</v>
      </c>
      <c r="AH328" s="18">
        <v>19.420000000000002</v>
      </c>
      <c r="AI328" s="19">
        <v>19.850000000000001</v>
      </c>
      <c r="AJ328" s="20"/>
      <c r="AK328" s="21"/>
      <c r="AL328" s="22"/>
      <c r="AM328" s="17">
        <v>116.15</v>
      </c>
      <c r="AN328" s="18">
        <v>114.49000000000001</v>
      </c>
      <c r="AO328" s="19">
        <v>115.32000000000001</v>
      </c>
      <c r="AP328" s="17">
        <v>42.02</v>
      </c>
      <c r="AQ328" s="18">
        <v>40.42</v>
      </c>
      <c r="AR328" s="19">
        <v>41.22</v>
      </c>
      <c r="AS328" s="18">
        <v>42.81</v>
      </c>
      <c r="AT328" s="18">
        <v>41.45</v>
      </c>
      <c r="AU328" s="18">
        <v>42.13</v>
      </c>
      <c r="AV328" s="17">
        <v>21.67</v>
      </c>
      <c r="AW328" s="18">
        <v>21.07</v>
      </c>
      <c r="AX328" s="19">
        <v>21.37</v>
      </c>
      <c r="AY328" s="17">
        <v>4.55</v>
      </c>
      <c r="AZ328" s="18">
        <v>4.3899999999999997</v>
      </c>
      <c r="BA328" s="19">
        <v>4.47</v>
      </c>
      <c r="BB328" s="17">
        <v>1.99</v>
      </c>
      <c r="BC328" s="23">
        <v>1.69</v>
      </c>
      <c r="BD328" s="24">
        <v>1.8399999999999999</v>
      </c>
      <c r="BE328" s="17">
        <v>0.71</v>
      </c>
      <c r="BF328" s="23">
        <v>0.41</v>
      </c>
      <c r="BG328" s="24">
        <v>0.55999999999999994</v>
      </c>
      <c r="BH328" s="17">
        <v>511.52</v>
      </c>
      <c r="BI328" s="18">
        <v>495.52</v>
      </c>
      <c r="BJ328" s="19">
        <v>503.52</v>
      </c>
      <c r="BK328" s="18">
        <v>43.12</v>
      </c>
      <c r="BL328" s="18">
        <v>41.76</v>
      </c>
      <c r="BM328" s="18">
        <v>42.44</v>
      </c>
      <c r="BN328" s="25">
        <v>1.1000000000000001</v>
      </c>
      <c r="BO328" s="23">
        <v>0.8600000000000001</v>
      </c>
      <c r="BP328" s="24">
        <v>0.98000000000000009</v>
      </c>
      <c r="BQ328" s="18">
        <v>8.64</v>
      </c>
      <c r="BR328" s="18">
        <v>6.6400000000000006</v>
      </c>
      <c r="BS328" s="18">
        <v>7.6400000000000006</v>
      </c>
      <c r="BT328" s="17">
        <v>11.3</v>
      </c>
      <c r="BU328" s="18">
        <v>10.9</v>
      </c>
      <c r="BV328" s="19">
        <v>11.100000000000001</v>
      </c>
      <c r="BW328" s="17">
        <v>2.79</v>
      </c>
      <c r="BX328" s="23">
        <v>2.5099999999999998</v>
      </c>
      <c r="BY328" s="24">
        <v>2.65</v>
      </c>
      <c r="BZ328" s="17">
        <v>10.1</v>
      </c>
      <c r="CA328" s="18">
        <v>7.1</v>
      </c>
      <c r="CB328" s="19">
        <v>8.6</v>
      </c>
      <c r="CC328" s="17">
        <v>6.59</v>
      </c>
      <c r="CD328" s="18">
        <v>6.35</v>
      </c>
      <c r="CE328" s="19">
        <v>6.47</v>
      </c>
      <c r="CF328" s="18">
        <v>1.8</v>
      </c>
      <c r="CG328" s="18">
        <v>1.3</v>
      </c>
      <c r="CH328" s="18">
        <v>1.55</v>
      </c>
      <c r="CI328" s="17">
        <v>0.42</v>
      </c>
      <c r="CJ328" s="18">
        <v>0.38</v>
      </c>
      <c r="CK328" s="19">
        <v>0.4</v>
      </c>
      <c r="CL328" s="17">
        <v>38.96</v>
      </c>
      <c r="CM328">
        <v>36.56</v>
      </c>
      <c r="CN328">
        <v>37.760000000000005</v>
      </c>
      <c r="CO328">
        <v>6.98</v>
      </c>
      <c r="CP328">
        <v>1.9800000000000004</v>
      </c>
      <c r="CQ328">
        <v>4.4800000000000004</v>
      </c>
    </row>
    <row r="329" spans="1:95">
      <c r="A329" s="223">
        <v>45616</v>
      </c>
      <c r="B329" s="16" t="s">
        <v>98</v>
      </c>
      <c r="C329" s="17">
        <v>155.91</v>
      </c>
      <c r="D329" s="18">
        <v>153.91</v>
      </c>
      <c r="E329" s="19">
        <v>154.91</v>
      </c>
      <c r="F329" s="17">
        <v>165.77</v>
      </c>
      <c r="G329" s="18">
        <v>162.77000000000001</v>
      </c>
      <c r="H329" s="19">
        <v>164.27</v>
      </c>
      <c r="I329" s="17">
        <v>112.58</v>
      </c>
      <c r="J329" s="18">
        <v>109.38</v>
      </c>
      <c r="K329" s="19">
        <v>110.97999999999999</v>
      </c>
      <c r="L329" s="18">
        <v>200.6</v>
      </c>
      <c r="M329" s="18">
        <v>192.6</v>
      </c>
      <c r="N329" s="18">
        <v>196.6</v>
      </c>
      <c r="O329" s="17">
        <v>176.42</v>
      </c>
      <c r="P329" s="18">
        <v>174.61999999999998</v>
      </c>
      <c r="Q329" s="19">
        <v>175.51999999999998</v>
      </c>
      <c r="R329" s="18">
        <v>22.32</v>
      </c>
      <c r="S329" s="18">
        <v>21.72</v>
      </c>
      <c r="T329" s="18">
        <v>22.02</v>
      </c>
      <c r="U329" s="17">
        <v>14.43</v>
      </c>
      <c r="V329" s="18">
        <v>13.83</v>
      </c>
      <c r="W329" s="19">
        <v>14.129999999999999</v>
      </c>
      <c r="X329" s="17">
        <v>14.61</v>
      </c>
      <c r="Y329" s="18">
        <v>13.809999999999999</v>
      </c>
      <c r="Z329" s="19">
        <v>14.209999999999999</v>
      </c>
      <c r="AA329" s="17">
        <v>103.3</v>
      </c>
      <c r="AB329" s="18">
        <v>99.3</v>
      </c>
      <c r="AC329" s="19">
        <v>101.3</v>
      </c>
      <c r="AD329" s="17">
        <v>93.69</v>
      </c>
      <c r="AE329" s="18">
        <v>89.69</v>
      </c>
      <c r="AF329" s="19">
        <v>91.69</v>
      </c>
      <c r="AG329" s="18">
        <v>20.329999999999998</v>
      </c>
      <c r="AH329" s="18">
        <v>19.47</v>
      </c>
      <c r="AI329" s="18">
        <v>19.899999999999999</v>
      </c>
      <c r="AJ329" s="20"/>
      <c r="AK329" s="21"/>
      <c r="AL329" s="22"/>
      <c r="AM329" s="18">
        <v>116.69</v>
      </c>
      <c r="AN329" s="18">
        <v>115.03</v>
      </c>
      <c r="AO329" s="18">
        <v>115.86</v>
      </c>
      <c r="AP329" s="17">
        <v>42.13</v>
      </c>
      <c r="AQ329" s="18">
        <v>40.53</v>
      </c>
      <c r="AR329" s="19">
        <v>41.33</v>
      </c>
      <c r="AS329" s="18">
        <v>42.82</v>
      </c>
      <c r="AT329" s="18">
        <v>41.46</v>
      </c>
      <c r="AU329" s="18">
        <v>42.14</v>
      </c>
      <c r="AV329" s="17">
        <v>21.72</v>
      </c>
      <c r="AW329" s="18">
        <v>21.119999999999997</v>
      </c>
      <c r="AX329" s="19">
        <v>21.419999999999998</v>
      </c>
      <c r="AY329" s="17">
        <v>4.58</v>
      </c>
      <c r="AZ329" s="18">
        <v>4.42</v>
      </c>
      <c r="BA329" s="19">
        <v>4.5</v>
      </c>
      <c r="BB329" s="17">
        <v>1.99</v>
      </c>
      <c r="BC329" s="23">
        <v>1.69</v>
      </c>
      <c r="BD329" s="24">
        <v>1.8399999999999999</v>
      </c>
      <c r="BE329" s="18">
        <v>0.71</v>
      </c>
      <c r="BF329" s="23">
        <v>0.41</v>
      </c>
      <c r="BG329" s="23">
        <v>0.55999999999999994</v>
      </c>
      <c r="BH329" s="17">
        <v>512.91999999999996</v>
      </c>
      <c r="BI329" s="18">
        <v>496.91999999999996</v>
      </c>
      <c r="BJ329" s="19">
        <v>504.91999999999996</v>
      </c>
      <c r="BK329" s="18">
        <v>43.24</v>
      </c>
      <c r="BL329" s="18">
        <v>41.88</v>
      </c>
      <c r="BM329" s="18">
        <v>42.56</v>
      </c>
      <c r="BN329" s="25">
        <v>1.1000000000000001</v>
      </c>
      <c r="BO329" s="23">
        <v>0.8600000000000001</v>
      </c>
      <c r="BP329" s="24">
        <v>0.98000000000000009</v>
      </c>
      <c r="BQ329" s="18">
        <v>8.6999999999999993</v>
      </c>
      <c r="BR329" s="18">
        <v>6.6999999999999993</v>
      </c>
      <c r="BS329" s="18">
        <v>7.6999999999999993</v>
      </c>
      <c r="BT329" s="17">
        <v>11.34</v>
      </c>
      <c r="BU329" s="18">
        <v>10.94</v>
      </c>
      <c r="BV329" s="19">
        <v>11.14</v>
      </c>
      <c r="BW329" s="17">
        <v>2.79</v>
      </c>
      <c r="BX329" s="23">
        <v>2.5099999999999998</v>
      </c>
      <c r="BY329" s="24">
        <v>2.65</v>
      </c>
      <c r="BZ329" s="17">
        <v>10.08</v>
      </c>
      <c r="CA329" s="18">
        <v>7.08</v>
      </c>
      <c r="CB329" s="19">
        <v>8.58</v>
      </c>
      <c r="CC329" s="17">
        <v>6.62</v>
      </c>
      <c r="CD329" s="18">
        <v>6.38</v>
      </c>
      <c r="CE329" s="19">
        <v>6.5</v>
      </c>
      <c r="CF329" s="17">
        <v>1.79</v>
      </c>
      <c r="CG329" s="18">
        <v>1.29</v>
      </c>
      <c r="CH329" s="19">
        <v>1.54</v>
      </c>
      <c r="CI329" s="17">
        <v>0.42</v>
      </c>
      <c r="CJ329" s="18">
        <v>0.38</v>
      </c>
      <c r="CK329" s="19">
        <v>0.4</v>
      </c>
      <c r="CL329" s="17">
        <v>39.14</v>
      </c>
      <c r="CM329">
        <v>36.74</v>
      </c>
      <c r="CN329">
        <v>37.94</v>
      </c>
      <c r="CO329">
        <v>7</v>
      </c>
      <c r="CP329">
        <v>2</v>
      </c>
      <c r="CQ329">
        <v>4.5</v>
      </c>
    </row>
    <row r="330" spans="1:95">
      <c r="A330" s="223">
        <v>45617</v>
      </c>
      <c r="B330" s="16" t="s">
        <v>99</v>
      </c>
      <c r="C330" s="17">
        <v>156.13</v>
      </c>
      <c r="D330" s="18">
        <v>154.13</v>
      </c>
      <c r="E330" s="19">
        <v>155.13</v>
      </c>
      <c r="F330" s="17">
        <v>165.08</v>
      </c>
      <c r="G330" s="18">
        <v>162.08000000000001</v>
      </c>
      <c r="H330" s="19">
        <v>163.58000000000001</v>
      </c>
      <c r="I330" s="17">
        <v>112.64</v>
      </c>
      <c r="J330" s="18">
        <v>109.44</v>
      </c>
      <c r="K330" s="19">
        <v>111.03999999999999</v>
      </c>
      <c r="L330" s="18">
        <v>200.38</v>
      </c>
      <c r="M330" s="18">
        <v>192.38</v>
      </c>
      <c r="N330" s="18">
        <v>196.38</v>
      </c>
      <c r="O330" s="17">
        <v>176.49</v>
      </c>
      <c r="P330" s="18">
        <v>174.69</v>
      </c>
      <c r="Q330" s="19">
        <v>175.59</v>
      </c>
      <c r="R330" s="18">
        <v>22.23</v>
      </c>
      <c r="S330" s="18">
        <v>21.63</v>
      </c>
      <c r="T330" s="18">
        <v>21.93</v>
      </c>
      <c r="U330" s="17">
        <v>14.33</v>
      </c>
      <c r="V330" s="18">
        <v>13.73</v>
      </c>
      <c r="W330" s="19">
        <v>14.030000000000001</v>
      </c>
      <c r="X330" s="17">
        <v>14.48</v>
      </c>
      <c r="Y330" s="18">
        <v>13.68</v>
      </c>
      <c r="Z330" s="19">
        <v>14.08</v>
      </c>
      <c r="AA330" s="17">
        <v>103.05</v>
      </c>
      <c r="AB330" s="18">
        <v>99.05</v>
      </c>
      <c r="AC330" s="19">
        <v>101.05</v>
      </c>
      <c r="AD330" s="17">
        <v>93.23</v>
      </c>
      <c r="AE330" s="18">
        <v>89.23</v>
      </c>
      <c r="AF330" s="19">
        <v>91.23</v>
      </c>
      <c r="AG330" s="18">
        <v>20.36</v>
      </c>
      <c r="AH330" s="18">
        <v>19.5</v>
      </c>
      <c r="AI330" s="18">
        <v>19.93</v>
      </c>
      <c r="AJ330" s="20"/>
      <c r="AK330" s="21"/>
      <c r="AL330" s="22"/>
      <c r="AM330" s="18">
        <v>116.34</v>
      </c>
      <c r="AN330" s="18">
        <v>114.68</v>
      </c>
      <c r="AO330" s="18">
        <v>115.51</v>
      </c>
      <c r="AP330" s="17">
        <v>42.19</v>
      </c>
      <c r="AQ330" s="18">
        <v>40.589999999999996</v>
      </c>
      <c r="AR330" s="19">
        <v>41.39</v>
      </c>
      <c r="AS330" s="18">
        <v>42.98</v>
      </c>
      <c r="AT330" s="18">
        <v>41.62</v>
      </c>
      <c r="AU330" s="18">
        <v>42.3</v>
      </c>
      <c r="AV330" s="17">
        <v>21.7</v>
      </c>
      <c r="AW330" s="18">
        <v>21.099999999999998</v>
      </c>
      <c r="AX330" s="19">
        <v>21.4</v>
      </c>
      <c r="AY330" s="17">
        <v>4.5599999999999996</v>
      </c>
      <c r="AZ330" s="18">
        <v>4.3999999999999995</v>
      </c>
      <c r="BA330" s="19">
        <v>4.4799999999999995</v>
      </c>
      <c r="BB330" s="17">
        <v>2</v>
      </c>
      <c r="BC330" s="23">
        <v>1.7</v>
      </c>
      <c r="BD330" s="24">
        <v>1.85</v>
      </c>
      <c r="BE330" s="18">
        <v>0.71</v>
      </c>
      <c r="BF330" s="23">
        <v>0.41</v>
      </c>
      <c r="BG330" s="23">
        <v>0.55999999999999994</v>
      </c>
      <c r="BH330" s="17">
        <v>513.47</v>
      </c>
      <c r="BI330" s="18">
        <v>497.47</v>
      </c>
      <c r="BJ330" s="19">
        <v>505.47</v>
      </c>
      <c r="BK330" s="18">
        <v>43.3</v>
      </c>
      <c r="BL330" s="18">
        <v>41.94</v>
      </c>
      <c r="BM330" s="18">
        <v>42.62</v>
      </c>
      <c r="BN330" s="25">
        <v>1.1000000000000001</v>
      </c>
      <c r="BO330" s="23">
        <v>0.8600000000000001</v>
      </c>
      <c r="BP330" s="24">
        <v>0.98000000000000009</v>
      </c>
      <c r="BQ330" s="18">
        <v>8.64</v>
      </c>
      <c r="BR330" s="18">
        <v>6.6400000000000006</v>
      </c>
      <c r="BS330" s="18">
        <v>7.6400000000000006</v>
      </c>
      <c r="BT330" s="17">
        <v>11.32</v>
      </c>
      <c r="BU330" s="18">
        <v>10.92</v>
      </c>
      <c r="BV330" s="19">
        <v>11.120000000000001</v>
      </c>
      <c r="BW330" s="17">
        <v>2.79</v>
      </c>
      <c r="BX330" s="23">
        <v>2.5099999999999998</v>
      </c>
      <c r="BY330" s="24">
        <v>2.65</v>
      </c>
      <c r="BZ330" s="17">
        <v>10.06</v>
      </c>
      <c r="CA330" s="18">
        <v>7.0600000000000005</v>
      </c>
      <c r="CB330" s="19">
        <v>8.56</v>
      </c>
      <c r="CC330" s="17">
        <v>6.58</v>
      </c>
      <c r="CD330" s="18">
        <v>6.34</v>
      </c>
      <c r="CE330" s="19">
        <v>6.46</v>
      </c>
      <c r="CF330" s="17">
        <v>1.8</v>
      </c>
      <c r="CG330" s="18">
        <v>1.3</v>
      </c>
      <c r="CH330" s="19">
        <v>1.55</v>
      </c>
      <c r="CI330" s="17">
        <v>0.42</v>
      </c>
      <c r="CJ330" s="18">
        <v>0.38</v>
      </c>
      <c r="CK330" s="19">
        <v>0.4</v>
      </c>
      <c r="CL330" s="17">
        <v>38.96</v>
      </c>
      <c r="CM330">
        <v>36.56</v>
      </c>
      <c r="CN330">
        <v>37.760000000000005</v>
      </c>
      <c r="CO330">
        <v>7.01</v>
      </c>
      <c r="CP330">
        <v>2.0099999999999998</v>
      </c>
      <c r="CQ330">
        <v>4.51</v>
      </c>
    </row>
    <row r="331" spans="1:95">
      <c r="A331" s="223">
        <v>45618</v>
      </c>
      <c r="B331" s="16" t="s">
        <v>100</v>
      </c>
      <c r="C331" s="17">
        <v>155.52000000000001</v>
      </c>
      <c r="D331" s="18">
        <v>153.52000000000001</v>
      </c>
      <c r="E331" s="19">
        <v>154.52000000000001</v>
      </c>
      <c r="F331" s="17">
        <v>163.34</v>
      </c>
      <c r="G331" s="18">
        <v>160.34</v>
      </c>
      <c r="H331" s="19">
        <v>161.84</v>
      </c>
      <c r="I331" s="17">
        <v>112.19</v>
      </c>
      <c r="J331" s="18">
        <v>108.99</v>
      </c>
      <c r="K331" s="19">
        <v>110.59</v>
      </c>
      <c r="L331" s="18">
        <v>198.56</v>
      </c>
      <c r="M331" s="18">
        <v>190.56</v>
      </c>
      <c r="N331" s="18">
        <v>194.56</v>
      </c>
      <c r="O331" s="17">
        <v>175.14</v>
      </c>
      <c r="P331" s="18">
        <v>173.33999999999997</v>
      </c>
      <c r="Q331" s="19">
        <v>174.23999999999998</v>
      </c>
      <c r="R331" s="18">
        <v>22</v>
      </c>
      <c r="S331" s="18">
        <v>21.4</v>
      </c>
      <c r="T331" s="18">
        <v>21.7</v>
      </c>
      <c r="U331" s="17">
        <v>14.25</v>
      </c>
      <c r="V331" s="18">
        <v>13.65</v>
      </c>
      <c r="W331" s="19">
        <v>13.95</v>
      </c>
      <c r="X331" s="17">
        <v>14.36</v>
      </c>
      <c r="Y331" s="18">
        <v>13.559999999999999</v>
      </c>
      <c r="Z331" s="19">
        <v>13.959999999999999</v>
      </c>
      <c r="AA331" s="17">
        <v>102.69</v>
      </c>
      <c r="AB331" s="18">
        <v>98.69</v>
      </c>
      <c r="AC331" s="19">
        <v>100.69</v>
      </c>
      <c r="AD331" s="17">
        <v>92.47</v>
      </c>
      <c r="AE331" s="18">
        <v>88.47</v>
      </c>
      <c r="AF331" s="19">
        <v>90.47</v>
      </c>
      <c r="AG331" s="18">
        <v>20.28</v>
      </c>
      <c r="AH331" s="18">
        <v>19.420000000000002</v>
      </c>
      <c r="AI331" s="18">
        <v>19.850000000000001</v>
      </c>
      <c r="AJ331" s="20"/>
      <c r="AK331" s="21"/>
      <c r="AL331" s="22"/>
      <c r="AM331" s="18">
        <v>115.56</v>
      </c>
      <c r="AN331" s="18">
        <v>113.9</v>
      </c>
      <c r="AO331" s="18">
        <v>114.73</v>
      </c>
      <c r="AP331" s="17">
        <v>42.03</v>
      </c>
      <c r="AQ331" s="18">
        <v>40.43</v>
      </c>
      <c r="AR331" s="19">
        <v>41.230000000000004</v>
      </c>
      <c r="AS331" s="18">
        <v>42.82</v>
      </c>
      <c r="AT331" s="18">
        <v>41.46</v>
      </c>
      <c r="AU331" s="18">
        <v>42.14</v>
      </c>
      <c r="AV331" s="17">
        <v>21.6</v>
      </c>
      <c r="AW331" s="18">
        <v>21</v>
      </c>
      <c r="AX331" s="19">
        <v>21.3</v>
      </c>
      <c r="AY331" s="17">
        <v>4.53</v>
      </c>
      <c r="AZ331" s="18">
        <v>4.37</v>
      </c>
      <c r="BA331" s="19">
        <v>4.45</v>
      </c>
      <c r="BB331" s="17">
        <v>1.99</v>
      </c>
      <c r="BC331" s="23">
        <v>1.69</v>
      </c>
      <c r="BD331" s="24">
        <v>1.8399999999999999</v>
      </c>
      <c r="BE331" s="18">
        <v>0.71</v>
      </c>
      <c r="BF331" s="23">
        <v>0.41</v>
      </c>
      <c r="BG331" s="23">
        <v>0.55999999999999994</v>
      </c>
      <c r="BH331" s="17">
        <v>510.83</v>
      </c>
      <c r="BI331" s="18">
        <v>494.83</v>
      </c>
      <c r="BJ331" s="19">
        <v>502.83</v>
      </c>
      <c r="BK331" s="18">
        <v>43.13</v>
      </c>
      <c r="BL331" s="18">
        <v>41.77</v>
      </c>
      <c r="BM331" s="18">
        <v>42.45</v>
      </c>
      <c r="BN331" s="25">
        <v>1.0900000000000001</v>
      </c>
      <c r="BO331" s="23">
        <v>0.85000000000000009</v>
      </c>
      <c r="BP331" s="24">
        <v>0.97000000000000008</v>
      </c>
      <c r="BQ331" s="18">
        <v>8.56</v>
      </c>
      <c r="BR331" s="18">
        <v>6.5600000000000005</v>
      </c>
      <c r="BS331" s="18">
        <v>7.5600000000000005</v>
      </c>
      <c r="BT331" s="17">
        <v>11.24</v>
      </c>
      <c r="BU331" s="18">
        <v>10.84</v>
      </c>
      <c r="BV331" s="19">
        <v>11.04</v>
      </c>
      <c r="BW331" s="17">
        <v>2.78</v>
      </c>
      <c r="BX331" s="23">
        <v>2.5</v>
      </c>
      <c r="BY331" s="24">
        <v>2.6399999999999997</v>
      </c>
      <c r="BZ331" s="17">
        <v>10.039999999999999</v>
      </c>
      <c r="CA331" s="18">
        <v>7.0399999999999991</v>
      </c>
      <c r="CB331" s="19">
        <v>8.5399999999999991</v>
      </c>
      <c r="CC331" s="17">
        <v>6.51</v>
      </c>
      <c r="CD331" s="18">
        <v>6.27</v>
      </c>
      <c r="CE331" s="19">
        <v>6.39</v>
      </c>
      <c r="CF331" s="17">
        <v>1.78</v>
      </c>
      <c r="CG331" s="18">
        <v>1.28</v>
      </c>
      <c r="CH331" s="19">
        <v>1.53</v>
      </c>
      <c r="CI331" s="17">
        <v>0.41</v>
      </c>
      <c r="CJ331" s="18">
        <v>0.37</v>
      </c>
      <c r="CK331" s="19">
        <v>0.39</v>
      </c>
      <c r="CL331" s="17">
        <v>38.49</v>
      </c>
      <c r="CM331">
        <v>36.090000000000003</v>
      </c>
      <c r="CN331">
        <v>37.290000000000006</v>
      </c>
      <c r="CO331">
        <v>6.99</v>
      </c>
      <c r="CP331">
        <v>1.9900000000000002</v>
      </c>
      <c r="CQ331">
        <v>4.49</v>
      </c>
    </row>
    <row r="332" spans="1:95">
      <c r="A332" s="223">
        <v>45619</v>
      </c>
      <c r="B332" s="16" t="s">
        <v>307</v>
      </c>
      <c r="C332" s="18"/>
      <c r="D332" s="18"/>
      <c r="E332" s="18"/>
      <c r="F332" s="17"/>
      <c r="G332" s="18"/>
      <c r="H332" s="19"/>
      <c r="I332" s="18"/>
      <c r="J332" s="18"/>
      <c r="K332" s="18"/>
      <c r="L332" s="17"/>
      <c r="M332" s="18"/>
      <c r="N332" s="19"/>
      <c r="O332" s="18"/>
      <c r="P332" s="18"/>
      <c r="Q332" s="18"/>
      <c r="R332" s="17"/>
      <c r="S332" s="18"/>
      <c r="T332" s="19"/>
      <c r="U332" s="17"/>
      <c r="V332" s="18"/>
      <c r="W332" s="19"/>
      <c r="X332" s="17"/>
      <c r="Y332" s="18"/>
      <c r="Z332" s="19"/>
      <c r="AA332" s="17"/>
      <c r="AB332" s="18"/>
      <c r="AC332" s="19"/>
      <c r="AD332" s="18"/>
      <c r="AE332" s="18"/>
      <c r="AF332" s="18"/>
      <c r="AG332" s="17"/>
      <c r="AH332" s="18"/>
      <c r="AI332" s="19"/>
      <c r="AJ332" s="20"/>
      <c r="AK332" s="21"/>
      <c r="AL332" s="22"/>
      <c r="AM332" s="17"/>
      <c r="AN332" s="18"/>
      <c r="AO332" s="19"/>
      <c r="AP332" s="17"/>
      <c r="AQ332" s="18"/>
      <c r="AR332" s="19"/>
      <c r="AS332" s="18"/>
      <c r="AT332" s="18"/>
      <c r="AU332" s="18"/>
      <c r="AV332" s="17"/>
      <c r="AW332" s="18"/>
      <c r="AX332" s="19"/>
      <c r="AY332" s="17"/>
      <c r="AZ332" s="18"/>
      <c r="BA332" s="19"/>
      <c r="BB332" s="17"/>
      <c r="BC332" s="23"/>
      <c r="BD332" s="24"/>
      <c r="BE332" s="17"/>
      <c r="BF332" s="23"/>
      <c r="BG332" s="24"/>
      <c r="BH332" s="17"/>
      <c r="BI332" s="18"/>
      <c r="BJ332" s="19"/>
      <c r="BK332" s="18"/>
      <c r="BL332" s="18"/>
      <c r="BM332" s="18"/>
      <c r="BN332" s="25"/>
      <c r="BO332" s="23"/>
      <c r="BP332" s="24"/>
      <c r="BQ332" s="18"/>
      <c r="BR332" s="18"/>
      <c r="BS332" s="18"/>
      <c r="BT332" s="17"/>
      <c r="BU332" s="18"/>
      <c r="BV332" s="19"/>
      <c r="BW332" s="17"/>
      <c r="BX332" s="23"/>
      <c r="BY332" s="24"/>
      <c r="BZ332" s="17"/>
      <c r="CA332" s="18"/>
      <c r="CB332" s="19"/>
      <c r="CC332" s="17"/>
      <c r="CD332" s="18"/>
      <c r="CE332" s="19"/>
      <c r="CF332" s="18"/>
      <c r="CG332" s="18"/>
      <c r="CH332" s="18"/>
      <c r="CI332" s="17"/>
      <c r="CJ332" s="18"/>
      <c r="CK332" s="19"/>
      <c r="CL332" s="17"/>
    </row>
    <row r="333" spans="1:95">
      <c r="A333" s="223">
        <v>45620</v>
      </c>
      <c r="B333" s="16" t="s">
        <v>308</v>
      </c>
      <c r="C333" s="17"/>
      <c r="D333" s="18"/>
      <c r="E333" s="19"/>
      <c r="F333" s="17"/>
      <c r="G333" s="18"/>
      <c r="H333" s="19"/>
      <c r="I333" s="17"/>
      <c r="J333" s="18"/>
      <c r="K333" s="19"/>
      <c r="L333" s="18"/>
      <c r="M333" s="18"/>
      <c r="N333" s="18"/>
      <c r="O333" s="17"/>
      <c r="P333" s="18"/>
      <c r="Q333" s="19"/>
      <c r="R333" s="18"/>
      <c r="S333" s="18"/>
      <c r="T333" s="18"/>
      <c r="U333" s="17"/>
      <c r="V333" s="18"/>
      <c r="W333" s="19"/>
      <c r="X333" s="17"/>
      <c r="Y333" s="18"/>
      <c r="Z333" s="19"/>
      <c r="AA333" s="17"/>
      <c r="AB333" s="18"/>
      <c r="AC333" s="19"/>
      <c r="AD333" s="17"/>
      <c r="AE333" s="18"/>
      <c r="AF333" s="19"/>
      <c r="AG333" s="18"/>
      <c r="AH333" s="18"/>
      <c r="AI333" s="18"/>
      <c r="AJ333" s="20"/>
      <c r="AK333" s="21"/>
      <c r="AL333" s="22"/>
      <c r="AM333" s="18"/>
      <c r="AN333" s="18"/>
      <c r="AO333" s="18"/>
      <c r="AP333" s="17"/>
      <c r="AQ333" s="18"/>
      <c r="AR333" s="19"/>
      <c r="AS333" s="18"/>
      <c r="AT333" s="18"/>
      <c r="AU333" s="18"/>
      <c r="AV333" s="17"/>
      <c r="AW333" s="18"/>
      <c r="AX333" s="19"/>
      <c r="AY333" s="17"/>
      <c r="AZ333" s="18"/>
      <c r="BA333" s="19"/>
      <c r="BB333" s="17"/>
      <c r="BC333" s="23"/>
      <c r="BD333" s="24"/>
      <c r="BE333" s="18"/>
      <c r="BF333" s="23"/>
      <c r="BG333" s="23"/>
      <c r="BH333" s="17"/>
      <c r="BI333" s="18"/>
      <c r="BJ333" s="19"/>
      <c r="BK333" s="18"/>
      <c r="BL333" s="18"/>
      <c r="BM333" s="18"/>
      <c r="BN333" s="25"/>
      <c r="BO333" s="23"/>
      <c r="BP333" s="24"/>
      <c r="BQ333" s="18"/>
      <c r="BR333" s="18"/>
      <c r="BS333" s="18"/>
      <c r="BT333" s="17"/>
      <c r="BU333" s="18"/>
      <c r="BV333" s="19"/>
      <c r="BW333" s="17"/>
      <c r="BX333" s="23"/>
      <c r="BY333" s="24"/>
      <c r="BZ333" s="17"/>
      <c r="CA333" s="18"/>
      <c r="CB333" s="19"/>
      <c r="CC333" s="17"/>
      <c r="CD333" s="18"/>
      <c r="CE333" s="19"/>
      <c r="CF333" s="17"/>
      <c r="CG333" s="18"/>
      <c r="CH333" s="19"/>
      <c r="CI333" s="17"/>
      <c r="CJ333" s="18"/>
      <c r="CK333" s="19"/>
      <c r="CL333" s="17"/>
    </row>
    <row r="334" spans="1:95">
      <c r="A334" s="223">
        <v>45621</v>
      </c>
      <c r="B334" s="16" t="s">
        <v>96</v>
      </c>
      <c r="C334" s="17">
        <v>155.25</v>
      </c>
      <c r="D334" s="18">
        <v>153.25</v>
      </c>
      <c r="E334" s="19">
        <v>154.25</v>
      </c>
      <c r="F334" s="17">
        <v>163.22999999999999</v>
      </c>
      <c r="G334" s="18">
        <v>160.22999999999999</v>
      </c>
      <c r="H334" s="19">
        <v>161.72999999999999</v>
      </c>
      <c r="I334" s="17">
        <v>112.33</v>
      </c>
      <c r="J334" s="18">
        <v>109.13</v>
      </c>
      <c r="K334" s="19">
        <v>110.72999999999999</v>
      </c>
      <c r="L334" s="18">
        <v>198.36</v>
      </c>
      <c r="M334" s="18">
        <v>190.36</v>
      </c>
      <c r="N334" s="18">
        <v>194.36</v>
      </c>
      <c r="O334" s="17">
        <v>174.1</v>
      </c>
      <c r="P334" s="18">
        <v>172.29999999999998</v>
      </c>
      <c r="Q334" s="19">
        <v>173.2</v>
      </c>
      <c r="R334" s="18">
        <v>21.98</v>
      </c>
      <c r="S334" s="18">
        <v>21.38</v>
      </c>
      <c r="T334" s="18">
        <v>21.68</v>
      </c>
      <c r="U334" s="17">
        <v>14.35</v>
      </c>
      <c r="V334" s="18">
        <v>13.75</v>
      </c>
      <c r="W334" s="19">
        <v>14.05</v>
      </c>
      <c r="X334" s="17">
        <v>14.47</v>
      </c>
      <c r="Y334" s="18">
        <v>13.67</v>
      </c>
      <c r="Z334" s="19">
        <v>14.07</v>
      </c>
      <c r="AA334" s="17">
        <v>102.99</v>
      </c>
      <c r="AB334" s="18">
        <v>98.99</v>
      </c>
      <c r="AC334" s="19">
        <v>100.99</v>
      </c>
      <c r="AD334" s="17">
        <v>92.44</v>
      </c>
      <c r="AE334" s="18">
        <v>88.44</v>
      </c>
      <c r="AF334" s="19">
        <v>90.44</v>
      </c>
      <c r="AG334" s="18">
        <v>20.25</v>
      </c>
      <c r="AH334" s="18">
        <v>19.39</v>
      </c>
      <c r="AI334" s="18">
        <v>19.82</v>
      </c>
      <c r="AJ334" s="20"/>
      <c r="AK334" s="21"/>
      <c r="AL334" s="22"/>
      <c r="AM334" s="18">
        <v>115.73</v>
      </c>
      <c r="AN334" s="18">
        <v>114.07000000000001</v>
      </c>
      <c r="AO334" s="18">
        <v>114.9</v>
      </c>
      <c r="AP334" s="17">
        <v>41.97</v>
      </c>
      <c r="AQ334" s="18">
        <v>40.369999999999997</v>
      </c>
      <c r="AR334" s="19">
        <v>41.17</v>
      </c>
      <c r="AS334" s="18">
        <v>42.74</v>
      </c>
      <c r="AT334" s="18">
        <v>41.38</v>
      </c>
      <c r="AU334" s="18">
        <v>42.06</v>
      </c>
      <c r="AV334" s="17">
        <v>21.6</v>
      </c>
      <c r="AW334" s="18">
        <v>21</v>
      </c>
      <c r="AX334" s="19">
        <v>21.3</v>
      </c>
      <c r="AY334" s="17">
        <v>4.57</v>
      </c>
      <c r="AZ334" s="18">
        <v>4.41</v>
      </c>
      <c r="BA334" s="19">
        <v>4.49</v>
      </c>
      <c r="BB334" s="17">
        <v>1.99</v>
      </c>
      <c r="BC334" s="23">
        <v>1.69</v>
      </c>
      <c r="BD334" s="24">
        <v>1.8399999999999999</v>
      </c>
      <c r="BE334" s="18">
        <v>0.71</v>
      </c>
      <c r="BF334" s="23">
        <v>0.41</v>
      </c>
      <c r="BG334" s="23">
        <v>0.55999999999999994</v>
      </c>
      <c r="BH334" s="17">
        <v>509.79</v>
      </c>
      <c r="BI334" s="18">
        <v>493.79</v>
      </c>
      <c r="BJ334" s="19">
        <v>501.79</v>
      </c>
      <c r="BK334" s="18">
        <v>43.06</v>
      </c>
      <c r="BL334" s="18">
        <v>41.7</v>
      </c>
      <c r="BM334" s="18">
        <v>42.38</v>
      </c>
      <c r="BN334" s="25">
        <v>1.1000000000000001</v>
      </c>
      <c r="BO334" s="23">
        <v>0.8600000000000001</v>
      </c>
      <c r="BP334" s="24">
        <v>0.98000000000000009</v>
      </c>
      <c r="BQ334" s="18">
        <v>8.59</v>
      </c>
      <c r="BR334" s="18">
        <v>6.59</v>
      </c>
      <c r="BS334" s="18">
        <v>7.59</v>
      </c>
      <c r="BT334" s="17">
        <v>11.2</v>
      </c>
      <c r="BU334" s="18">
        <v>10.799999999999999</v>
      </c>
      <c r="BV334" s="19">
        <v>11</v>
      </c>
      <c r="BW334" s="17">
        <v>2.78</v>
      </c>
      <c r="BX334" s="23">
        <v>2.5</v>
      </c>
      <c r="BY334" s="24">
        <v>2.6399999999999997</v>
      </c>
      <c r="BZ334" s="17">
        <v>10.06</v>
      </c>
      <c r="CA334" s="18">
        <v>7.0600000000000005</v>
      </c>
      <c r="CB334" s="19">
        <v>8.56</v>
      </c>
      <c r="CC334" s="17">
        <v>6.51</v>
      </c>
      <c r="CD334" s="18">
        <v>6.27</v>
      </c>
      <c r="CE334" s="19">
        <v>6.39</v>
      </c>
      <c r="CF334" s="17">
        <v>1.73</v>
      </c>
      <c r="CG334" s="18">
        <v>1.23</v>
      </c>
      <c r="CH334" s="19">
        <v>1.48</v>
      </c>
      <c r="CI334" s="17">
        <v>0.41</v>
      </c>
      <c r="CJ334" s="18">
        <v>0.37</v>
      </c>
      <c r="CK334" s="19">
        <v>0.39</v>
      </c>
      <c r="CL334" s="17">
        <v>38.53</v>
      </c>
      <c r="CM334">
        <v>36.130000000000003</v>
      </c>
      <c r="CN334">
        <v>37.33</v>
      </c>
      <c r="CO334">
        <v>6.96</v>
      </c>
      <c r="CP334">
        <v>1.96</v>
      </c>
      <c r="CQ334">
        <v>4.46</v>
      </c>
    </row>
    <row r="335" spans="1:95">
      <c r="A335" s="223">
        <v>45622</v>
      </c>
      <c r="B335" s="16" t="s">
        <v>97</v>
      </c>
      <c r="C335" s="17">
        <v>155.24</v>
      </c>
      <c r="D335" s="18">
        <v>153.24</v>
      </c>
      <c r="E335" s="19">
        <v>154.24</v>
      </c>
      <c r="F335" s="17">
        <v>162.59</v>
      </c>
      <c r="G335" s="18">
        <v>159.59</v>
      </c>
      <c r="H335" s="19">
        <v>161.09</v>
      </c>
      <c r="I335" s="17">
        <v>110.64</v>
      </c>
      <c r="J335" s="18">
        <v>107.44</v>
      </c>
      <c r="K335" s="19">
        <v>109.03999999999999</v>
      </c>
      <c r="L335" s="18">
        <v>197.14</v>
      </c>
      <c r="M335" s="18">
        <v>189.14</v>
      </c>
      <c r="N335" s="18">
        <v>193.14</v>
      </c>
      <c r="O335" s="17">
        <v>174.52</v>
      </c>
      <c r="P335" s="18">
        <v>172.72</v>
      </c>
      <c r="Q335" s="19">
        <v>173.62</v>
      </c>
      <c r="R335" s="18">
        <v>21.89</v>
      </c>
      <c r="S335" s="18">
        <v>21.29</v>
      </c>
      <c r="T335" s="18">
        <v>21.59</v>
      </c>
      <c r="U335" s="17">
        <v>14.11</v>
      </c>
      <c r="V335" s="18">
        <v>13.51</v>
      </c>
      <c r="W335" s="19">
        <v>13.809999999999999</v>
      </c>
      <c r="X335" s="17">
        <v>14.33</v>
      </c>
      <c r="Y335" s="18">
        <v>13.53</v>
      </c>
      <c r="Z335" s="19">
        <v>13.93</v>
      </c>
      <c r="AA335" s="17">
        <v>101.48</v>
      </c>
      <c r="AB335" s="18">
        <v>97.48</v>
      </c>
      <c r="AC335" s="19">
        <v>99.48</v>
      </c>
      <c r="AD335" s="17">
        <v>91.71</v>
      </c>
      <c r="AE335" s="18">
        <v>87.71</v>
      </c>
      <c r="AF335" s="19">
        <v>89.71</v>
      </c>
      <c r="AG335" s="18">
        <v>20.25</v>
      </c>
      <c r="AH335" s="18">
        <v>19.39</v>
      </c>
      <c r="AI335" s="18">
        <v>19.82</v>
      </c>
      <c r="AJ335" s="20"/>
      <c r="AK335" s="21"/>
      <c r="AL335" s="22"/>
      <c r="AM335" s="18">
        <v>115.09</v>
      </c>
      <c r="AN335" s="18">
        <v>113.43</v>
      </c>
      <c r="AO335" s="18">
        <v>114.26</v>
      </c>
      <c r="AP335" s="17">
        <v>41.94</v>
      </c>
      <c r="AQ335" s="18">
        <v>40.339999999999996</v>
      </c>
      <c r="AR335" s="19">
        <v>41.14</v>
      </c>
      <c r="AS335" s="18">
        <v>42.75</v>
      </c>
      <c r="AT335" s="18">
        <v>41.39</v>
      </c>
      <c r="AU335" s="18">
        <v>42.07</v>
      </c>
      <c r="AV335" s="17">
        <v>21.52</v>
      </c>
      <c r="AW335" s="18">
        <v>20.919999999999998</v>
      </c>
      <c r="AX335" s="19">
        <v>21.22</v>
      </c>
      <c r="AY335" s="17">
        <v>4.5199999999999996</v>
      </c>
      <c r="AZ335" s="18">
        <v>4.3599999999999994</v>
      </c>
      <c r="BA335" s="19">
        <v>4.4399999999999995</v>
      </c>
      <c r="BB335" s="17">
        <v>1.99</v>
      </c>
      <c r="BC335" s="23">
        <v>1.69</v>
      </c>
      <c r="BD335" s="24">
        <v>1.8399999999999999</v>
      </c>
      <c r="BE335" s="18">
        <v>0.71</v>
      </c>
      <c r="BF335" s="23">
        <v>0.41</v>
      </c>
      <c r="BG335" s="23">
        <v>0.55999999999999994</v>
      </c>
      <c r="BH335" s="17">
        <v>510.41</v>
      </c>
      <c r="BI335" s="18">
        <v>494.41</v>
      </c>
      <c r="BJ335" s="19">
        <v>502.41</v>
      </c>
      <c r="BK335" s="18">
        <v>43.05</v>
      </c>
      <c r="BL335" s="18">
        <v>41.69</v>
      </c>
      <c r="BM335" s="18">
        <v>42.37</v>
      </c>
      <c r="BN335" s="25">
        <v>1.1000000000000001</v>
      </c>
      <c r="BO335" s="23">
        <v>0.8600000000000001</v>
      </c>
      <c r="BP335" s="24">
        <v>0.98000000000000009</v>
      </c>
      <c r="BQ335" s="18">
        <v>8.48</v>
      </c>
      <c r="BR335" s="18">
        <v>6.48</v>
      </c>
      <c r="BS335" s="18">
        <v>7.48</v>
      </c>
      <c r="BT335" s="17">
        <v>11.18</v>
      </c>
      <c r="BU335" s="18">
        <v>10.78</v>
      </c>
      <c r="BV335" s="19">
        <v>10.98</v>
      </c>
      <c r="BW335" s="17">
        <v>2.77</v>
      </c>
      <c r="BX335" s="23">
        <v>2.4900000000000002</v>
      </c>
      <c r="BY335" s="24">
        <v>2.63</v>
      </c>
      <c r="BZ335" s="17">
        <v>9.98</v>
      </c>
      <c r="CA335" s="18">
        <v>6.98</v>
      </c>
      <c r="CB335" s="19">
        <v>8.48</v>
      </c>
      <c r="CC335" s="17">
        <v>6.48</v>
      </c>
      <c r="CD335" s="18">
        <v>6.24</v>
      </c>
      <c r="CE335" s="19">
        <v>6.36</v>
      </c>
      <c r="CF335" s="17">
        <v>1.73</v>
      </c>
      <c r="CG335" s="18">
        <v>1.23</v>
      </c>
      <c r="CH335" s="19">
        <v>1.48</v>
      </c>
      <c r="CI335" s="17">
        <v>0.41</v>
      </c>
      <c r="CJ335" s="18">
        <v>0.37</v>
      </c>
      <c r="CK335" s="19">
        <v>0.39</v>
      </c>
      <c r="CL335" s="17">
        <v>38.58</v>
      </c>
      <c r="CM335">
        <v>36.18</v>
      </c>
      <c r="CN335">
        <v>37.379999999999995</v>
      </c>
      <c r="CO335">
        <v>6.96</v>
      </c>
      <c r="CP335">
        <v>1.96</v>
      </c>
      <c r="CQ335">
        <v>4.46</v>
      </c>
    </row>
    <row r="336" spans="1:95">
      <c r="A336" s="223">
        <v>45623</v>
      </c>
      <c r="B336" s="16" t="s">
        <v>98</v>
      </c>
      <c r="C336" s="17">
        <v>153.88</v>
      </c>
      <c r="D336" s="18">
        <v>151.88</v>
      </c>
      <c r="E336" s="19">
        <v>152.88</v>
      </c>
      <c r="F336" s="17">
        <v>161.83000000000001</v>
      </c>
      <c r="G336" s="18">
        <v>158.83000000000001</v>
      </c>
      <c r="H336" s="19">
        <v>160.33000000000001</v>
      </c>
      <c r="I336" s="17">
        <v>110.4</v>
      </c>
      <c r="J336" s="18">
        <v>107.2</v>
      </c>
      <c r="K336" s="19">
        <v>108.80000000000001</v>
      </c>
      <c r="L336" s="18">
        <v>196.22</v>
      </c>
      <c r="M336" s="18">
        <v>188.22</v>
      </c>
      <c r="N336" s="18">
        <v>192.22</v>
      </c>
      <c r="O336" s="17">
        <v>173.49</v>
      </c>
      <c r="P336" s="18">
        <v>171.69</v>
      </c>
      <c r="Q336" s="19">
        <v>172.59</v>
      </c>
      <c r="R336" s="18">
        <v>21.79</v>
      </c>
      <c r="S336" s="18">
        <v>21.189999999999998</v>
      </c>
      <c r="T336" s="18">
        <v>21.49</v>
      </c>
      <c r="U336" s="17">
        <v>13.99</v>
      </c>
      <c r="V336" s="18">
        <v>13.39</v>
      </c>
      <c r="W336" s="19">
        <v>13.690000000000001</v>
      </c>
      <c r="X336" s="17">
        <v>14.3</v>
      </c>
      <c r="Y336" s="18">
        <v>13.5</v>
      </c>
      <c r="Z336" s="19">
        <v>13.9</v>
      </c>
      <c r="AA336" s="17">
        <v>100.99</v>
      </c>
      <c r="AB336" s="18">
        <v>96.99</v>
      </c>
      <c r="AC336" s="19">
        <v>98.99</v>
      </c>
      <c r="AD336" s="17">
        <v>91.13</v>
      </c>
      <c r="AE336" s="18">
        <v>87.13</v>
      </c>
      <c r="AF336" s="19">
        <v>89.13</v>
      </c>
      <c r="AG336" s="18">
        <v>20.079999999999998</v>
      </c>
      <c r="AH336" s="18">
        <v>19.22</v>
      </c>
      <c r="AI336" s="18">
        <v>19.649999999999999</v>
      </c>
      <c r="AJ336" s="20"/>
      <c r="AK336" s="21"/>
      <c r="AL336" s="22"/>
      <c r="AM336" s="18">
        <v>114.39</v>
      </c>
      <c r="AN336" s="18">
        <v>112.73</v>
      </c>
      <c r="AO336" s="18">
        <v>113.56</v>
      </c>
      <c r="AP336" s="17">
        <v>41.42</v>
      </c>
      <c r="AQ336" s="18">
        <v>39.82</v>
      </c>
      <c r="AR336" s="19">
        <v>40.620000000000005</v>
      </c>
      <c r="AS336" s="18">
        <v>42.37</v>
      </c>
      <c r="AT336" s="18">
        <v>41.01</v>
      </c>
      <c r="AU336" s="18">
        <v>41.69</v>
      </c>
      <c r="AV336" s="17">
        <v>21.36</v>
      </c>
      <c r="AW336" s="18">
        <v>20.759999999999998</v>
      </c>
      <c r="AX336" s="19">
        <v>21.06</v>
      </c>
      <c r="AY336" s="17">
        <v>4.49</v>
      </c>
      <c r="AZ336" s="18">
        <v>4.33</v>
      </c>
      <c r="BA336" s="19">
        <v>4.41</v>
      </c>
      <c r="BB336" s="17">
        <v>1.97</v>
      </c>
      <c r="BC336" s="23">
        <v>1.67</v>
      </c>
      <c r="BD336" s="24">
        <v>1.8199999999999998</v>
      </c>
      <c r="BE336" s="18">
        <v>0.7</v>
      </c>
      <c r="BF336" s="23">
        <v>0.39999999999999997</v>
      </c>
      <c r="BG336" s="23">
        <v>0.54999999999999993</v>
      </c>
      <c r="BH336" s="17">
        <v>505.82</v>
      </c>
      <c r="BI336" s="18">
        <v>489.82</v>
      </c>
      <c r="BJ336" s="19">
        <v>497.82</v>
      </c>
      <c r="BK336" s="18">
        <v>42.68</v>
      </c>
      <c r="BL336" s="18">
        <v>41.32</v>
      </c>
      <c r="BM336" s="18">
        <v>42</v>
      </c>
      <c r="BN336" s="25">
        <v>1.08</v>
      </c>
      <c r="BO336" s="23">
        <v>0.84000000000000008</v>
      </c>
      <c r="BP336" s="24">
        <v>0.96000000000000008</v>
      </c>
      <c r="BQ336" s="18">
        <v>8.41</v>
      </c>
      <c r="BR336" s="18">
        <v>6.41</v>
      </c>
      <c r="BS336" s="18">
        <v>7.41</v>
      </c>
      <c r="BT336" s="17">
        <v>11.16</v>
      </c>
      <c r="BU336" s="18">
        <v>10.76</v>
      </c>
      <c r="BV336" s="19">
        <v>10.96</v>
      </c>
      <c r="BW336" s="17">
        <v>2.75</v>
      </c>
      <c r="BX336" s="23">
        <v>2.4699999999999998</v>
      </c>
      <c r="BY336" s="24">
        <v>2.61</v>
      </c>
      <c r="BZ336" s="17">
        <v>9.91</v>
      </c>
      <c r="CA336" s="18">
        <v>6.91</v>
      </c>
      <c r="CB336" s="19">
        <v>8.41</v>
      </c>
      <c r="CC336" s="17">
        <v>6.47</v>
      </c>
      <c r="CD336" s="18">
        <v>6.2299999999999995</v>
      </c>
      <c r="CE336" s="19">
        <v>6.35</v>
      </c>
      <c r="CF336" s="17">
        <v>1.7</v>
      </c>
      <c r="CG336" s="18">
        <v>1.2</v>
      </c>
      <c r="CH336" s="19">
        <v>1.45</v>
      </c>
      <c r="CI336" s="17">
        <v>0.41</v>
      </c>
      <c r="CJ336" s="18">
        <v>0.37</v>
      </c>
      <c r="CK336" s="19">
        <v>0.39</v>
      </c>
      <c r="CL336" s="17">
        <v>38.47</v>
      </c>
      <c r="CM336">
        <v>36.07</v>
      </c>
      <c r="CN336">
        <v>37.269999999999996</v>
      </c>
      <c r="CO336">
        <v>6.92</v>
      </c>
      <c r="CP336">
        <v>1.92</v>
      </c>
      <c r="CQ336">
        <v>4.42</v>
      </c>
    </row>
    <row r="337" spans="1:95">
      <c r="A337" s="223">
        <v>45624</v>
      </c>
      <c r="B337" s="16" t="s">
        <v>99</v>
      </c>
      <c r="C337" s="17">
        <v>152.77000000000001</v>
      </c>
      <c r="D337" s="18">
        <v>150.77000000000001</v>
      </c>
      <c r="E337" s="19">
        <v>151.77000000000001</v>
      </c>
      <c r="F337" s="17">
        <v>161.65</v>
      </c>
      <c r="G337" s="18">
        <v>158.65</v>
      </c>
      <c r="H337" s="19">
        <v>160.15</v>
      </c>
      <c r="I337" s="17">
        <v>109.88</v>
      </c>
      <c r="J337" s="18">
        <v>106.67999999999999</v>
      </c>
      <c r="K337" s="19">
        <v>108.28</v>
      </c>
      <c r="L337" s="18">
        <v>196.35</v>
      </c>
      <c r="M337" s="18">
        <v>188.35</v>
      </c>
      <c r="N337" s="18">
        <v>192.35</v>
      </c>
      <c r="O337" s="17">
        <v>172.72</v>
      </c>
      <c r="P337" s="18">
        <v>170.92</v>
      </c>
      <c r="Q337" s="19">
        <v>171.82</v>
      </c>
      <c r="R337" s="18">
        <v>21.77</v>
      </c>
      <c r="S337" s="18">
        <v>21.169999999999998</v>
      </c>
      <c r="T337" s="18">
        <v>21.47</v>
      </c>
      <c r="U337" s="17">
        <v>14.01</v>
      </c>
      <c r="V337" s="18">
        <v>13.41</v>
      </c>
      <c r="W337" s="19">
        <v>13.71</v>
      </c>
      <c r="X337" s="17">
        <v>14.3</v>
      </c>
      <c r="Y337" s="18">
        <v>13.5</v>
      </c>
      <c r="Z337" s="19">
        <v>13.9</v>
      </c>
      <c r="AA337" s="17">
        <v>100.65</v>
      </c>
      <c r="AB337" s="18">
        <v>96.65</v>
      </c>
      <c r="AC337" s="19">
        <v>98.65</v>
      </c>
      <c r="AD337" s="17">
        <v>91.5</v>
      </c>
      <c r="AE337" s="18">
        <v>87.5</v>
      </c>
      <c r="AF337" s="19">
        <v>89.5</v>
      </c>
      <c r="AG337" s="18">
        <v>19.93</v>
      </c>
      <c r="AH337" s="18">
        <v>19.07</v>
      </c>
      <c r="AI337" s="18">
        <v>19.5</v>
      </c>
      <c r="AJ337" s="20"/>
      <c r="AK337" s="21"/>
      <c r="AL337" s="22"/>
      <c r="AM337" s="18">
        <v>113.9</v>
      </c>
      <c r="AN337" s="18">
        <v>112.24000000000001</v>
      </c>
      <c r="AO337" s="18">
        <v>113.07000000000001</v>
      </c>
      <c r="AP337" s="17">
        <v>41.28</v>
      </c>
      <c r="AQ337" s="18">
        <v>39.68</v>
      </c>
      <c r="AR337" s="19">
        <v>40.480000000000004</v>
      </c>
      <c r="AS337" s="18">
        <v>42.07</v>
      </c>
      <c r="AT337" s="18">
        <v>40.71</v>
      </c>
      <c r="AU337" s="18">
        <v>41.39</v>
      </c>
      <c r="AV337" s="17">
        <v>21.23</v>
      </c>
      <c r="AW337" s="18">
        <v>20.63</v>
      </c>
      <c r="AX337" s="19">
        <v>20.93</v>
      </c>
      <c r="AY337" s="17">
        <v>4.47</v>
      </c>
      <c r="AZ337" s="18">
        <v>4.3099999999999996</v>
      </c>
      <c r="BA337" s="19">
        <v>4.3899999999999997</v>
      </c>
      <c r="BB337" s="17">
        <v>1.96</v>
      </c>
      <c r="BC337" s="23">
        <v>1.66</v>
      </c>
      <c r="BD337" s="24">
        <v>1.81</v>
      </c>
      <c r="BE337" s="18">
        <v>0.7</v>
      </c>
      <c r="BF337" s="23">
        <v>0.39999999999999997</v>
      </c>
      <c r="BG337" s="23">
        <v>0.54999999999999993</v>
      </c>
      <c r="BH337" s="17">
        <v>503.49</v>
      </c>
      <c r="BI337" s="18">
        <v>487.49</v>
      </c>
      <c r="BJ337" s="19">
        <v>495.49</v>
      </c>
      <c r="BK337" s="18">
        <v>42.39</v>
      </c>
      <c r="BL337" s="18">
        <v>41.03</v>
      </c>
      <c r="BM337" s="18">
        <v>41.71</v>
      </c>
      <c r="BN337" s="25">
        <v>1.08</v>
      </c>
      <c r="BO337" s="23">
        <v>0.84000000000000008</v>
      </c>
      <c r="BP337" s="24">
        <v>0.96000000000000008</v>
      </c>
      <c r="BQ337" s="18">
        <v>8.44</v>
      </c>
      <c r="BR337" s="18">
        <v>6.4399999999999995</v>
      </c>
      <c r="BS337" s="18">
        <v>7.4399999999999995</v>
      </c>
      <c r="BT337" s="17">
        <v>11.1</v>
      </c>
      <c r="BU337" s="18">
        <v>10.7</v>
      </c>
      <c r="BV337" s="19">
        <v>10.899999999999999</v>
      </c>
      <c r="BW337" s="17">
        <v>2.74</v>
      </c>
      <c r="BX337" s="23">
        <v>2.46</v>
      </c>
      <c r="BY337" s="24">
        <v>2.6</v>
      </c>
      <c r="BZ337" s="17">
        <v>9.84</v>
      </c>
      <c r="CA337" s="18">
        <v>6.84</v>
      </c>
      <c r="CB337" s="19">
        <v>8.34</v>
      </c>
      <c r="CC337" s="17">
        <v>6.47</v>
      </c>
      <c r="CD337" s="18">
        <v>6.2299999999999995</v>
      </c>
      <c r="CE337" s="19">
        <v>6.35</v>
      </c>
      <c r="CF337" s="17">
        <v>1.59</v>
      </c>
      <c r="CG337" s="18">
        <v>1.0900000000000001</v>
      </c>
      <c r="CH337" s="19">
        <v>1.34</v>
      </c>
      <c r="CI337" s="17">
        <v>0.41</v>
      </c>
      <c r="CJ337" s="18">
        <v>0.37</v>
      </c>
      <c r="CK337" s="19">
        <v>0.39</v>
      </c>
      <c r="CL337" s="17">
        <v>38.46</v>
      </c>
      <c r="CM337">
        <v>36.06</v>
      </c>
      <c r="CN337">
        <v>37.260000000000005</v>
      </c>
      <c r="CO337">
        <v>6.89</v>
      </c>
      <c r="CP337">
        <v>1.8899999999999997</v>
      </c>
      <c r="CQ337">
        <v>4.3899999999999997</v>
      </c>
    </row>
    <row r="338" spans="1:95">
      <c r="A338" s="223">
        <v>45625</v>
      </c>
      <c r="B338" s="16" t="s">
        <v>100</v>
      </c>
      <c r="C338" s="17">
        <v>151.74</v>
      </c>
      <c r="D338" s="18">
        <v>149.74</v>
      </c>
      <c r="E338" s="19">
        <v>150.74</v>
      </c>
      <c r="F338" s="17">
        <v>160.69999999999999</v>
      </c>
      <c r="G338" s="18">
        <v>157.69999999999999</v>
      </c>
      <c r="H338" s="19">
        <v>159.19999999999999</v>
      </c>
      <c r="I338" s="17">
        <v>109.15</v>
      </c>
      <c r="J338" s="18">
        <v>105.95</v>
      </c>
      <c r="K338" s="19">
        <v>107.55000000000001</v>
      </c>
      <c r="L338" s="18">
        <v>195.49</v>
      </c>
      <c r="M338" s="18">
        <v>187.49</v>
      </c>
      <c r="N338" s="18">
        <v>191.49</v>
      </c>
      <c r="O338" s="17">
        <v>171.88</v>
      </c>
      <c r="P338" s="18">
        <v>170.07999999999998</v>
      </c>
      <c r="Q338" s="19">
        <v>170.98</v>
      </c>
      <c r="R338" s="18">
        <v>21.64</v>
      </c>
      <c r="S338" s="18">
        <v>21.04</v>
      </c>
      <c r="T338" s="18">
        <v>21.34</v>
      </c>
      <c r="U338" s="17">
        <v>13.95</v>
      </c>
      <c r="V338" s="18">
        <v>13.35</v>
      </c>
      <c r="W338" s="19">
        <v>13.649999999999999</v>
      </c>
      <c r="X338" s="17">
        <v>14.21</v>
      </c>
      <c r="Y338" s="18">
        <v>13.41</v>
      </c>
      <c r="Z338" s="19">
        <v>13.81</v>
      </c>
      <c r="AA338" s="17">
        <v>100.04</v>
      </c>
      <c r="AB338" s="18">
        <v>96.04</v>
      </c>
      <c r="AC338" s="19">
        <v>98.04</v>
      </c>
      <c r="AD338" s="17">
        <v>90.86</v>
      </c>
      <c r="AE338" s="18">
        <v>86.86</v>
      </c>
      <c r="AF338" s="19">
        <v>88.86</v>
      </c>
      <c r="AG338" s="18">
        <v>19.8</v>
      </c>
      <c r="AH338" s="18">
        <v>18.940000000000001</v>
      </c>
      <c r="AI338" s="18">
        <v>19.37</v>
      </c>
      <c r="AJ338" s="20"/>
      <c r="AK338" s="21"/>
      <c r="AL338" s="22"/>
      <c r="AM338" s="18">
        <v>113.2</v>
      </c>
      <c r="AN338" s="18">
        <v>111.54</v>
      </c>
      <c r="AO338" s="18">
        <v>112.37</v>
      </c>
      <c r="AP338" s="17">
        <v>41</v>
      </c>
      <c r="AQ338" s="18">
        <v>39.4</v>
      </c>
      <c r="AR338" s="19">
        <v>40.200000000000003</v>
      </c>
      <c r="AS338" s="18">
        <v>41.79</v>
      </c>
      <c r="AT338" s="18">
        <v>40.43</v>
      </c>
      <c r="AU338" s="18">
        <v>41.11</v>
      </c>
      <c r="AV338" s="17">
        <v>21.1</v>
      </c>
      <c r="AW338" s="18">
        <v>20.5</v>
      </c>
      <c r="AX338" s="19">
        <v>20.8</v>
      </c>
      <c r="AY338" s="17">
        <v>4.46</v>
      </c>
      <c r="AZ338" s="18">
        <v>4.3</v>
      </c>
      <c r="BA338" s="19">
        <v>4.38</v>
      </c>
      <c r="BB338" s="17">
        <v>1.94</v>
      </c>
      <c r="BC338" s="23">
        <v>1.64</v>
      </c>
      <c r="BD338" s="24">
        <v>1.79</v>
      </c>
      <c r="BE338" s="18">
        <v>0.7</v>
      </c>
      <c r="BF338" s="23">
        <v>0.39999999999999997</v>
      </c>
      <c r="BG338" s="23">
        <v>0.54999999999999993</v>
      </c>
      <c r="BH338" s="17">
        <v>499.33</v>
      </c>
      <c r="BI338" s="18">
        <v>483.33</v>
      </c>
      <c r="BJ338" s="19">
        <v>491.33</v>
      </c>
      <c r="BK338" s="18">
        <v>42.1</v>
      </c>
      <c r="BL338" s="18">
        <v>40.74</v>
      </c>
      <c r="BM338" s="18">
        <v>41.42</v>
      </c>
      <c r="BN338" s="25">
        <v>1.07</v>
      </c>
      <c r="BO338" s="23">
        <v>0.83000000000000007</v>
      </c>
      <c r="BP338" s="24">
        <v>0.95000000000000007</v>
      </c>
      <c r="BQ338" s="18">
        <v>8.3699999999999992</v>
      </c>
      <c r="BR338" s="18">
        <v>6.3699999999999992</v>
      </c>
      <c r="BS338" s="18">
        <v>7.3699999999999992</v>
      </c>
      <c r="BT338" s="17">
        <v>11.02</v>
      </c>
      <c r="BU338" s="18">
        <v>10.62</v>
      </c>
      <c r="BV338" s="19">
        <v>10.82</v>
      </c>
      <c r="BW338" s="17">
        <v>2.73</v>
      </c>
      <c r="BX338" s="23">
        <v>2.4500000000000002</v>
      </c>
      <c r="BY338" s="24">
        <v>2.59</v>
      </c>
      <c r="BZ338" s="17">
        <v>9.83</v>
      </c>
      <c r="CA338" s="18">
        <v>6.83</v>
      </c>
      <c r="CB338" s="19">
        <v>8.33</v>
      </c>
      <c r="CC338" s="17">
        <v>6.41</v>
      </c>
      <c r="CD338" s="18">
        <v>6.17</v>
      </c>
      <c r="CE338" s="19">
        <v>6.29</v>
      </c>
      <c r="CF338" s="17">
        <v>1.65</v>
      </c>
      <c r="CG338" s="18">
        <v>1.1499999999999999</v>
      </c>
      <c r="CH338" s="19">
        <v>1.4</v>
      </c>
      <c r="CI338" s="17">
        <v>0.41</v>
      </c>
      <c r="CJ338" s="18">
        <v>0.37</v>
      </c>
      <c r="CK338" s="19">
        <v>0.39</v>
      </c>
      <c r="CL338" s="17">
        <v>38.21</v>
      </c>
      <c r="CM338">
        <v>35.81</v>
      </c>
      <c r="CN338">
        <v>37.010000000000005</v>
      </c>
      <c r="CO338">
        <v>6.86</v>
      </c>
      <c r="CP338">
        <v>1.8600000000000003</v>
      </c>
      <c r="CQ338">
        <v>4.3600000000000003</v>
      </c>
    </row>
    <row r="339" spans="1:95">
      <c r="A339" s="223">
        <v>45626</v>
      </c>
      <c r="B339" s="16" t="s">
        <v>307</v>
      </c>
      <c r="C339" s="17"/>
      <c r="D339" s="18"/>
      <c r="E339" s="19"/>
      <c r="F339" s="17"/>
      <c r="G339" s="18"/>
      <c r="H339" s="19"/>
      <c r="I339" s="17"/>
      <c r="J339" s="18"/>
      <c r="K339" s="19"/>
      <c r="L339" s="18"/>
      <c r="M339" s="18"/>
      <c r="N339" s="18"/>
      <c r="O339" s="17"/>
      <c r="P339" s="18"/>
      <c r="Q339" s="19"/>
      <c r="R339" s="18"/>
      <c r="S339" s="18"/>
      <c r="T339" s="18"/>
      <c r="U339" s="17"/>
      <c r="V339" s="18"/>
      <c r="W339" s="19"/>
      <c r="X339" s="17"/>
      <c r="Y339" s="18"/>
      <c r="Z339" s="19"/>
      <c r="AA339" s="17"/>
      <c r="AB339" s="18"/>
      <c r="AC339" s="19"/>
      <c r="AD339" s="17"/>
      <c r="AE339" s="18"/>
      <c r="AF339" s="19"/>
      <c r="AG339" s="18"/>
      <c r="AH339" s="18"/>
      <c r="AI339" s="18"/>
      <c r="AJ339" s="20"/>
      <c r="AK339" s="21"/>
      <c r="AL339" s="22"/>
      <c r="AM339" s="18"/>
      <c r="AN339" s="18"/>
      <c r="AO339" s="18"/>
      <c r="AP339" s="17"/>
      <c r="AQ339" s="18"/>
      <c r="AR339" s="19"/>
      <c r="AS339" s="18"/>
      <c r="AT339" s="18"/>
      <c r="AU339" s="18"/>
      <c r="AV339" s="17"/>
      <c r="AW339" s="18"/>
      <c r="AX339" s="19"/>
      <c r="AY339" s="17"/>
      <c r="AZ339" s="18"/>
      <c r="BA339" s="19"/>
      <c r="BB339" s="17"/>
      <c r="BC339" s="23"/>
      <c r="BD339" s="24"/>
      <c r="BE339" s="18"/>
      <c r="BF339" s="23"/>
      <c r="BG339" s="23"/>
      <c r="BH339" s="17"/>
      <c r="BI339" s="18"/>
      <c r="BJ339" s="19"/>
      <c r="BK339" s="18"/>
      <c r="BL339" s="18"/>
      <c r="BM339" s="18"/>
      <c r="BN339" s="25"/>
      <c r="BO339" s="23"/>
      <c r="BP339" s="24"/>
      <c r="BQ339" s="18"/>
      <c r="BR339" s="18"/>
      <c r="BS339" s="18"/>
      <c r="BT339" s="17"/>
      <c r="BU339" s="18"/>
      <c r="BV339" s="19"/>
      <c r="BW339" s="17"/>
      <c r="BX339" s="23"/>
      <c r="BY339" s="24"/>
      <c r="BZ339" s="17"/>
      <c r="CA339" s="18"/>
      <c r="CB339" s="19"/>
      <c r="CC339" s="17"/>
      <c r="CD339" s="18"/>
      <c r="CE339" s="19"/>
      <c r="CF339" s="17"/>
      <c r="CG339" s="18"/>
      <c r="CH339" s="19"/>
      <c r="CI339" s="17"/>
      <c r="CJ339" s="18"/>
      <c r="CK339" s="19"/>
      <c r="CL339" s="17"/>
    </row>
    <row r="340" spans="1:95">
      <c r="A340" s="223">
        <v>45627</v>
      </c>
      <c r="B340" s="16" t="s">
        <v>308</v>
      </c>
      <c r="C340" s="17"/>
      <c r="D340" s="18"/>
      <c r="E340" s="19"/>
      <c r="F340" s="17"/>
      <c r="G340" s="18"/>
      <c r="H340" s="19"/>
      <c r="I340" s="17"/>
      <c r="J340" s="18"/>
      <c r="K340" s="19"/>
      <c r="L340" s="18"/>
      <c r="M340" s="18"/>
      <c r="N340" s="18"/>
      <c r="O340" s="17"/>
      <c r="P340" s="18"/>
      <c r="Q340" s="19"/>
      <c r="R340" s="18"/>
      <c r="S340" s="18"/>
      <c r="T340" s="18"/>
      <c r="U340" s="17"/>
      <c r="V340" s="18"/>
      <c r="W340" s="19"/>
      <c r="X340" s="17"/>
      <c r="Y340" s="18"/>
      <c r="Z340" s="19"/>
      <c r="AA340" s="17"/>
      <c r="AB340" s="18"/>
      <c r="AC340" s="19"/>
      <c r="AD340" s="17"/>
      <c r="AE340" s="18"/>
      <c r="AF340" s="19"/>
      <c r="AG340" s="18"/>
      <c r="AH340" s="18"/>
      <c r="AI340" s="18"/>
      <c r="AJ340" s="20"/>
      <c r="AK340" s="21"/>
      <c r="AL340" s="22"/>
      <c r="AM340" s="18"/>
      <c r="AN340" s="18"/>
      <c r="AO340" s="18"/>
      <c r="AP340" s="17"/>
      <c r="AQ340" s="18"/>
      <c r="AR340" s="19"/>
      <c r="AS340" s="18"/>
      <c r="AT340" s="18"/>
      <c r="AU340" s="18"/>
      <c r="AV340" s="17"/>
      <c r="AW340" s="18"/>
      <c r="AX340" s="19"/>
      <c r="AY340" s="17"/>
      <c r="AZ340" s="18"/>
      <c r="BA340" s="19"/>
      <c r="BB340" s="17"/>
      <c r="BC340" s="23"/>
      <c r="BD340" s="24"/>
      <c r="BE340" s="18"/>
      <c r="BF340" s="23"/>
      <c r="BG340" s="23"/>
      <c r="BH340" s="17"/>
      <c r="BI340" s="18"/>
      <c r="BJ340" s="19"/>
      <c r="BK340" s="18"/>
      <c r="BL340" s="18"/>
      <c r="BM340" s="18"/>
      <c r="BN340" s="25"/>
      <c r="BO340" s="23"/>
      <c r="BP340" s="24"/>
      <c r="BQ340" s="18"/>
      <c r="BR340" s="18"/>
      <c r="BS340" s="18"/>
      <c r="BT340" s="17"/>
      <c r="BU340" s="18"/>
      <c r="BV340" s="19"/>
      <c r="BW340" s="17"/>
      <c r="BX340" s="23"/>
      <c r="BY340" s="24"/>
      <c r="BZ340" s="17"/>
      <c r="CA340" s="18"/>
      <c r="CB340" s="19"/>
      <c r="CC340" s="17"/>
      <c r="CD340" s="18"/>
      <c r="CE340" s="19"/>
      <c r="CF340" s="17"/>
      <c r="CG340" s="18"/>
      <c r="CH340" s="19"/>
      <c r="CI340" s="17"/>
      <c r="CJ340" s="18"/>
      <c r="CK340" s="19"/>
      <c r="CL340" s="17"/>
    </row>
    <row r="341" spans="1:95">
      <c r="A341" s="223">
        <v>45628</v>
      </c>
      <c r="B341" s="16" t="s">
        <v>96</v>
      </c>
      <c r="C341" s="17">
        <v>151.22</v>
      </c>
      <c r="D341" s="18">
        <v>149.22</v>
      </c>
      <c r="E341" s="19">
        <v>150.22</v>
      </c>
      <c r="F341" s="17">
        <v>159.76</v>
      </c>
      <c r="G341" s="18">
        <v>156.76</v>
      </c>
      <c r="H341" s="19">
        <v>158.26</v>
      </c>
      <c r="I341" s="17">
        <v>108.65</v>
      </c>
      <c r="J341" s="18">
        <v>105.45</v>
      </c>
      <c r="K341" s="19">
        <v>107.05000000000001</v>
      </c>
      <c r="L341" s="18">
        <v>194.7</v>
      </c>
      <c r="M341" s="18">
        <v>186.7</v>
      </c>
      <c r="N341" s="18">
        <v>190.7</v>
      </c>
      <c r="O341" s="17">
        <v>170.99</v>
      </c>
      <c r="P341" s="18">
        <v>169.19</v>
      </c>
      <c r="Q341" s="19">
        <v>170.09</v>
      </c>
      <c r="R341" s="18">
        <v>21.51</v>
      </c>
      <c r="S341" s="18">
        <v>20.91</v>
      </c>
      <c r="T341" s="18">
        <v>21.21</v>
      </c>
      <c r="U341" s="17">
        <v>13.86</v>
      </c>
      <c r="V341" s="18">
        <v>13.26</v>
      </c>
      <c r="W341" s="19">
        <v>13.559999999999999</v>
      </c>
      <c r="X341" s="17">
        <v>14.14</v>
      </c>
      <c r="Y341" s="18">
        <v>13.34</v>
      </c>
      <c r="Z341" s="19">
        <v>13.74</v>
      </c>
      <c r="AA341" s="17">
        <v>99.57</v>
      </c>
      <c r="AB341" s="18">
        <v>95.57</v>
      </c>
      <c r="AC341" s="19">
        <v>97.57</v>
      </c>
      <c r="AD341" s="17">
        <v>90.61</v>
      </c>
      <c r="AE341" s="18">
        <v>86.61</v>
      </c>
      <c r="AF341" s="19">
        <v>88.61</v>
      </c>
      <c r="AG341" s="18">
        <v>19.73</v>
      </c>
      <c r="AH341" s="18">
        <v>18.87</v>
      </c>
      <c r="AI341" s="18">
        <v>19.3</v>
      </c>
      <c r="AJ341" s="20"/>
      <c r="AK341" s="21"/>
      <c r="AL341" s="22"/>
      <c r="AM341" s="18">
        <v>112.72</v>
      </c>
      <c r="AN341" s="18">
        <v>111.06</v>
      </c>
      <c r="AO341" s="18">
        <v>111.89</v>
      </c>
      <c r="AP341" s="17">
        <v>40.85</v>
      </c>
      <c r="AQ341" s="18">
        <v>39.25</v>
      </c>
      <c r="AR341" s="19">
        <v>40.049999999999997</v>
      </c>
      <c r="AS341" s="18">
        <v>41.65</v>
      </c>
      <c r="AT341" s="18">
        <v>40.29</v>
      </c>
      <c r="AU341" s="18">
        <v>40.97</v>
      </c>
      <c r="AV341" s="17">
        <v>20.99</v>
      </c>
      <c r="AW341" s="18">
        <v>20.389999999999997</v>
      </c>
      <c r="AX341" s="19">
        <v>20.689999999999998</v>
      </c>
      <c r="AY341" s="17">
        <v>4.4400000000000004</v>
      </c>
      <c r="AZ341" s="18">
        <v>4.28</v>
      </c>
      <c r="BA341" s="19">
        <v>4.3600000000000003</v>
      </c>
      <c r="BB341" s="17">
        <v>1.93</v>
      </c>
      <c r="BC341" s="23">
        <v>1.63</v>
      </c>
      <c r="BD341" s="24">
        <v>1.7799999999999998</v>
      </c>
      <c r="BE341" s="18">
        <v>0.69</v>
      </c>
      <c r="BF341" s="23">
        <v>0.38999999999999996</v>
      </c>
      <c r="BG341" s="23">
        <v>0.53999999999999992</v>
      </c>
      <c r="BH341" s="17">
        <v>497.79</v>
      </c>
      <c r="BI341" s="18">
        <v>481.79</v>
      </c>
      <c r="BJ341" s="19">
        <v>489.79</v>
      </c>
      <c r="BK341" s="18">
        <v>41.96</v>
      </c>
      <c r="BL341" s="18">
        <v>40.6</v>
      </c>
      <c r="BM341" s="18">
        <v>41.28</v>
      </c>
      <c r="BN341" s="25">
        <v>1.07</v>
      </c>
      <c r="BO341" s="23">
        <v>0.83000000000000007</v>
      </c>
      <c r="BP341" s="24">
        <v>0.95000000000000007</v>
      </c>
      <c r="BQ341" s="18">
        <v>8.36</v>
      </c>
      <c r="BR341" s="18">
        <v>6.3599999999999994</v>
      </c>
      <c r="BS341" s="18">
        <v>7.3599999999999994</v>
      </c>
      <c r="BT341" s="17">
        <v>10.94</v>
      </c>
      <c r="BU341" s="18">
        <v>10.54</v>
      </c>
      <c r="BV341" s="19">
        <v>10.739999999999998</v>
      </c>
      <c r="BW341" s="17">
        <v>2.72</v>
      </c>
      <c r="BX341" s="23">
        <v>2.4400000000000004</v>
      </c>
      <c r="BY341" s="24">
        <v>2.58</v>
      </c>
      <c r="BZ341" s="17">
        <v>9.7799999999999994</v>
      </c>
      <c r="CA341" s="18">
        <v>6.7799999999999994</v>
      </c>
      <c r="CB341" s="19">
        <v>8.2799999999999994</v>
      </c>
      <c r="CC341" s="17">
        <v>6.39</v>
      </c>
      <c r="CD341" s="18">
        <v>6.1499999999999995</v>
      </c>
      <c r="CE341" s="19">
        <v>6.27</v>
      </c>
      <c r="CF341" s="17">
        <v>1.66</v>
      </c>
      <c r="CG341" s="18">
        <v>1.1599999999999999</v>
      </c>
      <c r="CH341" s="19">
        <v>1.41</v>
      </c>
      <c r="CI341" s="17">
        <v>0.4</v>
      </c>
      <c r="CJ341" s="18">
        <v>0.36000000000000004</v>
      </c>
      <c r="CK341" s="19">
        <v>0.38</v>
      </c>
      <c r="CL341" s="17">
        <v>38.04</v>
      </c>
      <c r="CM341">
        <v>35.64</v>
      </c>
      <c r="CN341">
        <v>36.840000000000003</v>
      </c>
      <c r="CO341">
        <v>6.83</v>
      </c>
      <c r="CP341">
        <v>1.83</v>
      </c>
      <c r="CQ341">
        <v>4.33</v>
      </c>
    </row>
    <row r="342" spans="1:95">
      <c r="A342" s="223">
        <v>45629</v>
      </c>
      <c r="B342" s="16" t="s">
        <v>97</v>
      </c>
      <c r="C342" s="17">
        <v>150.96</v>
      </c>
      <c r="D342" s="18">
        <v>148.96</v>
      </c>
      <c r="E342" s="19">
        <v>149.96</v>
      </c>
      <c r="F342" s="17">
        <v>158.85</v>
      </c>
      <c r="G342" s="18">
        <v>155.85</v>
      </c>
      <c r="H342" s="19">
        <v>157.35</v>
      </c>
      <c r="I342" s="17">
        <v>108.36</v>
      </c>
      <c r="J342" s="18">
        <v>105.16</v>
      </c>
      <c r="K342" s="19">
        <v>106.75999999999999</v>
      </c>
      <c r="L342" s="18">
        <v>193.76</v>
      </c>
      <c r="M342" s="18">
        <v>185.76</v>
      </c>
      <c r="N342" s="18">
        <v>189.76</v>
      </c>
      <c r="O342" s="17">
        <v>169.91</v>
      </c>
      <c r="P342" s="18">
        <v>168.10999999999999</v>
      </c>
      <c r="Q342" s="19">
        <v>169.01</v>
      </c>
      <c r="R342" s="18">
        <v>21.39</v>
      </c>
      <c r="S342" s="18">
        <v>20.79</v>
      </c>
      <c r="T342" s="18">
        <v>21.09</v>
      </c>
      <c r="U342" s="17">
        <v>13.79</v>
      </c>
      <c r="V342" s="18">
        <v>13.19</v>
      </c>
      <c r="W342" s="19">
        <v>13.489999999999998</v>
      </c>
      <c r="X342" s="17">
        <v>14.04</v>
      </c>
      <c r="Y342" s="18">
        <v>13.239999999999998</v>
      </c>
      <c r="Z342" s="19">
        <v>13.639999999999999</v>
      </c>
      <c r="AA342" s="17">
        <v>99.11</v>
      </c>
      <c r="AB342" s="18">
        <v>95.11</v>
      </c>
      <c r="AC342" s="19">
        <v>97.11</v>
      </c>
      <c r="AD342" s="17">
        <v>90.21</v>
      </c>
      <c r="AE342" s="18">
        <v>86.21</v>
      </c>
      <c r="AF342" s="19">
        <v>88.21</v>
      </c>
      <c r="AG342" s="18">
        <v>19.7</v>
      </c>
      <c r="AH342" s="18">
        <v>18.84</v>
      </c>
      <c r="AI342" s="18">
        <v>19.27</v>
      </c>
      <c r="AJ342" s="20"/>
      <c r="AK342" s="21"/>
      <c r="AL342" s="22"/>
      <c r="AM342" s="18">
        <v>112.25</v>
      </c>
      <c r="AN342" s="18">
        <v>110.59</v>
      </c>
      <c r="AO342" s="18">
        <v>111.42</v>
      </c>
      <c r="AP342" s="17">
        <v>40.78</v>
      </c>
      <c r="AQ342" s="18">
        <v>39.18</v>
      </c>
      <c r="AR342" s="19">
        <v>39.980000000000004</v>
      </c>
      <c r="AS342" s="18">
        <v>41.57</v>
      </c>
      <c r="AT342" s="18">
        <v>40.21</v>
      </c>
      <c r="AU342" s="18">
        <v>40.89</v>
      </c>
      <c r="AV342" s="17">
        <v>20.87</v>
      </c>
      <c r="AW342" s="18">
        <v>20.27</v>
      </c>
      <c r="AX342" s="19">
        <v>20.57</v>
      </c>
      <c r="AY342" s="17">
        <v>4.43</v>
      </c>
      <c r="AZ342" s="18">
        <v>4.2699999999999996</v>
      </c>
      <c r="BA342" s="19">
        <v>4.3499999999999996</v>
      </c>
      <c r="BB342" s="17">
        <v>1.93</v>
      </c>
      <c r="BC342" s="23">
        <v>1.63</v>
      </c>
      <c r="BD342" s="24">
        <v>1.7799999999999998</v>
      </c>
      <c r="BE342" s="18">
        <v>0.69</v>
      </c>
      <c r="BF342" s="23">
        <v>0.38999999999999996</v>
      </c>
      <c r="BG342" s="23">
        <v>0.53999999999999992</v>
      </c>
      <c r="BH342" s="17">
        <v>496.63</v>
      </c>
      <c r="BI342" s="18">
        <v>480.63</v>
      </c>
      <c r="BJ342" s="19">
        <v>488.63</v>
      </c>
      <c r="BK342" s="18">
        <v>41.89</v>
      </c>
      <c r="BL342" s="18">
        <v>40.53</v>
      </c>
      <c r="BM342" s="18">
        <v>41.21</v>
      </c>
      <c r="BN342" s="25">
        <v>1.07</v>
      </c>
      <c r="BO342" s="23">
        <v>0.83000000000000007</v>
      </c>
      <c r="BP342" s="24">
        <v>0.95000000000000007</v>
      </c>
      <c r="BQ342" s="18">
        <v>8.35</v>
      </c>
      <c r="BR342" s="18">
        <v>6.35</v>
      </c>
      <c r="BS342" s="18">
        <v>7.35</v>
      </c>
      <c r="BT342" s="17">
        <v>10.91</v>
      </c>
      <c r="BU342" s="18">
        <v>10.51</v>
      </c>
      <c r="BV342" s="19">
        <v>10.71</v>
      </c>
      <c r="BW342" s="17">
        <v>2.72</v>
      </c>
      <c r="BX342" s="23">
        <v>2.4400000000000004</v>
      </c>
      <c r="BY342" s="24">
        <v>2.58</v>
      </c>
      <c r="BZ342" s="17">
        <v>9.76</v>
      </c>
      <c r="CA342" s="18">
        <v>6.76</v>
      </c>
      <c r="CB342" s="19">
        <v>8.26</v>
      </c>
      <c r="CC342" s="17">
        <v>6.36</v>
      </c>
      <c r="CD342" s="18">
        <v>6.12</v>
      </c>
      <c r="CE342" s="19">
        <v>6.24</v>
      </c>
      <c r="CF342" s="17">
        <v>1.66</v>
      </c>
      <c r="CG342" s="18">
        <v>1.1599999999999999</v>
      </c>
      <c r="CH342" s="19">
        <v>1.41</v>
      </c>
      <c r="CI342" s="17">
        <v>0.4</v>
      </c>
      <c r="CJ342" s="18">
        <v>0.36000000000000004</v>
      </c>
      <c r="CK342" s="19">
        <v>0.38</v>
      </c>
      <c r="CL342" s="17">
        <v>37.96</v>
      </c>
      <c r="CM342">
        <v>35.56</v>
      </c>
      <c r="CN342">
        <v>36.760000000000005</v>
      </c>
      <c r="CO342">
        <v>6.82</v>
      </c>
      <c r="CP342">
        <v>1.8200000000000003</v>
      </c>
      <c r="CQ342">
        <v>4.32</v>
      </c>
    </row>
    <row r="343" spans="1:95">
      <c r="A343" s="223">
        <v>45630</v>
      </c>
      <c r="B343" s="16" t="s">
        <v>98</v>
      </c>
      <c r="C343" s="17">
        <v>150.82</v>
      </c>
      <c r="D343" s="18">
        <v>148.82</v>
      </c>
      <c r="E343" s="19">
        <v>149.82</v>
      </c>
      <c r="F343" s="17">
        <v>158.84</v>
      </c>
      <c r="G343" s="18">
        <v>155.84</v>
      </c>
      <c r="H343" s="19">
        <v>157.34</v>
      </c>
      <c r="I343" s="17">
        <v>108.06</v>
      </c>
      <c r="J343" s="18">
        <v>104.86</v>
      </c>
      <c r="K343" s="19">
        <v>106.46000000000001</v>
      </c>
      <c r="L343" s="18">
        <v>193.81</v>
      </c>
      <c r="M343" s="18">
        <v>185.81</v>
      </c>
      <c r="N343" s="18">
        <v>189.81</v>
      </c>
      <c r="O343" s="17">
        <v>169.77</v>
      </c>
      <c r="P343" s="18">
        <v>167.97</v>
      </c>
      <c r="Q343" s="19">
        <v>168.87</v>
      </c>
      <c r="R343" s="18">
        <v>21.4</v>
      </c>
      <c r="S343" s="18">
        <v>20.799999999999997</v>
      </c>
      <c r="T343" s="18">
        <v>21.099999999999998</v>
      </c>
      <c r="U343" s="17">
        <v>13.85</v>
      </c>
      <c r="V343" s="18">
        <v>13.25</v>
      </c>
      <c r="W343" s="19">
        <v>13.55</v>
      </c>
      <c r="X343" s="17">
        <v>14.01</v>
      </c>
      <c r="Y343" s="18">
        <v>13.209999999999999</v>
      </c>
      <c r="Z343" s="19">
        <v>13.61</v>
      </c>
      <c r="AA343" s="17">
        <v>98.89</v>
      </c>
      <c r="AB343" s="18">
        <v>94.89</v>
      </c>
      <c r="AC343" s="19">
        <v>96.89</v>
      </c>
      <c r="AD343" s="17">
        <v>89.99</v>
      </c>
      <c r="AE343" s="18">
        <v>85.99</v>
      </c>
      <c r="AF343" s="19">
        <v>87.99</v>
      </c>
      <c r="AG343" s="18">
        <v>19.68</v>
      </c>
      <c r="AH343" s="18">
        <v>18.82</v>
      </c>
      <c r="AI343" s="18">
        <v>19.25</v>
      </c>
      <c r="AJ343" s="20"/>
      <c r="AK343" s="21"/>
      <c r="AL343" s="22"/>
      <c r="AM343" s="18">
        <v>112.12</v>
      </c>
      <c r="AN343" s="18">
        <v>110.46000000000001</v>
      </c>
      <c r="AO343" s="18">
        <v>111.29</v>
      </c>
      <c r="AP343" s="17">
        <v>40.74</v>
      </c>
      <c r="AQ343" s="18">
        <v>39.14</v>
      </c>
      <c r="AR343" s="19">
        <v>39.94</v>
      </c>
      <c r="AS343" s="18">
        <v>41.54</v>
      </c>
      <c r="AT343" s="18">
        <v>40.18</v>
      </c>
      <c r="AU343" s="18">
        <v>40.86</v>
      </c>
      <c r="AV343" s="17">
        <v>20.81</v>
      </c>
      <c r="AW343" s="18">
        <v>20.209999999999997</v>
      </c>
      <c r="AX343" s="19">
        <v>20.509999999999998</v>
      </c>
      <c r="AY343" s="17">
        <v>4.4400000000000004</v>
      </c>
      <c r="AZ343" s="18">
        <v>4.28</v>
      </c>
      <c r="BA343" s="19">
        <v>4.3600000000000003</v>
      </c>
      <c r="BB343" s="17">
        <v>1.93</v>
      </c>
      <c r="BC343" s="23">
        <v>1.63</v>
      </c>
      <c r="BD343" s="24">
        <v>1.7799999999999998</v>
      </c>
      <c r="BE343" s="18">
        <v>0.69</v>
      </c>
      <c r="BF343" s="23">
        <v>0.38999999999999996</v>
      </c>
      <c r="BG343" s="23">
        <v>0.53999999999999992</v>
      </c>
      <c r="BH343" s="17">
        <v>496.49</v>
      </c>
      <c r="BI343" s="18">
        <v>480.49</v>
      </c>
      <c r="BJ343" s="19">
        <v>488.49</v>
      </c>
      <c r="BK343" s="18">
        <v>41.85</v>
      </c>
      <c r="BL343" s="18">
        <v>40.49</v>
      </c>
      <c r="BM343" s="18">
        <v>41.17</v>
      </c>
      <c r="BN343" s="25">
        <v>1.06</v>
      </c>
      <c r="BO343" s="23">
        <v>0.82000000000000006</v>
      </c>
      <c r="BP343" s="24">
        <v>0.94000000000000006</v>
      </c>
      <c r="BQ343" s="18">
        <v>8.3699999999999992</v>
      </c>
      <c r="BR343" s="18">
        <v>6.3699999999999992</v>
      </c>
      <c r="BS343" s="18">
        <v>7.3699999999999992</v>
      </c>
      <c r="BT343" s="17">
        <v>10.79</v>
      </c>
      <c r="BU343" s="18">
        <v>10.389999999999999</v>
      </c>
      <c r="BV343" s="19">
        <v>10.59</v>
      </c>
      <c r="BW343" s="17">
        <v>2.72</v>
      </c>
      <c r="BX343" s="23">
        <v>2.4400000000000004</v>
      </c>
      <c r="BY343" s="24">
        <v>2.58</v>
      </c>
      <c r="BZ343" s="17">
        <v>9.76</v>
      </c>
      <c r="CA343" s="18">
        <v>6.76</v>
      </c>
      <c r="CB343" s="19">
        <v>8.26</v>
      </c>
      <c r="CC343" s="17">
        <v>6.38</v>
      </c>
      <c r="CD343" s="18">
        <v>6.14</v>
      </c>
      <c r="CE343" s="19">
        <v>6.26</v>
      </c>
      <c r="CF343" s="17">
        <v>1.68</v>
      </c>
      <c r="CG343" s="18">
        <v>1.18</v>
      </c>
      <c r="CH343" s="19">
        <v>1.43</v>
      </c>
      <c r="CI343" s="17">
        <v>0.4</v>
      </c>
      <c r="CJ343" s="18">
        <v>0.36000000000000004</v>
      </c>
      <c r="CK343" s="19">
        <v>0.38</v>
      </c>
      <c r="CL343" s="17">
        <v>37.880000000000003</v>
      </c>
      <c r="CM343">
        <v>35.480000000000004</v>
      </c>
      <c r="CN343">
        <v>36.680000000000007</v>
      </c>
      <c r="CO343">
        <v>6.82</v>
      </c>
      <c r="CP343">
        <v>1.8200000000000003</v>
      </c>
      <c r="CQ343">
        <v>4.32</v>
      </c>
    </row>
    <row r="344" spans="1:95">
      <c r="A344" s="223">
        <v>45631</v>
      </c>
      <c r="B344" s="16" t="s">
        <v>99</v>
      </c>
      <c r="C344" s="17">
        <v>151.38</v>
      </c>
      <c r="D344" s="18">
        <v>149.38</v>
      </c>
      <c r="E344" s="19">
        <v>150.38</v>
      </c>
      <c r="F344" s="17">
        <v>159.59</v>
      </c>
      <c r="G344" s="18">
        <v>156.59</v>
      </c>
      <c r="H344" s="19">
        <v>158.09</v>
      </c>
      <c r="I344" s="17">
        <v>108.41</v>
      </c>
      <c r="J344" s="18">
        <v>105.21</v>
      </c>
      <c r="K344" s="19">
        <v>106.81</v>
      </c>
      <c r="L344" s="18">
        <v>194.97</v>
      </c>
      <c r="M344" s="18">
        <v>186.97</v>
      </c>
      <c r="N344" s="18">
        <v>190.97</v>
      </c>
      <c r="O344" s="17">
        <v>170.96</v>
      </c>
      <c r="P344" s="18">
        <v>169.16</v>
      </c>
      <c r="Q344" s="19">
        <v>170.06</v>
      </c>
      <c r="R344" s="18">
        <v>21.5</v>
      </c>
      <c r="S344" s="18">
        <v>20.9</v>
      </c>
      <c r="T344" s="18">
        <v>21.2</v>
      </c>
      <c r="U344" s="17">
        <v>13.92</v>
      </c>
      <c r="V344" s="18">
        <v>13.32</v>
      </c>
      <c r="W344" s="19">
        <v>13.620000000000001</v>
      </c>
      <c r="X344" s="17">
        <v>14.17</v>
      </c>
      <c r="Y344" s="18">
        <v>13.37</v>
      </c>
      <c r="Z344" s="19">
        <v>13.77</v>
      </c>
      <c r="AA344" s="17">
        <v>98.6</v>
      </c>
      <c r="AB344" s="18">
        <v>94.6</v>
      </c>
      <c r="AC344" s="19">
        <v>96.6</v>
      </c>
      <c r="AD344" s="17">
        <v>90.08</v>
      </c>
      <c r="AE344" s="18">
        <v>86.08</v>
      </c>
      <c r="AF344" s="19">
        <v>88.08</v>
      </c>
      <c r="AG344" s="18">
        <v>19.75</v>
      </c>
      <c r="AH344" s="18">
        <v>18.89</v>
      </c>
      <c r="AI344" s="18">
        <v>19.32</v>
      </c>
      <c r="AJ344" s="20"/>
      <c r="AK344" s="21"/>
      <c r="AL344" s="22"/>
      <c r="AM344" s="18">
        <v>112.76</v>
      </c>
      <c r="AN344" s="18">
        <v>111.10000000000001</v>
      </c>
      <c r="AO344" s="18">
        <v>111.93</v>
      </c>
      <c r="AP344" s="17">
        <v>40.880000000000003</v>
      </c>
      <c r="AQ344" s="18">
        <v>39.28</v>
      </c>
      <c r="AR344" s="19">
        <v>40.08</v>
      </c>
      <c r="AS344" s="18">
        <v>41.69</v>
      </c>
      <c r="AT344" s="18">
        <v>40.33</v>
      </c>
      <c r="AU344" s="18">
        <v>41.01</v>
      </c>
      <c r="AV344" s="17">
        <v>20.96</v>
      </c>
      <c r="AW344" s="18">
        <v>20.36</v>
      </c>
      <c r="AX344" s="19">
        <v>20.66</v>
      </c>
      <c r="AY344" s="17">
        <v>4.46</v>
      </c>
      <c r="AZ344" s="18">
        <v>4.3</v>
      </c>
      <c r="BA344" s="19">
        <v>4.38</v>
      </c>
      <c r="BB344" s="17">
        <v>1.93</v>
      </c>
      <c r="BC344" s="23">
        <v>1.63</v>
      </c>
      <c r="BD344" s="24">
        <v>1.7799999999999998</v>
      </c>
      <c r="BE344" s="18">
        <v>0.69</v>
      </c>
      <c r="BF344" s="23">
        <v>0.38999999999999996</v>
      </c>
      <c r="BG344" s="23">
        <v>0.53999999999999992</v>
      </c>
      <c r="BH344" s="17">
        <v>498</v>
      </c>
      <c r="BI344" s="18">
        <v>482</v>
      </c>
      <c r="BJ344" s="19">
        <v>490</v>
      </c>
      <c r="BK344" s="18">
        <v>42</v>
      </c>
      <c r="BL344" s="18">
        <v>40.64</v>
      </c>
      <c r="BM344" s="18">
        <v>41.32</v>
      </c>
      <c r="BN344" s="25">
        <v>1.06</v>
      </c>
      <c r="BO344" s="23">
        <v>0.82000000000000006</v>
      </c>
      <c r="BP344" s="24">
        <v>0.94000000000000006</v>
      </c>
      <c r="BQ344" s="18">
        <v>8.41</v>
      </c>
      <c r="BR344" s="18">
        <v>6.41</v>
      </c>
      <c r="BS344" s="18">
        <v>7.41</v>
      </c>
      <c r="BT344" s="17">
        <v>10.85</v>
      </c>
      <c r="BU344" s="18">
        <v>10.45</v>
      </c>
      <c r="BV344" s="19">
        <v>10.649999999999999</v>
      </c>
      <c r="BW344" s="17">
        <v>2.74</v>
      </c>
      <c r="BX344" s="23">
        <v>2.46</v>
      </c>
      <c r="BY344" s="24">
        <v>2.6</v>
      </c>
      <c r="BZ344" s="17">
        <v>9.77</v>
      </c>
      <c r="CA344" s="18">
        <v>6.77</v>
      </c>
      <c r="CB344" s="19">
        <v>8.27</v>
      </c>
      <c r="CC344" s="17">
        <v>6.41</v>
      </c>
      <c r="CD344" s="18">
        <v>6.17</v>
      </c>
      <c r="CE344" s="19">
        <v>6.29</v>
      </c>
      <c r="CF344" s="17">
        <v>1.68</v>
      </c>
      <c r="CG344" s="18">
        <v>1.18</v>
      </c>
      <c r="CH344" s="19">
        <v>1.43</v>
      </c>
      <c r="CI344" s="17">
        <v>0.4</v>
      </c>
      <c r="CJ344" s="18">
        <v>0.36000000000000004</v>
      </c>
      <c r="CK344" s="19">
        <v>0.38</v>
      </c>
      <c r="CL344" s="17">
        <v>38.17</v>
      </c>
      <c r="CM344">
        <v>35.770000000000003</v>
      </c>
      <c r="CN344">
        <v>36.97</v>
      </c>
      <c r="CO344">
        <v>6.84</v>
      </c>
      <c r="CP344">
        <v>1.8399999999999999</v>
      </c>
      <c r="CQ344">
        <v>4.34</v>
      </c>
    </row>
    <row r="345" spans="1:95">
      <c r="A345" s="223">
        <v>45632</v>
      </c>
      <c r="B345" s="16" t="s">
        <v>100</v>
      </c>
      <c r="C345" s="17">
        <v>151.06</v>
      </c>
      <c r="D345" s="18">
        <v>149.06</v>
      </c>
      <c r="E345" s="19">
        <v>150.06</v>
      </c>
      <c r="F345" s="17">
        <v>160.22999999999999</v>
      </c>
      <c r="G345" s="18">
        <v>157.22999999999999</v>
      </c>
      <c r="H345" s="19">
        <v>158.72999999999999</v>
      </c>
      <c r="I345" s="17">
        <v>108.55</v>
      </c>
      <c r="J345" s="18">
        <v>105.35</v>
      </c>
      <c r="K345" s="19">
        <v>106.94999999999999</v>
      </c>
      <c r="L345" s="18">
        <v>195.43</v>
      </c>
      <c r="M345" s="18">
        <v>187.43</v>
      </c>
      <c r="N345" s="18">
        <v>191.43</v>
      </c>
      <c r="O345" s="17">
        <v>171.66</v>
      </c>
      <c r="P345" s="18">
        <v>169.85999999999999</v>
      </c>
      <c r="Q345" s="19">
        <v>170.76</v>
      </c>
      <c r="R345" s="18">
        <v>21.58</v>
      </c>
      <c r="S345" s="18">
        <v>20.979999999999997</v>
      </c>
      <c r="T345" s="18">
        <v>21.279999999999998</v>
      </c>
      <c r="U345" s="17">
        <v>13.88</v>
      </c>
      <c r="V345" s="18">
        <v>13.280000000000001</v>
      </c>
      <c r="W345" s="19">
        <v>13.580000000000002</v>
      </c>
      <c r="X345" s="17">
        <v>14.23</v>
      </c>
      <c r="Y345" s="18">
        <v>13.43</v>
      </c>
      <c r="Z345" s="19">
        <v>13.83</v>
      </c>
      <c r="AA345" s="17">
        <v>98.65</v>
      </c>
      <c r="AB345" s="18">
        <v>94.65</v>
      </c>
      <c r="AC345" s="19">
        <v>96.65</v>
      </c>
      <c r="AD345" s="17">
        <v>90.22</v>
      </c>
      <c r="AE345" s="18">
        <v>86.22</v>
      </c>
      <c r="AF345" s="19">
        <v>88.22</v>
      </c>
      <c r="AG345" s="18">
        <v>19.71</v>
      </c>
      <c r="AH345" s="18">
        <v>18.850000000000001</v>
      </c>
      <c r="AI345" s="18">
        <v>19.28</v>
      </c>
      <c r="AJ345" s="20"/>
      <c r="AK345" s="21"/>
      <c r="AL345" s="22"/>
      <c r="AM345" s="18">
        <v>112.92</v>
      </c>
      <c r="AN345" s="18">
        <v>111.26</v>
      </c>
      <c r="AO345" s="18">
        <v>112.09</v>
      </c>
      <c r="AP345" s="17">
        <v>40.82</v>
      </c>
      <c r="AQ345" s="18">
        <v>39.22</v>
      </c>
      <c r="AR345" s="19">
        <v>40.019999999999996</v>
      </c>
      <c r="AS345" s="18">
        <v>41.6</v>
      </c>
      <c r="AT345" s="18">
        <v>40.24</v>
      </c>
      <c r="AU345" s="18">
        <v>40.92</v>
      </c>
      <c r="AV345" s="17">
        <v>20.94</v>
      </c>
      <c r="AW345" s="18">
        <v>20.34</v>
      </c>
      <c r="AX345" s="19">
        <v>20.64</v>
      </c>
      <c r="AY345" s="17">
        <v>4.4800000000000004</v>
      </c>
      <c r="AZ345" s="18">
        <v>4.32</v>
      </c>
      <c r="BA345" s="19">
        <v>4.4000000000000004</v>
      </c>
      <c r="BB345" s="17">
        <v>1.93</v>
      </c>
      <c r="BC345" s="23">
        <v>1.63</v>
      </c>
      <c r="BD345" s="24">
        <v>1.7799999999999998</v>
      </c>
      <c r="BE345" s="18">
        <v>0.69</v>
      </c>
      <c r="BF345" s="23">
        <v>0.38999999999999996</v>
      </c>
      <c r="BG345" s="23">
        <v>0.53999999999999992</v>
      </c>
      <c r="BH345" s="17">
        <v>497.27</v>
      </c>
      <c r="BI345" s="18">
        <v>481.27</v>
      </c>
      <c r="BJ345" s="19">
        <v>489.27</v>
      </c>
      <c r="BK345" s="18">
        <v>41.91</v>
      </c>
      <c r="BL345" s="18">
        <v>40.549999999999997</v>
      </c>
      <c r="BM345" s="18">
        <v>41.23</v>
      </c>
      <c r="BN345" s="25">
        <v>1.07</v>
      </c>
      <c r="BO345" s="23">
        <v>0.83000000000000007</v>
      </c>
      <c r="BP345" s="24">
        <v>0.95000000000000007</v>
      </c>
      <c r="BQ345" s="18">
        <v>8.43</v>
      </c>
      <c r="BR345" s="18">
        <v>6.43</v>
      </c>
      <c r="BS345" s="18">
        <v>7.43</v>
      </c>
      <c r="BT345" s="17">
        <v>10.82</v>
      </c>
      <c r="BU345" s="18">
        <v>10.42</v>
      </c>
      <c r="BV345" s="19">
        <v>10.620000000000001</v>
      </c>
      <c r="BW345" s="17">
        <v>2.75</v>
      </c>
      <c r="BX345" s="23">
        <v>2.4699999999999998</v>
      </c>
      <c r="BY345" s="24">
        <v>2.61</v>
      </c>
      <c r="BZ345" s="17">
        <v>9.82</v>
      </c>
      <c r="CA345" s="18">
        <v>6.82</v>
      </c>
      <c r="CB345" s="19">
        <v>8.32</v>
      </c>
      <c r="CC345" s="17">
        <v>6.46</v>
      </c>
      <c r="CD345" s="18">
        <v>6.22</v>
      </c>
      <c r="CE345" s="19">
        <v>6.34</v>
      </c>
      <c r="CF345" s="17">
        <v>1.74</v>
      </c>
      <c r="CG345" s="18">
        <v>1.24</v>
      </c>
      <c r="CH345" s="19">
        <v>1.49</v>
      </c>
      <c r="CI345" s="17">
        <v>0.41</v>
      </c>
      <c r="CJ345" s="18">
        <v>0.37</v>
      </c>
      <c r="CK345" s="19">
        <v>0.39</v>
      </c>
      <c r="CL345" s="17">
        <v>38.4</v>
      </c>
      <c r="CM345">
        <v>36</v>
      </c>
      <c r="CN345">
        <v>37.200000000000003</v>
      </c>
      <c r="CO345">
        <v>6.83</v>
      </c>
      <c r="CP345">
        <v>1.83</v>
      </c>
      <c r="CQ345">
        <v>4.33</v>
      </c>
    </row>
    <row r="346" spans="1:95">
      <c r="A346" s="223">
        <v>45633</v>
      </c>
      <c r="B346" s="16" t="s">
        <v>307</v>
      </c>
      <c r="C346" s="17"/>
      <c r="D346" s="18"/>
      <c r="E346" s="19"/>
      <c r="F346" s="17"/>
      <c r="G346" s="18"/>
      <c r="H346" s="19"/>
      <c r="I346" s="17"/>
      <c r="J346" s="18"/>
      <c r="K346" s="19"/>
      <c r="L346" s="18"/>
      <c r="M346" s="18"/>
      <c r="N346" s="18"/>
      <c r="O346" s="17"/>
      <c r="P346" s="18"/>
      <c r="Q346" s="19"/>
      <c r="R346" s="18"/>
      <c r="S346" s="18"/>
      <c r="T346" s="18"/>
      <c r="U346" s="17"/>
      <c r="V346" s="18"/>
      <c r="W346" s="19"/>
      <c r="X346" s="17"/>
      <c r="Y346" s="18"/>
      <c r="Z346" s="19"/>
      <c r="AA346" s="17"/>
      <c r="AB346" s="18"/>
      <c r="AC346" s="19"/>
      <c r="AD346" s="17"/>
      <c r="AE346" s="18"/>
      <c r="AF346" s="19"/>
      <c r="AG346" s="18"/>
      <c r="AH346" s="18"/>
      <c r="AI346" s="18"/>
      <c r="AJ346" s="20"/>
      <c r="AK346" s="21"/>
      <c r="AL346" s="22"/>
      <c r="AM346" s="18"/>
      <c r="AN346" s="18"/>
      <c r="AO346" s="18"/>
      <c r="AP346" s="17"/>
      <c r="AQ346" s="18"/>
      <c r="AR346" s="19"/>
      <c r="AS346" s="18"/>
      <c r="AT346" s="18"/>
      <c r="AU346" s="18"/>
      <c r="AV346" s="17"/>
      <c r="AW346" s="18"/>
      <c r="AX346" s="19"/>
      <c r="AY346" s="17"/>
      <c r="AZ346" s="18"/>
      <c r="BA346" s="19"/>
      <c r="BB346" s="17"/>
      <c r="BC346" s="23"/>
      <c r="BD346" s="24"/>
      <c r="BE346" s="18"/>
      <c r="BF346" s="23"/>
      <c r="BG346" s="23"/>
      <c r="BH346" s="17"/>
      <c r="BI346" s="18"/>
      <c r="BJ346" s="19"/>
      <c r="BK346" s="18"/>
      <c r="BL346" s="18"/>
      <c r="BM346" s="18"/>
      <c r="BN346" s="25"/>
      <c r="BO346" s="23"/>
      <c r="BP346" s="24"/>
      <c r="BQ346" s="18"/>
      <c r="BR346" s="18"/>
      <c r="BS346" s="18"/>
      <c r="BT346" s="17"/>
      <c r="BU346" s="18"/>
      <c r="BV346" s="19"/>
      <c r="BW346" s="17"/>
      <c r="BX346" s="23"/>
      <c r="BY346" s="24"/>
      <c r="BZ346" s="17"/>
      <c r="CA346" s="18"/>
      <c r="CB346" s="19"/>
      <c r="CC346" s="17"/>
      <c r="CD346" s="18"/>
      <c r="CE346" s="19"/>
      <c r="CF346" s="17"/>
      <c r="CG346" s="18"/>
      <c r="CH346" s="19"/>
      <c r="CI346" s="17"/>
      <c r="CJ346" s="18"/>
      <c r="CK346" s="19"/>
      <c r="CL346" s="17"/>
    </row>
    <row r="347" spans="1:95">
      <c r="A347" s="223">
        <v>45634</v>
      </c>
      <c r="B347" s="16" t="s">
        <v>308</v>
      </c>
      <c r="C347" s="17"/>
      <c r="D347" s="18"/>
      <c r="E347" s="19"/>
      <c r="F347" s="17"/>
      <c r="G347" s="18"/>
      <c r="H347" s="19"/>
      <c r="I347" s="17"/>
      <c r="J347" s="18"/>
      <c r="K347" s="19"/>
      <c r="L347" s="18"/>
      <c r="M347" s="18"/>
      <c r="N347" s="18"/>
      <c r="O347" s="17"/>
      <c r="P347" s="18"/>
      <c r="Q347" s="19"/>
      <c r="R347" s="18"/>
      <c r="S347" s="18"/>
      <c r="T347" s="18"/>
      <c r="U347" s="17"/>
      <c r="V347" s="18"/>
      <c r="W347" s="19"/>
      <c r="X347" s="17"/>
      <c r="Y347" s="18"/>
      <c r="Z347" s="19"/>
      <c r="AA347" s="17"/>
      <c r="AB347" s="18"/>
      <c r="AC347" s="19"/>
      <c r="AD347" s="17"/>
      <c r="AE347" s="18"/>
      <c r="AF347" s="19"/>
      <c r="AG347" s="18"/>
      <c r="AH347" s="18"/>
      <c r="AI347" s="18"/>
      <c r="AJ347" s="20"/>
      <c r="AK347" s="21"/>
      <c r="AL347" s="22"/>
      <c r="AM347" s="18"/>
      <c r="AN347" s="18"/>
      <c r="AO347" s="18"/>
      <c r="AP347" s="17"/>
      <c r="AQ347" s="18"/>
      <c r="AR347" s="19"/>
      <c r="AS347" s="18"/>
      <c r="AT347" s="18"/>
      <c r="AU347" s="18"/>
      <c r="AV347" s="17"/>
      <c r="AW347" s="18"/>
      <c r="AX347" s="19"/>
      <c r="AY347" s="17"/>
      <c r="AZ347" s="18"/>
      <c r="BA347" s="19"/>
      <c r="BB347" s="17"/>
      <c r="BC347" s="23"/>
      <c r="BD347" s="24"/>
      <c r="BE347" s="18"/>
      <c r="BF347" s="23"/>
      <c r="BG347" s="23"/>
      <c r="BH347" s="17"/>
      <c r="BI347" s="18"/>
      <c r="BJ347" s="19"/>
      <c r="BK347" s="18"/>
      <c r="BL347" s="18"/>
      <c r="BM347" s="18"/>
      <c r="BN347" s="25"/>
      <c r="BO347" s="23"/>
      <c r="BP347" s="24"/>
      <c r="BQ347" s="18"/>
      <c r="BR347" s="18"/>
      <c r="BS347" s="18"/>
      <c r="BT347" s="17"/>
      <c r="BU347" s="18"/>
      <c r="BV347" s="19"/>
      <c r="BW347" s="17"/>
      <c r="BX347" s="23"/>
      <c r="BY347" s="24"/>
      <c r="BZ347" s="17"/>
      <c r="CA347" s="18"/>
      <c r="CB347" s="19"/>
      <c r="CC347" s="17"/>
      <c r="CD347" s="18"/>
      <c r="CE347" s="19"/>
      <c r="CF347" s="17"/>
      <c r="CG347" s="18"/>
      <c r="CH347" s="19"/>
      <c r="CI347" s="17"/>
      <c r="CJ347" s="18"/>
      <c r="CK347" s="19"/>
      <c r="CL347" s="17"/>
    </row>
    <row r="348" spans="1:95">
      <c r="A348" s="223">
        <v>45635</v>
      </c>
      <c r="B348" s="16" t="s">
        <v>96</v>
      </c>
      <c r="C348" s="17">
        <v>150.85</v>
      </c>
      <c r="D348" s="18">
        <v>148.85</v>
      </c>
      <c r="E348" s="19">
        <v>149.85</v>
      </c>
      <c r="F348" s="17">
        <v>159.69999999999999</v>
      </c>
      <c r="G348" s="18">
        <v>156.69999999999999</v>
      </c>
      <c r="H348" s="19">
        <v>158.19999999999999</v>
      </c>
      <c r="I348" s="17">
        <v>107.46</v>
      </c>
      <c r="J348" s="18">
        <v>104.25999999999999</v>
      </c>
      <c r="K348" s="19">
        <v>105.85999999999999</v>
      </c>
      <c r="L348" s="18">
        <v>194.98</v>
      </c>
      <c r="M348" s="18">
        <v>186.98</v>
      </c>
      <c r="N348" s="18">
        <v>190.98</v>
      </c>
      <c r="O348" s="17">
        <v>171.44</v>
      </c>
      <c r="P348" s="18">
        <v>169.64</v>
      </c>
      <c r="Q348" s="19">
        <v>170.54</v>
      </c>
      <c r="R348" s="18">
        <v>21.51</v>
      </c>
      <c r="S348" s="18">
        <v>20.91</v>
      </c>
      <c r="T348" s="18">
        <v>21.21</v>
      </c>
      <c r="U348" s="17">
        <v>13.73</v>
      </c>
      <c r="V348" s="18">
        <v>13.13</v>
      </c>
      <c r="W348" s="19">
        <v>13.43</v>
      </c>
      <c r="X348" s="17">
        <v>14.11</v>
      </c>
      <c r="Y348" s="18">
        <v>13.309999999999999</v>
      </c>
      <c r="Z348" s="19">
        <v>13.709999999999999</v>
      </c>
      <c r="AA348" s="17">
        <v>97.81</v>
      </c>
      <c r="AB348" s="18">
        <v>93.81</v>
      </c>
      <c r="AC348" s="19">
        <v>95.81</v>
      </c>
      <c r="AD348" s="17">
        <v>89.41</v>
      </c>
      <c r="AE348" s="18">
        <v>85.41</v>
      </c>
      <c r="AF348" s="19">
        <v>87.41</v>
      </c>
      <c r="AG348" s="18">
        <v>19.690000000000001</v>
      </c>
      <c r="AH348" s="18">
        <v>18.830000000000002</v>
      </c>
      <c r="AI348" s="18">
        <v>19.260000000000002</v>
      </c>
      <c r="AJ348" s="20"/>
      <c r="AK348" s="21"/>
      <c r="AL348" s="22"/>
      <c r="AM348" s="18">
        <v>112.53</v>
      </c>
      <c r="AN348" s="18">
        <v>110.87</v>
      </c>
      <c r="AO348" s="18">
        <v>111.7</v>
      </c>
      <c r="AP348" s="17">
        <v>40.75</v>
      </c>
      <c r="AQ348" s="18">
        <v>39.15</v>
      </c>
      <c r="AR348" s="19">
        <v>39.950000000000003</v>
      </c>
      <c r="AS348" s="18">
        <v>41.54</v>
      </c>
      <c r="AT348" s="18">
        <v>40.18</v>
      </c>
      <c r="AU348" s="18">
        <v>40.86</v>
      </c>
      <c r="AV348" s="17">
        <v>20.88</v>
      </c>
      <c r="AW348" s="18">
        <v>20.279999999999998</v>
      </c>
      <c r="AX348" s="19">
        <v>20.58</v>
      </c>
      <c r="AY348" s="17">
        <v>4.4800000000000004</v>
      </c>
      <c r="AZ348" s="18">
        <v>4.32</v>
      </c>
      <c r="BA348" s="19">
        <v>4.4000000000000004</v>
      </c>
      <c r="BB348" s="17">
        <v>1.93</v>
      </c>
      <c r="BC348" s="23">
        <v>1.63</v>
      </c>
      <c r="BD348" s="24">
        <v>1.7799999999999998</v>
      </c>
      <c r="BE348" s="18">
        <v>0.69</v>
      </c>
      <c r="BF348" s="23">
        <v>0.38999999999999996</v>
      </c>
      <c r="BG348" s="23">
        <v>0.53999999999999992</v>
      </c>
      <c r="BH348" s="17">
        <v>495.16</v>
      </c>
      <c r="BI348" s="18">
        <v>479.16</v>
      </c>
      <c r="BJ348" s="19">
        <v>487.16</v>
      </c>
      <c r="BK348" s="18">
        <v>41.85</v>
      </c>
      <c r="BL348" s="18">
        <v>40.49</v>
      </c>
      <c r="BM348" s="18">
        <v>41.17</v>
      </c>
      <c r="BN348" s="25">
        <v>1.07</v>
      </c>
      <c r="BO348" s="23">
        <v>0.83000000000000007</v>
      </c>
      <c r="BP348" s="24">
        <v>0.95000000000000007</v>
      </c>
      <c r="BQ348" s="18">
        <v>8.42</v>
      </c>
      <c r="BR348" s="18">
        <v>6.42</v>
      </c>
      <c r="BS348" s="18">
        <v>7.42</v>
      </c>
      <c r="BT348" s="17">
        <v>10.73</v>
      </c>
      <c r="BU348" s="18">
        <v>10.33</v>
      </c>
      <c r="BV348" s="19">
        <v>10.530000000000001</v>
      </c>
      <c r="BW348" s="17">
        <v>2.75</v>
      </c>
      <c r="BX348" s="23">
        <v>2.4699999999999998</v>
      </c>
      <c r="BY348" s="24">
        <v>2.61</v>
      </c>
      <c r="BZ348" s="17">
        <v>9.81</v>
      </c>
      <c r="CA348" s="18">
        <v>6.8100000000000005</v>
      </c>
      <c r="CB348" s="19">
        <v>8.31</v>
      </c>
      <c r="CC348" s="17">
        <v>6.42</v>
      </c>
      <c r="CD348" s="18">
        <v>6.18</v>
      </c>
      <c r="CE348" s="19">
        <v>6.3</v>
      </c>
      <c r="CF348" s="17">
        <v>1.74</v>
      </c>
      <c r="CG348" s="18">
        <v>1.24</v>
      </c>
      <c r="CH348" s="19">
        <v>1.49</v>
      </c>
      <c r="CI348" s="17">
        <v>0.4</v>
      </c>
      <c r="CJ348" s="18">
        <v>0.36000000000000004</v>
      </c>
      <c r="CK348" s="19">
        <v>0.38</v>
      </c>
      <c r="CL348" s="17">
        <v>38.299999999999997</v>
      </c>
      <c r="CM348">
        <v>35.9</v>
      </c>
      <c r="CN348">
        <v>37.099999999999994</v>
      </c>
      <c r="CO348">
        <v>6.8</v>
      </c>
      <c r="CP348">
        <v>1.7999999999999998</v>
      </c>
      <c r="CQ348">
        <v>4.3</v>
      </c>
    </row>
    <row r="349" spans="1:95">
      <c r="A349" s="223">
        <v>45636</v>
      </c>
      <c r="B349" s="16" t="s">
        <v>97</v>
      </c>
      <c r="C349" s="17">
        <v>152.54</v>
      </c>
      <c r="D349" s="18">
        <v>150.54</v>
      </c>
      <c r="E349" s="19">
        <v>151.54</v>
      </c>
      <c r="F349" s="17">
        <v>161.41</v>
      </c>
      <c r="G349" s="18">
        <v>158.41</v>
      </c>
      <c r="H349" s="19">
        <v>159.91</v>
      </c>
      <c r="I349" s="17">
        <v>108.51</v>
      </c>
      <c r="J349" s="18">
        <v>105.31</v>
      </c>
      <c r="K349" s="19">
        <v>106.91</v>
      </c>
      <c r="L349" s="18">
        <v>197.21</v>
      </c>
      <c r="M349" s="18">
        <v>189.21</v>
      </c>
      <c r="N349" s="18">
        <v>193.21</v>
      </c>
      <c r="O349" s="17">
        <v>173.3</v>
      </c>
      <c r="P349" s="18">
        <v>171.5</v>
      </c>
      <c r="Q349" s="19">
        <v>172.4</v>
      </c>
      <c r="R349" s="18">
        <v>21.74</v>
      </c>
      <c r="S349" s="18">
        <v>21.139999999999997</v>
      </c>
      <c r="T349" s="18">
        <v>21.439999999999998</v>
      </c>
      <c r="U349" s="17">
        <v>13.93</v>
      </c>
      <c r="V349" s="18">
        <v>13.33</v>
      </c>
      <c r="W349" s="19">
        <v>13.629999999999999</v>
      </c>
      <c r="X349" s="17">
        <v>14.29</v>
      </c>
      <c r="Y349" s="18">
        <v>13.489999999999998</v>
      </c>
      <c r="Z349" s="19">
        <v>13.889999999999999</v>
      </c>
      <c r="AA349" s="17">
        <v>99.43</v>
      </c>
      <c r="AB349" s="18">
        <v>95.43</v>
      </c>
      <c r="AC349" s="19">
        <v>97.43</v>
      </c>
      <c r="AD349" s="17">
        <v>90.64</v>
      </c>
      <c r="AE349" s="18">
        <v>86.64</v>
      </c>
      <c r="AF349" s="19">
        <v>88.64</v>
      </c>
      <c r="AG349" s="18">
        <v>19.93</v>
      </c>
      <c r="AH349" s="18">
        <v>19.07</v>
      </c>
      <c r="AI349" s="18">
        <v>19.5</v>
      </c>
      <c r="AJ349" s="20"/>
      <c r="AK349" s="21"/>
      <c r="AL349" s="22"/>
      <c r="AM349" s="18">
        <v>113.84</v>
      </c>
      <c r="AN349" s="18">
        <v>112.18</v>
      </c>
      <c r="AO349" s="18">
        <v>113.01</v>
      </c>
      <c r="AP349" s="17">
        <v>41.2</v>
      </c>
      <c r="AQ349" s="18">
        <v>39.6</v>
      </c>
      <c r="AR349" s="19">
        <v>40.400000000000006</v>
      </c>
      <c r="AS349" s="18">
        <v>42.01</v>
      </c>
      <c r="AT349" s="18">
        <v>40.65</v>
      </c>
      <c r="AU349" s="18">
        <v>41.33</v>
      </c>
      <c r="AV349" s="17">
        <v>21.15</v>
      </c>
      <c r="AW349" s="18">
        <v>20.549999999999997</v>
      </c>
      <c r="AX349" s="19">
        <v>20.849999999999998</v>
      </c>
      <c r="AY349" s="17">
        <v>4.55</v>
      </c>
      <c r="AZ349" s="18">
        <v>4.3899999999999997</v>
      </c>
      <c r="BA349" s="19">
        <v>4.47</v>
      </c>
      <c r="BB349" s="17">
        <v>1.94</v>
      </c>
      <c r="BC349" s="23">
        <v>1.64</v>
      </c>
      <c r="BD349" s="24">
        <v>1.79</v>
      </c>
      <c r="BE349" s="18">
        <v>0.7</v>
      </c>
      <c r="BF349" s="23">
        <v>0.39999999999999997</v>
      </c>
      <c r="BG349" s="23">
        <v>0.54999999999999993</v>
      </c>
      <c r="BH349" s="17">
        <v>501.94</v>
      </c>
      <c r="BI349" s="18">
        <v>485.94</v>
      </c>
      <c r="BJ349" s="19">
        <v>493.94</v>
      </c>
      <c r="BK349" s="18">
        <v>42.32</v>
      </c>
      <c r="BL349" s="18">
        <v>40.96</v>
      </c>
      <c r="BM349" s="18">
        <v>41.64</v>
      </c>
      <c r="BN349" s="25">
        <v>1.08</v>
      </c>
      <c r="BO349" s="23">
        <v>0.84000000000000008</v>
      </c>
      <c r="BP349" s="24">
        <v>0.96000000000000008</v>
      </c>
      <c r="BQ349" s="18">
        <v>8.49</v>
      </c>
      <c r="BR349" s="18">
        <v>6.49</v>
      </c>
      <c r="BS349" s="18">
        <v>7.49</v>
      </c>
      <c r="BT349" s="17">
        <v>10.82</v>
      </c>
      <c r="BU349" s="18">
        <v>10.42</v>
      </c>
      <c r="BV349" s="19">
        <v>10.620000000000001</v>
      </c>
      <c r="BW349" s="17">
        <v>2.77</v>
      </c>
      <c r="BX349" s="23">
        <v>2.4900000000000002</v>
      </c>
      <c r="BY349" s="24">
        <v>2.63</v>
      </c>
      <c r="BZ349" s="17">
        <v>10.01</v>
      </c>
      <c r="CA349" s="18">
        <v>7.01</v>
      </c>
      <c r="CB349" s="19">
        <v>8.51</v>
      </c>
      <c r="CC349" s="17">
        <v>6.5</v>
      </c>
      <c r="CD349" s="18">
        <v>6.26</v>
      </c>
      <c r="CE349" s="19">
        <v>6.38</v>
      </c>
      <c r="CF349" s="17">
        <v>1.77</v>
      </c>
      <c r="CG349" s="18">
        <v>1.27</v>
      </c>
      <c r="CH349" s="19">
        <v>1.52</v>
      </c>
      <c r="CI349" s="17">
        <v>0.41</v>
      </c>
      <c r="CJ349" s="18">
        <v>0.37</v>
      </c>
      <c r="CK349" s="19">
        <v>0.39</v>
      </c>
      <c r="CL349" s="17">
        <v>38.79</v>
      </c>
      <c r="CM349">
        <v>36.39</v>
      </c>
      <c r="CN349">
        <v>37.590000000000003</v>
      </c>
      <c r="CO349">
        <v>6.86</v>
      </c>
      <c r="CP349">
        <v>1.8600000000000003</v>
      </c>
      <c r="CQ349">
        <v>4.3600000000000003</v>
      </c>
    </row>
    <row r="350" spans="1:95">
      <c r="A350" s="223">
        <v>45637</v>
      </c>
      <c r="B350" s="16" t="s">
        <v>98</v>
      </c>
      <c r="C350" s="17">
        <v>152.86000000000001</v>
      </c>
      <c r="D350" s="18">
        <v>150.86000000000001</v>
      </c>
      <c r="E350" s="19">
        <v>151.86000000000001</v>
      </c>
      <c r="F350" s="17">
        <v>161.44</v>
      </c>
      <c r="G350" s="18">
        <v>158.44</v>
      </c>
      <c r="H350" s="19">
        <v>159.94</v>
      </c>
      <c r="I350" s="17">
        <v>108.77</v>
      </c>
      <c r="J350" s="18">
        <v>105.57</v>
      </c>
      <c r="K350" s="19">
        <v>107.16999999999999</v>
      </c>
      <c r="L350" s="18">
        <v>198.05</v>
      </c>
      <c r="M350" s="18">
        <v>190.05</v>
      </c>
      <c r="N350" s="18">
        <v>194.05</v>
      </c>
      <c r="O350" s="17">
        <v>172.94</v>
      </c>
      <c r="P350" s="18">
        <v>171.14</v>
      </c>
      <c r="Q350" s="19">
        <v>172.04</v>
      </c>
      <c r="R350" s="18">
        <v>21.75</v>
      </c>
      <c r="S350" s="18">
        <v>21.15</v>
      </c>
      <c r="T350" s="18">
        <v>21.45</v>
      </c>
      <c r="U350" s="17">
        <v>13.94</v>
      </c>
      <c r="V350" s="18">
        <v>13.34</v>
      </c>
      <c r="W350" s="19">
        <v>13.64</v>
      </c>
      <c r="X350" s="17">
        <v>14.26</v>
      </c>
      <c r="Y350" s="18">
        <v>13.459999999999999</v>
      </c>
      <c r="Z350" s="19">
        <v>13.86</v>
      </c>
      <c r="AA350" s="17">
        <v>98.9</v>
      </c>
      <c r="AB350" s="18">
        <v>94.9</v>
      </c>
      <c r="AC350" s="19">
        <v>96.9</v>
      </c>
      <c r="AD350" s="17">
        <v>90.11</v>
      </c>
      <c r="AE350" s="18">
        <v>86.11</v>
      </c>
      <c r="AF350" s="19">
        <v>88.11</v>
      </c>
      <c r="AG350" s="18">
        <v>19.96</v>
      </c>
      <c r="AH350" s="18">
        <v>19.100000000000001</v>
      </c>
      <c r="AI350" s="18">
        <v>19.53</v>
      </c>
      <c r="AJ350" s="20"/>
      <c r="AK350" s="21"/>
      <c r="AL350" s="22"/>
      <c r="AM350" s="18">
        <v>114.03</v>
      </c>
      <c r="AN350" s="18">
        <v>112.37</v>
      </c>
      <c r="AO350" s="18">
        <v>113.2</v>
      </c>
      <c r="AP350" s="17">
        <v>41.31</v>
      </c>
      <c r="AQ350" s="18">
        <v>39.71</v>
      </c>
      <c r="AR350" s="19">
        <v>40.510000000000005</v>
      </c>
      <c r="AS350" s="18">
        <v>42.09</v>
      </c>
      <c r="AT350" s="18">
        <v>40.730000000000004</v>
      </c>
      <c r="AU350" s="18">
        <v>41.410000000000004</v>
      </c>
      <c r="AV350" s="17">
        <v>21.22</v>
      </c>
      <c r="AW350" s="18">
        <v>20.619999999999997</v>
      </c>
      <c r="AX350" s="19">
        <v>20.919999999999998</v>
      </c>
      <c r="AY350" s="17">
        <v>4.59</v>
      </c>
      <c r="AZ350" s="18">
        <v>4.43</v>
      </c>
      <c r="BA350" s="19">
        <v>4.51</v>
      </c>
      <c r="BB350" s="17">
        <v>1.95</v>
      </c>
      <c r="BC350" s="23">
        <v>1.65</v>
      </c>
      <c r="BD350" s="24">
        <v>1.7999999999999998</v>
      </c>
      <c r="BE350" s="18">
        <v>0.7</v>
      </c>
      <c r="BF350" s="23">
        <v>0.39999999999999997</v>
      </c>
      <c r="BG350" s="23">
        <v>0.54999999999999993</v>
      </c>
      <c r="BH350" s="17">
        <v>501.21</v>
      </c>
      <c r="BI350" s="18">
        <v>485.21</v>
      </c>
      <c r="BJ350" s="19">
        <v>493.21</v>
      </c>
      <c r="BK350" s="18">
        <v>42.41</v>
      </c>
      <c r="BL350" s="18">
        <v>41.05</v>
      </c>
      <c r="BM350" s="18">
        <v>41.73</v>
      </c>
      <c r="BN350" s="25">
        <v>1.08</v>
      </c>
      <c r="BO350" s="23">
        <v>0.84000000000000008</v>
      </c>
      <c r="BP350" s="24">
        <v>0.96000000000000008</v>
      </c>
      <c r="BQ350" s="18">
        <v>8.5399999999999991</v>
      </c>
      <c r="BR350" s="18">
        <v>6.5399999999999991</v>
      </c>
      <c r="BS350" s="18">
        <v>7.5399999999999991</v>
      </c>
      <c r="BT350" s="17">
        <v>10.82</v>
      </c>
      <c r="BU350" s="18">
        <v>10.42</v>
      </c>
      <c r="BV350" s="19">
        <v>10.620000000000001</v>
      </c>
      <c r="BW350" s="17">
        <v>2.78</v>
      </c>
      <c r="BX350" s="23">
        <v>2.5</v>
      </c>
      <c r="BY350" s="24">
        <v>2.6399999999999997</v>
      </c>
      <c r="BZ350" s="17">
        <v>10.029999999999999</v>
      </c>
      <c r="CA350" s="18">
        <v>7.0299999999999994</v>
      </c>
      <c r="CB350" s="19">
        <v>8.5299999999999994</v>
      </c>
      <c r="CC350" s="17">
        <v>6.5</v>
      </c>
      <c r="CD350" s="18">
        <v>6.26</v>
      </c>
      <c r="CE350" s="19">
        <v>6.38</v>
      </c>
      <c r="CF350" s="17">
        <v>1.72</v>
      </c>
      <c r="CG350" s="18">
        <v>1.22</v>
      </c>
      <c r="CH350" s="19">
        <v>1.47</v>
      </c>
      <c r="CI350" s="17">
        <v>0.41</v>
      </c>
      <c r="CJ350" s="18">
        <v>0.37</v>
      </c>
      <c r="CK350" s="19">
        <v>0.39</v>
      </c>
      <c r="CL350" s="17">
        <v>38.78</v>
      </c>
      <c r="CM350">
        <v>36.380000000000003</v>
      </c>
      <c r="CN350">
        <v>37.58</v>
      </c>
      <c r="CO350">
        <v>6.86</v>
      </c>
      <c r="CP350">
        <v>1.8600000000000003</v>
      </c>
      <c r="CQ350">
        <v>4.3600000000000003</v>
      </c>
    </row>
    <row r="351" spans="1:95">
      <c r="A351" s="223">
        <v>45638</v>
      </c>
      <c r="B351" s="16" t="s">
        <v>99</v>
      </c>
      <c r="C351" s="17">
        <v>153.4</v>
      </c>
      <c r="D351" s="18">
        <v>151.4</v>
      </c>
      <c r="E351" s="19">
        <v>152.4</v>
      </c>
      <c r="F351" s="17">
        <v>161.58000000000001</v>
      </c>
      <c r="G351" s="18">
        <v>158.58000000000001</v>
      </c>
      <c r="H351" s="19">
        <v>160.08000000000001</v>
      </c>
      <c r="I351" s="17">
        <v>109.35</v>
      </c>
      <c r="J351" s="18">
        <v>106.14999999999999</v>
      </c>
      <c r="K351" s="19">
        <v>107.75</v>
      </c>
      <c r="L351" s="18">
        <v>198.54</v>
      </c>
      <c r="M351" s="18">
        <v>190.54</v>
      </c>
      <c r="N351" s="18">
        <v>194.54</v>
      </c>
      <c r="O351" s="17">
        <v>173.3</v>
      </c>
      <c r="P351" s="18">
        <v>171.5</v>
      </c>
      <c r="Q351" s="19">
        <v>172.4</v>
      </c>
      <c r="R351" s="18">
        <v>21.76</v>
      </c>
      <c r="S351" s="18">
        <v>21.16</v>
      </c>
      <c r="T351" s="18">
        <v>21.46</v>
      </c>
      <c r="U351" s="17">
        <v>13.99</v>
      </c>
      <c r="V351" s="18">
        <v>13.39</v>
      </c>
      <c r="W351" s="19">
        <v>13.690000000000001</v>
      </c>
      <c r="X351" s="17">
        <v>14.31</v>
      </c>
      <c r="Y351" s="18">
        <v>13.51</v>
      </c>
      <c r="Z351" s="19">
        <v>13.91</v>
      </c>
      <c r="AA351" s="17">
        <v>99.58</v>
      </c>
      <c r="AB351" s="18">
        <v>95.58</v>
      </c>
      <c r="AC351" s="19">
        <v>97.58</v>
      </c>
      <c r="AD351" s="17">
        <v>90.38</v>
      </c>
      <c r="AE351" s="18">
        <v>86.38</v>
      </c>
      <c r="AF351" s="19">
        <v>88.38</v>
      </c>
      <c r="AG351" s="18">
        <v>20.03</v>
      </c>
      <c r="AH351" s="18">
        <v>19.170000000000002</v>
      </c>
      <c r="AI351" s="18">
        <v>19.600000000000001</v>
      </c>
      <c r="AJ351" s="20"/>
      <c r="AK351" s="21"/>
      <c r="AL351" s="22"/>
      <c r="AM351" s="18">
        <v>114.28</v>
      </c>
      <c r="AN351" s="18">
        <v>112.62</v>
      </c>
      <c r="AO351" s="18">
        <v>113.45</v>
      </c>
      <c r="AP351" s="17">
        <v>41.42</v>
      </c>
      <c r="AQ351" s="18">
        <v>39.82</v>
      </c>
      <c r="AR351" s="19">
        <v>40.620000000000005</v>
      </c>
      <c r="AS351" s="18">
        <v>42.24</v>
      </c>
      <c r="AT351" s="18">
        <v>40.880000000000003</v>
      </c>
      <c r="AU351" s="18">
        <v>41.56</v>
      </c>
      <c r="AV351" s="17">
        <v>21.25</v>
      </c>
      <c r="AW351" s="18">
        <v>20.65</v>
      </c>
      <c r="AX351" s="19">
        <v>20.95</v>
      </c>
      <c r="AY351" s="17">
        <v>4.58</v>
      </c>
      <c r="AZ351" s="18">
        <v>4.42</v>
      </c>
      <c r="BA351" s="19">
        <v>4.5</v>
      </c>
      <c r="BB351" s="17">
        <v>1.96</v>
      </c>
      <c r="BC351" s="23">
        <v>1.66</v>
      </c>
      <c r="BD351" s="24">
        <v>1.81</v>
      </c>
      <c r="BE351" s="18">
        <v>0.7</v>
      </c>
      <c r="BF351" s="23">
        <v>0.39999999999999997</v>
      </c>
      <c r="BG351" s="23">
        <v>0.54999999999999993</v>
      </c>
      <c r="BH351" s="17">
        <v>502.97</v>
      </c>
      <c r="BI351" s="18">
        <v>486.97</v>
      </c>
      <c r="BJ351" s="19">
        <v>494.97</v>
      </c>
      <c r="BK351" s="18">
        <v>42.44</v>
      </c>
      <c r="BL351" s="18">
        <v>41.08</v>
      </c>
      <c r="BM351" s="18">
        <v>41.76</v>
      </c>
      <c r="BN351" s="25">
        <v>1.08</v>
      </c>
      <c r="BO351" s="23">
        <v>0.84000000000000008</v>
      </c>
      <c r="BP351" s="24">
        <v>0.96000000000000008</v>
      </c>
      <c r="BQ351" s="18">
        <v>8.58</v>
      </c>
      <c r="BR351" s="18">
        <v>6.58</v>
      </c>
      <c r="BS351" s="18">
        <v>7.58</v>
      </c>
      <c r="BT351" s="17">
        <v>10.86</v>
      </c>
      <c r="BU351" s="18">
        <v>10.459999999999999</v>
      </c>
      <c r="BV351" s="19">
        <v>10.66</v>
      </c>
      <c r="BW351" s="17">
        <v>2.77</v>
      </c>
      <c r="BX351" s="23">
        <v>2.4900000000000002</v>
      </c>
      <c r="BY351" s="24">
        <v>2.63</v>
      </c>
      <c r="BZ351" s="17">
        <v>10.119999999999999</v>
      </c>
      <c r="CA351" s="18">
        <v>7.1199999999999992</v>
      </c>
      <c r="CB351" s="19">
        <v>8.6199999999999992</v>
      </c>
      <c r="CC351" s="17">
        <v>6.51</v>
      </c>
      <c r="CD351" s="18">
        <v>6.27</v>
      </c>
      <c r="CE351" s="19">
        <v>6.39</v>
      </c>
      <c r="CF351" s="17">
        <v>1.7</v>
      </c>
      <c r="CG351" s="18">
        <v>1.2</v>
      </c>
      <c r="CH351" s="19">
        <v>1.45</v>
      </c>
      <c r="CI351" s="17">
        <v>0.41</v>
      </c>
      <c r="CJ351" s="18">
        <v>0.37</v>
      </c>
      <c r="CK351" s="19">
        <v>0.39</v>
      </c>
      <c r="CL351" s="17">
        <v>38.74</v>
      </c>
      <c r="CM351">
        <v>36.340000000000003</v>
      </c>
      <c r="CN351">
        <v>37.540000000000006</v>
      </c>
      <c r="CO351">
        <v>6.88</v>
      </c>
      <c r="CP351">
        <v>1.88</v>
      </c>
      <c r="CQ351">
        <v>4.38</v>
      </c>
    </row>
    <row r="352" spans="1:95">
      <c r="A352" s="223">
        <v>45639</v>
      </c>
      <c r="B352" s="16" t="s">
        <v>100</v>
      </c>
      <c r="C352" s="17">
        <v>154.02000000000001</v>
      </c>
      <c r="D352" s="18">
        <v>152.02000000000001</v>
      </c>
      <c r="E352" s="19">
        <v>153.02000000000001</v>
      </c>
      <c r="F352" s="17">
        <v>161.85</v>
      </c>
      <c r="G352" s="18">
        <v>158.85</v>
      </c>
      <c r="H352" s="19">
        <v>160.35</v>
      </c>
      <c r="I352" s="17">
        <v>109.17</v>
      </c>
      <c r="J352" s="18">
        <v>105.97</v>
      </c>
      <c r="K352" s="19">
        <v>107.57</v>
      </c>
      <c r="L352" s="18">
        <v>197.97</v>
      </c>
      <c r="M352" s="18">
        <v>189.97</v>
      </c>
      <c r="N352" s="18">
        <v>193.97</v>
      </c>
      <c r="O352" s="17">
        <v>172.43</v>
      </c>
      <c r="P352" s="18">
        <v>170.63</v>
      </c>
      <c r="Q352" s="19">
        <v>171.53</v>
      </c>
      <c r="R352" s="18">
        <v>21.8</v>
      </c>
      <c r="S352" s="18">
        <v>21.2</v>
      </c>
      <c r="T352" s="18">
        <v>21.5</v>
      </c>
      <c r="U352" s="17">
        <v>14.01</v>
      </c>
      <c r="V352" s="18">
        <v>13.41</v>
      </c>
      <c r="W352" s="19">
        <v>13.71</v>
      </c>
      <c r="X352" s="17">
        <v>14.3</v>
      </c>
      <c r="Y352" s="18">
        <v>13.5</v>
      </c>
      <c r="Z352" s="19">
        <v>13.9</v>
      </c>
      <c r="AA352" s="17">
        <v>99.41</v>
      </c>
      <c r="AB352" s="18">
        <v>95.41</v>
      </c>
      <c r="AC352" s="19">
        <v>97.41</v>
      </c>
      <c r="AD352" s="17">
        <v>90.2</v>
      </c>
      <c r="AE352" s="18">
        <v>86.2</v>
      </c>
      <c r="AF352" s="19">
        <v>88.2</v>
      </c>
      <c r="AG352" s="18">
        <v>20.11</v>
      </c>
      <c r="AH352" s="18">
        <v>19.25</v>
      </c>
      <c r="AI352" s="18">
        <v>19.68</v>
      </c>
      <c r="AJ352" s="20"/>
      <c r="AK352" s="21"/>
      <c r="AL352" s="22"/>
      <c r="AM352" s="18">
        <v>114.43</v>
      </c>
      <c r="AN352" s="18">
        <v>112.77000000000001</v>
      </c>
      <c r="AO352" s="18">
        <v>113.60000000000001</v>
      </c>
      <c r="AP352" s="17">
        <v>41.59</v>
      </c>
      <c r="AQ352" s="18">
        <v>39.99</v>
      </c>
      <c r="AR352" s="19">
        <v>40.790000000000006</v>
      </c>
      <c r="AS352" s="18">
        <v>42.41</v>
      </c>
      <c r="AT352" s="18">
        <v>41.05</v>
      </c>
      <c r="AU352" s="18">
        <v>41.73</v>
      </c>
      <c r="AV352" s="17">
        <v>21.34</v>
      </c>
      <c r="AW352" s="18">
        <v>20.74</v>
      </c>
      <c r="AX352" s="19">
        <v>21.04</v>
      </c>
      <c r="AY352" s="17">
        <v>4.59</v>
      </c>
      <c r="AZ352" s="18">
        <v>4.43</v>
      </c>
      <c r="BA352" s="19">
        <v>4.51</v>
      </c>
      <c r="BB352" s="17">
        <v>1.96</v>
      </c>
      <c r="BC352" s="23">
        <v>1.66</v>
      </c>
      <c r="BD352" s="24">
        <v>1.81</v>
      </c>
      <c r="BE352" s="18">
        <v>0.7</v>
      </c>
      <c r="BF352" s="23">
        <v>0.39999999999999997</v>
      </c>
      <c r="BG352" s="23">
        <v>0.54999999999999993</v>
      </c>
      <c r="BH352" s="17">
        <v>506.44</v>
      </c>
      <c r="BI352" s="18">
        <v>490.44</v>
      </c>
      <c r="BJ352" s="19">
        <v>498.44</v>
      </c>
      <c r="BK352" s="18">
        <v>42.73</v>
      </c>
      <c r="BL352" s="18">
        <v>41.37</v>
      </c>
      <c r="BM352" s="18">
        <v>42.05</v>
      </c>
      <c r="BN352" s="25">
        <v>1.08</v>
      </c>
      <c r="BO352" s="23">
        <v>0.84000000000000008</v>
      </c>
      <c r="BP352" s="24">
        <v>0.96000000000000008</v>
      </c>
      <c r="BQ352" s="18">
        <v>8.57</v>
      </c>
      <c r="BR352" s="18">
        <v>6.57</v>
      </c>
      <c r="BS352" s="18">
        <v>7.57</v>
      </c>
      <c r="BT352" s="17">
        <v>10.91</v>
      </c>
      <c r="BU352" s="18">
        <v>10.51</v>
      </c>
      <c r="BV352" s="19">
        <v>10.71</v>
      </c>
      <c r="BW352" s="17">
        <v>2.79</v>
      </c>
      <c r="BX352" s="23">
        <v>2.5099999999999998</v>
      </c>
      <c r="BY352" s="24">
        <v>2.65</v>
      </c>
      <c r="BZ352" s="17">
        <v>10.1</v>
      </c>
      <c r="CA352" s="18">
        <v>7.1</v>
      </c>
      <c r="CB352" s="19">
        <v>8.6</v>
      </c>
      <c r="CC352" s="17">
        <v>6.53</v>
      </c>
      <c r="CD352" s="18">
        <v>6.29</v>
      </c>
      <c r="CE352" s="19">
        <v>6.41</v>
      </c>
      <c r="CF352" s="17">
        <v>1.71</v>
      </c>
      <c r="CG352" s="18">
        <v>1.21</v>
      </c>
      <c r="CH352" s="19">
        <v>1.46</v>
      </c>
      <c r="CI352" s="17">
        <v>0.41</v>
      </c>
      <c r="CJ352" s="18">
        <v>0.37</v>
      </c>
      <c r="CK352" s="19">
        <v>0.39</v>
      </c>
      <c r="CL352" s="17">
        <v>38.74</v>
      </c>
      <c r="CM352">
        <v>36.340000000000003</v>
      </c>
      <c r="CN352">
        <v>37.540000000000006</v>
      </c>
      <c r="CO352">
        <v>6.89</v>
      </c>
      <c r="CP352">
        <v>1.8899999999999997</v>
      </c>
      <c r="CQ352">
        <v>4.3899999999999997</v>
      </c>
    </row>
    <row r="353" spans="1:95">
      <c r="A353" s="223">
        <v>45640</v>
      </c>
      <c r="B353" s="16" t="s">
        <v>307</v>
      </c>
      <c r="C353" s="17"/>
      <c r="D353" s="18"/>
      <c r="E353" s="19"/>
      <c r="F353" s="17"/>
      <c r="G353" s="18"/>
      <c r="H353" s="19"/>
      <c r="I353" s="17"/>
      <c r="J353" s="18"/>
      <c r="K353" s="19"/>
      <c r="L353" s="18"/>
      <c r="M353" s="18"/>
      <c r="N353" s="18"/>
      <c r="O353" s="17"/>
      <c r="P353" s="18"/>
      <c r="Q353" s="19"/>
      <c r="R353" s="18"/>
      <c r="S353" s="18"/>
      <c r="T353" s="18"/>
      <c r="U353" s="17"/>
      <c r="V353" s="18"/>
      <c r="W353" s="19"/>
      <c r="X353" s="17"/>
      <c r="Y353" s="18"/>
      <c r="Z353" s="19"/>
      <c r="AA353" s="17"/>
      <c r="AB353" s="18"/>
      <c r="AC353" s="19"/>
      <c r="AD353" s="17"/>
      <c r="AE353" s="18"/>
      <c r="AF353" s="19"/>
      <c r="AG353" s="18"/>
      <c r="AH353" s="18"/>
      <c r="AI353" s="18"/>
      <c r="AJ353" s="20"/>
      <c r="AK353" s="21"/>
      <c r="AL353" s="22"/>
      <c r="AM353" s="18"/>
      <c r="AN353" s="18"/>
      <c r="AO353" s="18"/>
      <c r="AP353" s="17"/>
      <c r="AQ353" s="18"/>
      <c r="AR353" s="19"/>
      <c r="AS353" s="18"/>
      <c r="AT353" s="18"/>
      <c r="AU353" s="18"/>
      <c r="AV353" s="17"/>
      <c r="AW353" s="18"/>
      <c r="AX353" s="19"/>
      <c r="AY353" s="17"/>
      <c r="AZ353" s="18"/>
      <c r="BA353" s="19"/>
      <c r="BB353" s="17"/>
      <c r="BC353" s="23"/>
      <c r="BD353" s="24"/>
      <c r="BE353" s="18"/>
      <c r="BF353" s="23"/>
      <c r="BG353" s="23"/>
      <c r="BH353" s="17"/>
      <c r="BI353" s="18"/>
      <c r="BJ353" s="19"/>
      <c r="BK353" s="18"/>
      <c r="BL353" s="18"/>
      <c r="BM353" s="18"/>
      <c r="BN353" s="25"/>
      <c r="BO353" s="23"/>
      <c r="BP353" s="24"/>
      <c r="BQ353" s="18"/>
      <c r="BR353" s="18"/>
      <c r="BS353" s="18"/>
      <c r="BT353" s="17"/>
      <c r="BU353" s="18"/>
      <c r="BV353" s="19"/>
      <c r="BW353" s="17"/>
      <c r="BX353" s="23"/>
      <c r="BY353" s="24"/>
      <c r="BZ353" s="17"/>
      <c r="CA353" s="18"/>
      <c r="CB353" s="19"/>
      <c r="CC353" s="17"/>
      <c r="CD353" s="18"/>
      <c r="CE353" s="19"/>
      <c r="CF353" s="17"/>
      <c r="CG353" s="18"/>
      <c r="CH353" s="19"/>
      <c r="CI353" s="17"/>
      <c r="CJ353" s="18"/>
      <c r="CK353" s="19"/>
      <c r="CL353" s="17"/>
    </row>
    <row r="354" spans="1:95">
      <c r="A354" s="223">
        <v>45641</v>
      </c>
      <c r="B354" s="16" t="s">
        <v>308</v>
      </c>
      <c r="C354" s="17"/>
      <c r="D354" s="18"/>
      <c r="E354" s="19"/>
      <c r="F354" s="17"/>
      <c r="G354" s="18"/>
      <c r="H354" s="19"/>
      <c r="I354" s="17"/>
      <c r="J354" s="18"/>
      <c r="K354" s="19"/>
      <c r="L354" s="18"/>
      <c r="M354" s="18"/>
      <c r="N354" s="18"/>
      <c r="O354" s="17"/>
      <c r="P354" s="18"/>
      <c r="Q354" s="19"/>
      <c r="R354" s="18"/>
      <c r="S354" s="18"/>
      <c r="T354" s="18"/>
      <c r="U354" s="17"/>
      <c r="V354" s="18"/>
      <c r="W354" s="19"/>
      <c r="X354" s="17"/>
      <c r="Y354" s="18"/>
      <c r="Z354" s="19"/>
      <c r="AA354" s="17"/>
      <c r="AB354" s="18"/>
      <c r="AC354" s="19"/>
      <c r="AD354" s="17"/>
      <c r="AE354" s="18"/>
      <c r="AF354" s="19"/>
      <c r="AG354" s="18"/>
      <c r="AH354" s="18"/>
      <c r="AI354" s="18"/>
      <c r="AJ354" s="20"/>
      <c r="AK354" s="21"/>
      <c r="AL354" s="22"/>
      <c r="AM354" s="18"/>
      <c r="AN354" s="18"/>
      <c r="AO354" s="18"/>
      <c r="AP354" s="17"/>
      <c r="AQ354" s="18"/>
      <c r="AR354" s="19"/>
      <c r="AS354" s="18"/>
      <c r="AT354" s="18"/>
      <c r="AU354" s="18"/>
      <c r="AV354" s="17"/>
      <c r="AW354" s="18"/>
      <c r="AX354" s="19"/>
      <c r="AY354" s="17"/>
      <c r="AZ354" s="18"/>
      <c r="BA354" s="19"/>
      <c r="BB354" s="17"/>
      <c r="BC354" s="23"/>
      <c r="BD354" s="24"/>
      <c r="BE354" s="18"/>
      <c r="BF354" s="23"/>
      <c r="BG354" s="23"/>
      <c r="BH354" s="17"/>
      <c r="BI354" s="18"/>
      <c r="BJ354" s="19"/>
      <c r="BK354" s="18"/>
      <c r="BL354" s="18"/>
      <c r="BM354" s="18"/>
      <c r="BN354" s="25"/>
      <c r="BO354" s="23"/>
      <c r="BP354" s="24"/>
      <c r="BQ354" s="18"/>
      <c r="BR354" s="18"/>
      <c r="BS354" s="18"/>
      <c r="BT354" s="17"/>
      <c r="BU354" s="18"/>
      <c r="BV354" s="19"/>
      <c r="BW354" s="17"/>
      <c r="BX354" s="23"/>
      <c r="BY354" s="24"/>
      <c r="BZ354" s="17"/>
      <c r="CA354" s="18"/>
      <c r="CB354" s="19"/>
      <c r="CC354" s="17"/>
      <c r="CD354" s="18"/>
      <c r="CE354" s="19"/>
      <c r="CF354" s="17"/>
      <c r="CG354" s="18"/>
      <c r="CH354" s="19"/>
      <c r="CI354" s="17"/>
      <c r="CJ354" s="18"/>
      <c r="CK354" s="19"/>
      <c r="CL354" s="17"/>
    </row>
    <row r="355" spans="1:95">
      <c r="A355" s="223">
        <v>45642</v>
      </c>
      <c r="B355" s="16" t="s">
        <v>96</v>
      </c>
      <c r="C355" s="17">
        <v>154.91999999999999</v>
      </c>
      <c r="D355" s="18">
        <v>152.91999999999999</v>
      </c>
      <c r="E355" s="19">
        <v>153.91999999999999</v>
      </c>
      <c r="F355" s="17">
        <v>163.41</v>
      </c>
      <c r="G355" s="18">
        <v>160.41</v>
      </c>
      <c r="H355" s="19">
        <v>161.91</v>
      </c>
      <c r="I355" s="17">
        <v>109.83</v>
      </c>
      <c r="J355" s="18">
        <v>106.63</v>
      </c>
      <c r="K355" s="19">
        <v>108.22999999999999</v>
      </c>
      <c r="L355" s="18">
        <v>198.45</v>
      </c>
      <c r="M355" s="18">
        <v>190.45</v>
      </c>
      <c r="N355" s="18">
        <v>194.45</v>
      </c>
      <c r="O355" s="17">
        <v>173.53</v>
      </c>
      <c r="P355" s="18">
        <v>171.73</v>
      </c>
      <c r="Q355" s="19">
        <v>172.63</v>
      </c>
      <c r="R355" s="18">
        <v>22.01</v>
      </c>
      <c r="S355" s="18">
        <v>21.41</v>
      </c>
      <c r="T355" s="18">
        <v>21.71</v>
      </c>
      <c r="U355" s="17">
        <v>14.12</v>
      </c>
      <c r="V355" s="18">
        <v>13.52</v>
      </c>
      <c r="W355" s="19">
        <v>13.82</v>
      </c>
      <c r="X355" s="17">
        <v>14.45</v>
      </c>
      <c r="Y355" s="18">
        <v>13.649999999999999</v>
      </c>
      <c r="Z355" s="19">
        <v>14.049999999999999</v>
      </c>
      <c r="AA355" s="17">
        <v>100.03</v>
      </c>
      <c r="AB355" s="18">
        <v>96.03</v>
      </c>
      <c r="AC355" s="19">
        <v>98.03</v>
      </c>
      <c r="AD355" s="17">
        <v>90.81</v>
      </c>
      <c r="AE355" s="18">
        <v>86.81</v>
      </c>
      <c r="AF355" s="19">
        <v>88.81</v>
      </c>
      <c r="AG355" s="18">
        <v>20.22</v>
      </c>
      <c r="AH355" s="18">
        <v>19.36</v>
      </c>
      <c r="AI355" s="18">
        <v>19.79</v>
      </c>
      <c r="AJ355" s="20"/>
      <c r="AK355" s="21"/>
      <c r="AL355" s="22"/>
      <c r="AM355" s="18">
        <v>115.01</v>
      </c>
      <c r="AN355" s="18">
        <v>113.35000000000001</v>
      </c>
      <c r="AO355" s="18">
        <v>114.18</v>
      </c>
      <c r="AP355" s="17">
        <v>41.83</v>
      </c>
      <c r="AQ355" s="18">
        <v>40.229999999999997</v>
      </c>
      <c r="AR355" s="19">
        <v>41.03</v>
      </c>
      <c r="AS355" s="18">
        <v>42.65</v>
      </c>
      <c r="AT355" s="18">
        <v>41.29</v>
      </c>
      <c r="AU355" s="18">
        <v>41.97</v>
      </c>
      <c r="AV355" s="17">
        <v>21.45</v>
      </c>
      <c r="AW355" s="18">
        <v>20.849999999999998</v>
      </c>
      <c r="AX355" s="19">
        <v>21.15</v>
      </c>
      <c r="AY355" s="17">
        <v>4.59</v>
      </c>
      <c r="AZ355" s="18">
        <v>4.43</v>
      </c>
      <c r="BA355" s="19">
        <v>4.51</v>
      </c>
      <c r="BB355" s="17">
        <v>1.97</v>
      </c>
      <c r="BC355" s="23">
        <v>1.67</v>
      </c>
      <c r="BD355" s="24">
        <v>1.8199999999999998</v>
      </c>
      <c r="BE355" s="18">
        <v>0.71</v>
      </c>
      <c r="BF355" s="23">
        <v>0.41</v>
      </c>
      <c r="BG355" s="23">
        <v>0.55999999999999994</v>
      </c>
      <c r="BH355" s="17">
        <v>507.42</v>
      </c>
      <c r="BI355" s="18">
        <v>491.42</v>
      </c>
      <c r="BJ355" s="19">
        <v>499.42</v>
      </c>
      <c r="BK355" s="18">
        <v>42.98</v>
      </c>
      <c r="BL355" s="18">
        <v>41.62</v>
      </c>
      <c r="BM355" s="18">
        <v>42.3</v>
      </c>
      <c r="BN355" s="25">
        <v>1.0900000000000001</v>
      </c>
      <c r="BO355" s="23">
        <v>0.85000000000000009</v>
      </c>
      <c r="BP355" s="24">
        <v>0.97000000000000008</v>
      </c>
      <c r="BQ355" s="18">
        <v>8.65</v>
      </c>
      <c r="BR355" s="18">
        <v>6.65</v>
      </c>
      <c r="BS355" s="18">
        <v>7.65</v>
      </c>
      <c r="BT355" s="17">
        <v>10.94</v>
      </c>
      <c r="BU355" s="18">
        <v>10.54</v>
      </c>
      <c r="BV355" s="19">
        <v>10.739999999999998</v>
      </c>
      <c r="BW355" s="17">
        <v>2.79</v>
      </c>
      <c r="BX355" s="23">
        <v>2.5099999999999998</v>
      </c>
      <c r="BY355" s="24">
        <v>2.65</v>
      </c>
      <c r="BZ355" s="17">
        <v>10.119999999999999</v>
      </c>
      <c r="CA355" s="18">
        <v>7.1199999999999992</v>
      </c>
      <c r="CB355" s="19">
        <v>8.6199999999999992</v>
      </c>
      <c r="CC355" s="17">
        <v>6.6</v>
      </c>
      <c r="CD355" s="18">
        <v>6.3599999999999994</v>
      </c>
      <c r="CE355" s="19">
        <v>6.4799999999999995</v>
      </c>
      <c r="CF355" s="17">
        <v>1.72</v>
      </c>
      <c r="CG355" s="18">
        <v>1.22</v>
      </c>
      <c r="CH355" s="19">
        <v>1.47</v>
      </c>
      <c r="CI355" s="17">
        <v>0.42</v>
      </c>
      <c r="CJ355" s="18">
        <v>0.38</v>
      </c>
      <c r="CK355" s="19">
        <v>0.4</v>
      </c>
      <c r="CL355" s="17">
        <v>39.21</v>
      </c>
      <c r="CM355">
        <v>36.81</v>
      </c>
      <c r="CN355">
        <v>38.010000000000005</v>
      </c>
      <c r="CO355">
        <v>6.91</v>
      </c>
      <c r="CP355">
        <v>1.9100000000000001</v>
      </c>
      <c r="CQ355">
        <v>4.41</v>
      </c>
    </row>
    <row r="356" spans="1:95">
      <c r="A356" s="223">
        <v>45643</v>
      </c>
      <c r="B356" s="16" t="s">
        <v>97</v>
      </c>
      <c r="C356" s="17">
        <v>155.27000000000001</v>
      </c>
      <c r="D356" s="18">
        <v>153.27000000000001</v>
      </c>
      <c r="E356" s="19">
        <v>154.27000000000001</v>
      </c>
      <c r="F356" s="17">
        <v>163.96</v>
      </c>
      <c r="G356" s="18">
        <v>160.96</v>
      </c>
      <c r="H356" s="19">
        <v>162.46</v>
      </c>
      <c r="I356" s="17">
        <v>109.99</v>
      </c>
      <c r="J356" s="18">
        <v>106.78999999999999</v>
      </c>
      <c r="K356" s="19">
        <v>108.38999999999999</v>
      </c>
      <c r="L356" s="18">
        <v>199.92</v>
      </c>
      <c r="M356" s="18">
        <v>191.92</v>
      </c>
      <c r="N356" s="18">
        <v>195.92</v>
      </c>
      <c r="O356" s="17">
        <v>173.56</v>
      </c>
      <c r="P356" s="18">
        <v>171.76</v>
      </c>
      <c r="Q356" s="19">
        <v>172.66</v>
      </c>
      <c r="R356" s="18">
        <v>22.08</v>
      </c>
      <c r="S356" s="18">
        <v>21.479999999999997</v>
      </c>
      <c r="T356" s="18">
        <v>21.779999999999998</v>
      </c>
      <c r="U356" s="17">
        <v>14.15</v>
      </c>
      <c r="V356" s="18">
        <v>13.55</v>
      </c>
      <c r="W356" s="19">
        <v>13.850000000000001</v>
      </c>
      <c r="X356" s="17">
        <v>14.59</v>
      </c>
      <c r="Y356" s="18">
        <v>13.79</v>
      </c>
      <c r="Z356" s="19">
        <v>14.19</v>
      </c>
      <c r="AA356" s="17">
        <v>100.3</v>
      </c>
      <c r="AB356" s="18">
        <v>96.3</v>
      </c>
      <c r="AC356" s="19">
        <v>98.3</v>
      </c>
      <c r="AD356" s="17">
        <v>91.28</v>
      </c>
      <c r="AE356" s="18">
        <v>87.28</v>
      </c>
      <c r="AF356" s="19">
        <v>89.28</v>
      </c>
      <c r="AG356" s="18">
        <v>20.28</v>
      </c>
      <c r="AH356" s="18">
        <v>19.420000000000002</v>
      </c>
      <c r="AI356" s="18">
        <v>19.850000000000001</v>
      </c>
      <c r="AJ356" s="20"/>
      <c r="AK356" s="21"/>
      <c r="AL356" s="22"/>
      <c r="AM356" s="18">
        <v>115.2</v>
      </c>
      <c r="AN356" s="18">
        <v>113.54</v>
      </c>
      <c r="AO356" s="18">
        <v>114.37</v>
      </c>
      <c r="AP356" s="17">
        <v>41.93</v>
      </c>
      <c r="AQ356" s="18">
        <v>40.33</v>
      </c>
      <c r="AR356" s="19">
        <v>41.129999999999995</v>
      </c>
      <c r="AS356" s="18">
        <v>42.75</v>
      </c>
      <c r="AT356" s="18">
        <v>41.39</v>
      </c>
      <c r="AU356" s="18">
        <v>42.07</v>
      </c>
      <c r="AV356" s="17">
        <v>21.46</v>
      </c>
      <c r="AW356" s="18">
        <v>20.86</v>
      </c>
      <c r="AX356" s="19">
        <v>21.16</v>
      </c>
      <c r="AY356" s="17">
        <v>4.62</v>
      </c>
      <c r="AZ356" s="18">
        <v>4.46</v>
      </c>
      <c r="BA356" s="19">
        <v>4.54</v>
      </c>
      <c r="BB356" s="17">
        <v>1.98</v>
      </c>
      <c r="BC356" s="23">
        <v>1.68</v>
      </c>
      <c r="BD356" s="24">
        <v>1.83</v>
      </c>
      <c r="BE356" s="18">
        <v>0.71</v>
      </c>
      <c r="BF356" s="23">
        <v>0.41</v>
      </c>
      <c r="BG356" s="23">
        <v>0.55999999999999994</v>
      </c>
      <c r="BH356" s="17">
        <v>508.39</v>
      </c>
      <c r="BI356" s="18">
        <v>492.39</v>
      </c>
      <c r="BJ356" s="19">
        <v>500.39</v>
      </c>
      <c r="BK356" s="18">
        <v>43.09</v>
      </c>
      <c r="BL356" s="18">
        <v>41.730000000000004</v>
      </c>
      <c r="BM356" s="18">
        <v>42.410000000000004</v>
      </c>
      <c r="BN356" s="25">
        <v>1.0900000000000001</v>
      </c>
      <c r="BO356" s="23">
        <v>0.85000000000000009</v>
      </c>
      <c r="BP356" s="24">
        <v>0.97000000000000008</v>
      </c>
      <c r="BQ356" s="18">
        <v>8.66</v>
      </c>
      <c r="BR356" s="18">
        <v>6.66</v>
      </c>
      <c r="BS356" s="18">
        <v>7.66</v>
      </c>
      <c r="BT356" s="17">
        <v>10.95</v>
      </c>
      <c r="BU356" s="18">
        <v>10.549999999999999</v>
      </c>
      <c r="BV356" s="19">
        <v>10.75</v>
      </c>
      <c r="BW356" s="17">
        <v>2.79</v>
      </c>
      <c r="BX356" s="23">
        <v>2.5099999999999998</v>
      </c>
      <c r="BY356" s="24">
        <v>2.65</v>
      </c>
      <c r="BZ356" s="17">
        <v>10.15</v>
      </c>
      <c r="CA356" s="18">
        <v>7.15</v>
      </c>
      <c r="CB356" s="19">
        <v>8.65</v>
      </c>
      <c r="CC356" s="17">
        <v>6.61</v>
      </c>
      <c r="CD356" s="18">
        <v>6.37</v>
      </c>
      <c r="CE356" s="19">
        <v>6.49</v>
      </c>
      <c r="CF356" s="17">
        <v>1.74</v>
      </c>
      <c r="CG356" s="18">
        <v>1.24</v>
      </c>
      <c r="CH356" s="19">
        <v>1.49</v>
      </c>
      <c r="CI356" s="17">
        <v>0.42</v>
      </c>
      <c r="CJ356" s="18">
        <v>0.38</v>
      </c>
      <c r="CK356" s="19">
        <v>0.4</v>
      </c>
      <c r="CL356" s="17">
        <v>39.4</v>
      </c>
      <c r="CM356">
        <v>37</v>
      </c>
      <c r="CN356">
        <v>38.200000000000003</v>
      </c>
      <c r="CO356">
        <v>6.92</v>
      </c>
      <c r="CP356">
        <v>1.92</v>
      </c>
      <c r="CQ356">
        <v>4.42</v>
      </c>
    </row>
    <row r="357" spans="1:95">
      <c r="A357" s="223">
        <v>45644</v>
      </c>
      <c r="B357" s="16" t="s">
        <v>98</v>
      </c>
      <c r="C357" s="17">
        <v>154.74</v>
      </c>
      <c r="D357" s="18">
        <v>152.74</v>
      </c>
      <c r="E357" s="19">
        <v>153.74</v>
      </c>
      <c r="F357" s="17">
        <v>162.88</v>
      </c>
      <c r="G357" s="18">
        <v>159.88</v>
      </c>
      <c r="H357" s="19">
        <v>161.38</v>
      </c>
      <c r="I357" s="17">
        <v>109.01</v>
      </c>
      <c r="J357" s="18">
        <v>105.81</v>
      </c>
      <c r="K357" s="19">
        <v>107.41</v>
      </c>
      <c r="L357" s="18">
        <v>199.42</v>
      </c>
      <c r="M357" s="18">
        <v>191.42</v>
      </c>
      <c r="N357" s="18">
        <v>195.42</v>
      </c>
      <c r="O357" s="17">
        <v>173.22</v>
      </c>
      <c r="P357" s="18">
        <v>171.42</v>
      </c>
      <c r="Q357" s="19">
        <v>172.32</v>
      </c>
      <c r="R357" s="18">
        <v>21.94</v>
      </c>
      <c r="S357" s="18">
        <v>21.34</v>
      </c>
      <c r="T357" s="18">
        <v>21.64</v>
      </c>
      <c r="U357" s="17">
        <v>14.03</v>
      </c>
      <c r="V357" s="18">
        <v>13.43</v>
      </c>
      <c r="W357" s="19">
        <v>13.73</v>
      </c>
      <c r="X357" s="17">
        <v>14.44</v>
      </c>
      <c r="Y357" s="18">
        <v>13.639999999999999</v>
      </c>
      <c r="Z357" s="19">
        <v>14.04</v>
      </c>
      <c r="AA357" s="17">
        <v>99.33</v>
      </c>
      <c r="AB357" s="18">
        <v>95.33</v>
      </c>
      <c r="AC357" s="19">
        <v>97.33</v>
      </c>
      <c r="AD357" s="17">
        <v>90.46</v>
      </c>
      <c r="AE357" s="18">
        <v>86.46</v>
      </c>
      <c r="AF357" s="19">
        <v>88.46</v>
      </c>
      <c r="AG357" s="18">
        <v>20.22</v>
      </c>
      <c r="AH357" s="18">
        <v>19.36</v>
      </c>
      <c r="AI357" s="18">
        <v>19.79</v>
      </c>
      <c r="AJ357" s="20"/>
      <c r="AK357" s="21"/>
      <c r="AL357" s="22"/>
      <c r="AM357" s="18">
        <v>114.76</v>
      </c>
      <c r="AN357" s="18">
        <v>113.10000000000001</v>
      </c>
      <c r="AO357" s="18">
        <v>113.93</v>
      </c>
      <c r="AP357" s="17">
        <v>41.79</v>
      </c>
      <c r="AQ357" s="18">
        <v>40.19</v>
      </c>
      <c r="AR357" s="19">
        <v>40.989999999999995</v>
      </c>
      <c r="AS357" s="18">
        <v>42.61</v>
      </c>
      <c r="AT357" s="18">
        <v>41.25</v>
      </c>
      <c r="AU357" s="18">
        <v>41.93</v>
      </c>
      <c r="AV357" s="17">
        <v>21.4</v>
      </c>
      <c r="AW357" s="18">
        <v>20.799999999999997</v>
      </c>
      <c r="AX357" s="19">
        <v>21.099999999999998</v>
      </c>
      <c r="AY357" s="17">
        <v>4.58</v>
      </c>
      <c r="AZ357" s="18">
        <v>4.42</v>
      </c>
      <c r="BA357" s="19">
        <v>4.5</v>
      </c>
      <c r="BB357" s="17">
        <v>1.97</v>
      </c>
      <c r="BC357" s="23">
        <v>1.67</v>
      </c>
      <c r="BD357" s="24">
        <v>1.8199999999999998</v>
      </c>
      <c r="BE357" s="18">
        <v>0.71</v>
      </c>
      <c r="BF357" s="23">
        <v>0.41</v>
      </c>
      <c r="BG357" s="23">
        <v>0.55999999999999994</v>
      </c>
      <c r="BH357" s="17">
        <v>508.78</v>
      </c>
      <c r="BI357" s="18">
        <v>492.78</v>
      </c>
      <c r="BJ357" s="19">
        <v>500.78</v>
      </c>
      <c r="BK357" s="18">
        <v>42.93</v>
      </c>
      <c r="BL357" s="18">
        <v>41.57</v>
      </c>
      <c r="BM357" s="18">
        <v>42.25</v>
      </c>
      <c r="BN357" s="25">
        <v>1.08</v>
      </c>
      <c r="BO357" s="23">
        <v>0.84000000000000008</v>
      </c>
      <c r="BP357" s="24">
        <v>0.96000000000000008</v>
      </c>
      <c r="BQ357" s="18">
        <v>8.6199999999999992</v>
      </c>
      <c r="BR357" s="18">
        <v>6.6199999999999992</v>
      </c>
      <c r="BS357" s="18">
        <v>7.6199999999999992</v>
      </c>
      <c r="BT357" s="17">
        <v>10.9</v>
      </c>
      <c r="BU357" s="18">
        <v>10.5</v>
      </c>
      <c r="BV357" s="19">
        <v>10.7</v>
      </c>
      <c r="BW357" s="17">
        <v>2.77</v>
      </c>
      <c r="BX357" s="23">
        <v>2.4900000000000002</v>
      </c>
      <c r="BY357" s="24">
        <v>2.63</v>
      </c>
      <c r="BZ357" s="17">
        <v>10</v>
      </c>
      <c r="CA357" s="18">
        <v>7</v>
      </c>
      <c r="CB357" s="19">
        <v>8.5</v>
      </c>
      <c r="CC357" s="17">
        <v>6.56</v>
      </c>
      <c r="CD357" s="18">
        <v>6.3199999999999994</v>
      </c>
      <c r="CE357" s="19">
        <v>6.4399999999999995</v>
      </c>
      <c r="CF357" s="17">
        <v>1.72</v>
      </c>
      <c r="CG357" s="18">
        <v>1.22</v>
      </c>
      <c r="CH357" s="19">
        <v>1.47</v>
      </c>
      <c r="CI357" s="17">
        <v>0.41</v>
      </c>
      <c r="CJ357" s="18">
        <v>0.37</v>
      </c>
      <c r="CK357" s="19">
        <v>0.39</v>
      </c>
      <c r="CL357" s="17">
        <v>39.04</v>
      </c>
      <c r="CM357">
        <v>36.64</v>
      </c>
      <c r="CN357">
        <v>37.840000000000003</v>
      </c>
      <c r="CO357">
        <v>6.9</v>
      </c>
      <c r="CP357">
        <v>1.9000000000000004</v>
      </c>
      <c r="CQ357">
        <v>4.4000000000000004</v>
      </c>
    </row>
    <row r="358" spans="1:95">
      <c r="A358" s="223">
        <v>45645</v>
      </c>
      <c r="B358" s="16" t="s">
        <v>99</v>
      </c>
      <c r="C358" s="17">
        <v>155.94</v>
      </c>
      <c r="D358" s="18">
        <v>153.94</v>
      </c>
      <c r="E358" s="19">
        <v>154.94</v>
      </c>
      <c r="F358" s="17">
        <v>162.31</v>
      </c>
      <c r="G358" s="18">
        <v>159.31</v>
      </c>
      <c r="H358" s="19">
        <v>160.81</v>
      </c>
      <c r="I358" s="17">
        <v>108.81</v>
      </c>
      <c r="J358" s="18">
        <v>105.61</v>
      </c>
      <c r="K358" s="19">
        <v>107.21000000000001</v>
      </c>
      <c r="L358" s="18">
        <v>199.02</v>
      </c>
      <c r="M358" s="18">
        <v>191.02</v>
      </c>
      <c r="N358" s="18">
        <v>195.02</v>
      </c>
      <c r="O358" s="17">
        <v>172.9</v>
      </c>
      <c r="P358" s="18">
        <v>171.1</v>
      </c>
      <c r="Q358" s="19">
        <v>172</v>
      </c>
      <c r="R358" s="18">
        <v>21.85</v>
      </c>
      <c r="S358" s="18">
        <v>21.25</v>
      </c>
      <c r="T358" s="18">
        <v>21.55</v>
      </c>
      <c r="U358" s="17">
        <v>13.93</v>
      </c>
      <c r="V358" s="18">
        <v>13.33</v>
      </c>
      <c r="W358" s="19">
        <v>13.629999999999999</v>
      </c>
      <c r="X358" s="17">
        <v>14.35</v>
      </c>
      <c r="Y358" s="18">
        <v>13.549999999999999</v>
      </c>
      <c r="Z358" s="19">
        <v>13.95</v>
      </c>
      <c r="AA358" s="17">
        <v>98.36</v>
      </c>
      <c r="AB358" s="18">
        <v>94.36</v>
      </c>
      <c r="AC358" s="19">
        <v>96.36</v>
      </c>
      <c r="AD358" s="17">
        <v>89.17</v>
      </c>
      <c r="AE358" s="18">
        <v>85.17</v>
      </c>
      <c r="AF358" s="19">
        <v>87.17</v>
      </c>
      <c r="AG358" s="18">
        <v>20.36</v>
      </c>
      <c r="AH358" s="18">
        <v>19.5</v>
      </c>
      <c r="AI358" s="18">
        <v>19.93</v>
      </c>
      <c r="AJ358" s="20"/>
      <c r="AK358" s="21"/>
      <c r="AL358" s="22"/>
      <c r="AM358" s="18">
        <v>114.66</v>
      </c>
      <c r="AN358" s="18">
        <v>113</v>
      </c>
      <c r="AO358" s="18">
        <v>113.83</v>
      </c>
      <c r="AP358" s="17">
        <v>42.12</v>
      </c>
      <c r="AQ358" s="18">
        <v>40.519999999999996</v>
      </c>
      <c r="AR358" s="19">
        <v>41.319999999999993</v>
      </c>
      <c r="AS358" s="18">
        <v>42.93</v>
      </c>
      <c r="AT358" s="18">
        <v>41.57</v>
      </c>
      <c r="AU358" s="18">
        <v>42.25</v>
      </c>
      <c r="AV358" s="17">
        <v>21.47</v>
      </c>
      <c r="AW358" s="18">
        <v>20.869999999999997</v>
      </c>
      <c r="AX358" s="19">
        <v>21.169999999999998</v>
      </c>
      <c r="AY358" s="17">
        <v>4.57</v>
      </c>
      <c r="AZ358" s="18">
        <v>4.41</v>
      </c>
      <c r="BA358" s="19">
        <v>4.49</v>
      </c>
      <c r="BB358" s="17">
        <v>1.98</v>
      </c>
      <c r="BC358" s="23">
        <v>1.68</v>
      </c>
      <c r="BD358" s="24">
        <v>1.83</v>
      </c>
      <c r="BE358" s="18">
        <v>0.71</v>
      </c>
      <c r="BF358" s="23">
        <v>0.41</v>
      </c>
      <c r="BG358" s="23">
        <v>0.55999999999999994</v>
      </c>
      <c r="BH358" s="17">
        <v>511.87</v>
      </c>
      <c r="BI358" s="18">
        <v>495.87</v>
      </c>
      <c r="BJ358" s="19">
        <v>503.87</v>
      </c>
      <c r="BK358" s="18">
        <v>43.26</v>
      </c>
      <c r="BL358" s="18">
        <v>41.9</v>
      </c>
      <c r="BM358" s="18">
        <v>42.58</v>
      </c>
      <c r="BN358" s="25">
        <v>1.0900000000000001</v>
      </c>
      <c r="BO358" s="23">
        <v>0.85000000000000009</v>
      </c>
      <c r="BP358" s="24">
        <v>0.97000000000000008</v>
      </c>
      <c r="BQ358" s="18">
        <v>8.61</v>
      </c>
      <c r="BR358" s="18">
        <v>6.6099999999999994</v>
      </c>
      <c r="BS358" s="18">
        <v>7.6099999999999994</v>
      </c>
      <c r="BT358" s="17">
        <v>10.91</v>
      </c>
      <c r="BU358" s="18">
        <v>10.51</v>
      </c>
      <c r="BV358" s="19">
        <v>10.71</v>
      </c>
      <c r="BW358" s="17">
        <v>2.79</v>
      </c>
      <c r="BX358" s="23">
        <v>2.5099999999999998</v>
      </c>
      <c r="BY358" s="24">
        <v>2.65</v>
      </c>
      <c r="BZ358" s="17">
        <v>9.9700000000000006</v>
      </c>
      <c r="CA358" s="18">
        <v>6.9700000000000006</v>
      </c>
      <c r="CB358" s="19">
        <v>8.4700000000000006</v>
      </c>
      <c r="CC358" s="17">
        <v>6.52</v>
      </c>
      <c r="CD358" s="18">
        <v>6.2799999999999994</v>
      </c>
      <c r="CE358" s="19">
        <v>6.3999999999999995</v>
      </c>
      <c r="CF358" s="17">
        <v>1.73</v>
      </c>
      <c r="CG358" s="18">
        <v>1.23</v>
      </c>
      <c r="CH358" s="19">
        <v>1.48</v>
      </c>
      <c r="CI358" s="17">
        <v>0.41</v>
      </c>
      <c r="CJ358" s="18">
        <v>0.37</v>
      </c>
      <c r="CK358" s="19">
        <v>0.39</v>
      </c>
      <c r="CL358" s="17">
        <v>38.92</v>
      </c>
      <c r="CM358">
        <v>36.520000000000003</v>
      </c>
      <c r="CN358">
        <v>37.72</v>
      </c>
      <c r="CO358">
        <v>6.93</v>
      </c>
      <c r="CP358">
        <v>1.9299999999999997</v>
      </c>
      <c r="CQ358">
        <v>4.43</v>
      </c>
    </row>
    <row r="359" spans="1:95">
      <c r="A359" s="223">
        <v>45646</v>
      </c>
      <c r="B359" s="16" t="s">
        <v>100</v>
      </c>
      <c r="C359" s="17">
        <v>158.94999999999999</v>
      </c>
      <c r="D359" s="18">
        <v>156.94999999999999</v>
      </c>
      <c r="E359" s="19">
        <v>157.94999999999999</v>
      </c>
      <c r="F359" s="17">
        <v>165.2</v>
      </c>
      <c r="G359" s="18">
        <v>162.19999999999999</v>
      </c>
      <c r="H359" s="19">
        <v>163.69999999999999</v>
      </c>
      <c r="I359" s="17">
        <v>111.12</v>
      </c>
      <c r="J359" s="18">
        <v>107.92</v>
      </c>
      <c r="K359" s="19">
        <v>109.52000000000001</v>
      </c>
      <c r="L359" s="18">
        <v>201.28</v>
      </c>
      <c r="M359" s="18">
        <v>193.28</v>
      </c>
      <c r="N359" s="18">
        <v>197.28</v>
      </c>
      <c r="O359" s="17">
        <v>176.67</v>
      </c>
      <c r="P359" s="18">
        <v>174.86999999999998</v>
      </c>
      <c r="Q359" s="19">
        <v>175.76999999999998</v>
      </c>
      <c r="R359" s="18">
        <v>22.24</v>
      </c>
      <c r="S359" s="18">
        <v>21.639999999999997</v>
      </c>
      <c r="T359" s="18">
        <v>21.939999999999998</v>
      </c>
      <c r="U359" s="17">
        <v>14.09</v>
      </c>
      <c r="V359" s="18">
        <v>13.49</v>
      </c>
      <c r="W359" s="19">
        <v>13.79</v>
      </c>
      <c r="X359" s="17">
        <v>14.72</v>
      </c>
      <c r="Y359" s="18">
        <v>13.92</v>
      </c>
      <c r="Z359" s="19">
        <v>14.32</v>
      </c>
      <c r="AA359" s="17">
        <v>100.36</v>
      </c>
      <c r="AB359" s="18">
        <v>96.36</v>
      </c>
      <c r="AC359" s="19">
        <v>98.36</v>
      </c>
      <c r="AD359" s="17">
        <v>90.77</v>
      </c>
      <c r="AE359" s="18">
        <v>86.77</v>
      </c>
      <c r="AF359" s="19">
        <v>88.77</v>
      </c>
      <c r="AG359" s="18">
        <v>20.76</v>
      </c>
      <c r="AH359" s="18">
        <v>19.900000000000002</v>
      </c>
      <c r="AI359" s="18">
        <v>20.330000000000002</v>
      </c>
      <c r="AJ359" s="20"/>
      <c r="AK359" s="21"/>
      <c r="AL359" s="22"/>
      <c r="AM359" s="18">
        <v>116.85</v>
      </c>
      <c r="AN359" s="18">
        <v>115.19</v>
      </c>
      <c r="AO359" s="18">
        <v>116.02</v>
      </c>
      <c r="AP359" s="17">
        <v>42.92</v>
      </c>
      <c r="AQ359" s="18">
        <v>41.32</v>
      </c>
      <c r="AR359" s="19">
        <v>42.120000000000005</v>
      </c>
      <c r="AS359" s="18">
        <v>43.75</v>
      </c>
      <c r="AT359" s="18">
        <v>42.39</v>
      </c>
      <c r="AU359" s="18">
        <v>43.07</v>
      </c>
      <c r="AV359" s="17">
        <v>21.9</v>
      </c>
      <c r="AW359" s="18">
        <v>21.299999999999997</v>
      </c>
      <c r="AX359" s="19">
        <v>21.599999999999998</v>
      </c>
      <c r="AY359" s="17">
        <v>4.6500000000000004</v>
      </c>
      <c r="AZ359" s="18">
        <v>4.49</v>
      </c>
      <c r="BA359" s="19">
        <v>4.57</v>
      </c>
      <c r="BB359" s="17">
        <v>2.02</v>
      </c>
      <c r="BC359" s="23">
        <v>1.72</v>
      </c>
      <c r="BD359" s="24">
        <v>1.87</v>
      </c>
      <c r="BE359" s="18">
        <v>0.72</v>
      </c>
      <c r="BF359" s="23">
        <v>0.42</v>
      </c>
      <c r="BG359" s="23">
        <v>0.56999999999999995</v>
      </c>
      <c r="BH359" s="17">
        <v>521.16</v>
      </c>
      <c r="BI359" s="18">
        <v>505.15999999999997</v>
      </c>
      <c r="BJ359" s="19">
        <v>513.16</v>
      </c>
      <c r="BK359" s="18">
        <v>44.08</v>
      </c>
      <c r="BL359" s="18">
        <v>42.72</v>
      </c>
      <c r="BM359" s="18">
        <v>43.4</v>
      </c>
      <c r="BN359" s="25">
        <v>1.0900000000000001</v>
      </c>
      <c r="BO359" s="23">
        <v>0.85000000000000009</v>
      </c>
      <c r="BP359" s="24">
        <v>0.97000000000000008</v>
      </c>
      <c r="BQ359" s="18">
        <v>8.77</v>
      </c>
      <c r="BR359" s="18">
        <v>6.77</v>
      </c>
      <c r="BS359" s="18">
        <v>7.77</v>
      </c>
      <c r="BT359" s="17">
        <v>11.11</v>
      </c>
      <c r="BU359" s="18">
        <v>10.709999999999999</v>
      </c>
      <c r="BV359" s="19">
        <v>10.91</v>
      </c>
      <c r="BW359" s="17">
        <v>2.84</v>
      </c>
      <c r="BX359" s="23">
        <v>2.5599999999999996</v>
      </c>
      <c r="BY359" s="24">
        <v>2.6999999999999997</v>
      </c>
      <c r="BZ359" s="17">
        <v>10.06</v>
      </c>
      <c r="CA359" s="18">
        <v>7.0600000000000005</v>
      </c>
      <c r="CB359" s="19">
        <v>8.56</v>
      </c>
      <c r="CC359" s="17">
        <v>6.64</v>
      </c>
      <c r="CD359" s="18">
        <v>6.3999999999999995</v>
      </c>
      <c r="CE359" s="19">
        <v>6.52</v>
      </c>
      <c r="CF359" s="17">
        <v>1.78</v>
      </c>
      <c r="CG359" s="18">
        <v>1.28</v>
      </c>
      <c r="CH359" s="19">
        <v>1.53</v>
      </c>
      <c r="CI359" s="17">
        <v>0.42</v>
      </c>
      <c r="CJ359" s="18">
        <v>0.38</v>
      </c>
      <c r="CK359" s="19">
        <v>0.4</v>
      </c>
      <c r="CL359" s="17">
        <v>39.69</v>
      </c>
      <c r="CM359">
        <v>37.29</v>
      </c>
      <c r="CN359">
        <v>38.489999999999995</v>
      </c>
      <c r="CO359">
        <v>7.01</v>
      </c>
      <c r="CP359">
        <v>2.0099999999999998</v>
      </c>
      <c r="CQ359">
        <v>4.51</v>
      </c>
    </row>
    <row r="360" spans="1:95">
      <c r="A360" s="223">
        <v>45647</v>
      </c>
      <c r="B360" s="16" t="s">
        <v>307</v>
      </c>
      <c r="C360" s="17"/>
      <c r="D360" s="18"/>
      <c r="E360" s="19"/>
      <c r="F360" s="17"/>
      <c r="G360" s="18"/>
      <c r="H360" s="19"/>
      <c r="I360" s="17"/>
      <c r="J360" s="18"/>
      <c r="K360" s="19"/>
      <c r="L360" s="18"/>
      <c r="M360" s="18"/>
      <c r="N360" s="18"/>
      <c r="O360" s="17"/>
      <c r="P360" s="18"/>
      <c r="Q360" s="19"/>
      <c r="R360" s="18"/>
      <c r="S360" s="18"/>
      <c r="T360" s="18"/>
      <c r="U360" s="17"/>
      <c r="V360" s="18"/>
      <c r="W360" s="19"/>
      <c r="X360" s="17"/>
      <c r="Y360" s="18"/>
      <c r="Z360" s="19"/>
      <c r="AA360" s="17"/>
      <c r="AB360" s="18"/>
      <c r="AC360" s="19"/>
      <c r="AD360" s="17"/>
      <c r="AE360" s="18"/>
      <c r="AF360" s="19"/>
      <c r="AG360" s="18"/>
      <c r="AH360" s="18"/>
      <c r="AI360" s="18"/>
      <c r="AJ360" s="20"/>
      <c r="AK360" s="21"/>
      <c r="AL360" s="22"/>
      <c r="AM360" s="18"/>
      <c r="AN360" s="18"/>
      <c r="AO360" s="18"/>
      <c r="AP360" s="17"/>
      <c r="AQ360" s="18"/>
      <c r="AR360" s="19"/>
      <c r="AS360" s="18"/>
      <c r="AT360" s="18"/>
      <c r="AU360" s="18"/>
      <c r="AV360" s="17"/>
      <c r="AW360" s="18"/>
      <c r="AX360" s="19"/>
      <c r="AY360" s="17"/>
      <c r="AZ360" s="18"/>
      <c r="BA360" s="19"/>
      <c r="BB360" s="17"/>
      <c r="BC360" s="23"/>
      <c r="BD360" s="24"/>
      <c r="BE360" s="18"/>
      <c r="BF360" s="23"/>
      <c r="BG360" s="23"/>
      <c r="BH360" s="17"/>
      <c r="BI360" s="18"/>
      <c r="BJ360" s="19"/>
      <c r="BK360" s="18"/>
      <c r="BL360" s="18"/>
      <c r="BM360" s="18"/>
      <c r="BN360" s="25"/>
      <c r="BO360" s="23"/>
      <c r="BP360" s="24"/>
      <c r="BQ360" s="18"/>
      <c r="BR360" s="18"/>
      <c r="BS360" s="18"/>
      <c r="BT360" s="17"/>
      <c r="BU360" s="18"/>
      <c r="BV360" s="19"/>
      <c r="BW360" s="17"/>
      <c r="BX360" s="23"/>
      <c r="BY360" s="24"/>
      <c r="BZ360" s="17"/>
      <c r="CA360" s="18"/>
      <c r="CB360" s="19"/>
      <c r="CC360" s="17"/>
      <c r="CD360" s="18"/>
      <c r="CE360" s="19"/>
      <c r="CF360" s="17"/>
      <c r="CG360" s="18"/>
      <c r="CH360" s="19"/>
      <c r="CI360" s="17"/>
      <c r="CJ360" s="18"/>
      <c r="CK360" s="19"/>
      <c r="CL360" s="17"/>
    </row>
    <row r="361" spans="1:95">
      <c r="A361" s="223">
        <v>45648</v>
      </c>
      <c r="B361" s="16" t="s">
        <v>308</v>
      </c>
      <c r="C361" s="17"/>
      <c r="D361" s="18"/>
      <c r="E361" s="19"/>
      <c r="F361" s="17"/>
      <c r="G361" s="18"/>
      <c r="H361" s="19"/>
      <c r="I361" s="17"/>
      <c r="J361" s="18"/>
      <c r="K361" s="19"/>
      <c r="L361" s="18"/>
      <c r="M361" s="18"/>
      <c r="N361" s="18"/>
      <c r="O361" s="17"/>
      <c r="P361" s="18"/>
      <c r="Q361" s="19"/>
      <c r="R361" s="18"/>
      <c r="S361" s="18"/>
      <c r="T361" s="18"/>
      <c r="U361" s="17"/>
      <c r="V361" s="18"/>
      <c r="W361" s="19"/>
      <c r="X361" s="17"/>
      <c r="Y361" s="18"/>
      <c r="Z361" s="19"/>
      <c r="AA361" s="17"/>
      <c r="AB361" s="18"/>
      <c r="AC361" s="19"/>
      <c r="AD361" s="17"/>
      <c r="AE361" s="18"/>
      <c r="AF361" s="19"/>
      <c r="AG361" s="18"/>
      <c r="AH361" s="18"/>
      <c r="AI361" s="18"/>
      <c r="AJ361" s="20"/>
      <c r="AK361" s="21"/>
      <c r="AL361" s="22"/>
      <c r="AM361" s="18"/>
      <c r="AN361" s="18"/>
      <c r="AO361" s="18"/>
      <c r="AP361" s="17"/>
      <c r="AQ361" s="18"/>
      <c r="AR361" s="19"/>
      <c r="AS361" s="18"/>
      <c r="AT361" s="18"/>
      <c r="AU361" s="18"/>
      <c r="AV361" s="17"/>
      <c r="AW361" s="18"/>
      <c r="AX361" s="19"/>
      <c r="AY361" s="17"/>
      <c r="AZ361" s="18"/>
      <c r="BA361" s="19"/>
      <c r="BB361" s="17"/>
      <c r="BC361" s="23"/>
      <c r="BD361" s="24"/>
      <c r="BE361" s="18"/>
      <c r="BF361" s="23"/>
      <c r="BG361" s="23"/>
      <c r="BH361" s="17"/>
      <c r="BI361" s="18"/>
      <c r="BJ361" s="19"/>
      <c r="BK361" s="18"/>
      <c r="BL361" s="18"/>
      <c r="BM361" s="18"/>
      <c r="BN361" s="25"/>
      <c r="BO361" s="23"/>
      <c r="BP361" s="24"/>
      <c r="BQ361" s="18"/>
      <c r="BR361" s="18"/>
      <c r="BS361" s="18"/>
      <c r="BT361" s="17"/>
      <c r="BU361" s="18"/>
      <c r="BV361" s="19"/>
      <c r="BW361" s="17"/>
      <c r="BX361" s="23"/>
      <c r="BY361" s="24"/>
      <c r="BZ361" s="17"/>
      <c r="CA361" s="18"/>
      <c r="CB361" s="19"/>
      <c r="CC361" s="17"/>
      <c r="CD361" s="18"/>
      <c r="CE361" s="19"/>
      <c r="CF361" s="17"/>
      <c r="CG361" s="18"/>
      <c r="CH361" s="19"/>
      <c r="CI361" s="17"/>
      <c r="CJ361" s="18"/>
      <c r="CK361" s="19"/>
      <c r="CL361" s="17"/>
    </row>
    <row r="362" spans="1:95">
      <c r="A362" s="223">
        <v>45649</v>
      </c>
      <c r="B362" s="16" t="s">
        <v>96</v>
      </c>
      <c r="C362" s="17">
        <v>157.72</v>
      </c>
      <c r="D362" s="18">
        <v>155.72</v>
      </c>
      <c r="E362" s="19">
        <v>156.72</v>
      </c>
      <c r="F362" s="17">
        <v>164.94</v>
      </c>
      <c r="G362" s="18">
        <v>161.94</v>
      </c>
      <c r="H362" s="19">
        <v>163.44</v>
      </c>
      <c r="I362" s="17">
        <v>110.74</v>
      </c>
      <c r="J362" s="18">
        <v>107.53999999999999</v>
      </c>
      <c r="K362" s="19">
        <v>109.13999999999999</v>
      </c>
      <c r="L362" s="18">
        <v>201.11</v>
      </c>
      <c r="M362" s="18">
        <v>193.11</v>
      </c>
      <c r="N362" s="18">
        <v>197.11</v>
      </c>
      <c r="O362" s="17">
        <v>176.28</v>
      </c>
      <c r="P362" s="18">
        <v>174.48</v>
      </c>
      <c r="Q362" s="19">
        <v>175.38</v>
      </c>
      <c r="R362" s="18">
        <v>22.21</v>
      </c>
      <c r="S362" s="18">
        <v>21.61</v>
      </c>
      <c r="T362" s="18">
        <v>21.91</v>
      </c>
      <c r="U362" s="17">
        <v>14.15</v>
      </c>
      <c r="V362" s="18">
        <v>13.55</v>
      </c>
      <c r="W362" s="19">
        <v>13.850000000000001</v>
      </c>
      <c r="X362" s="17">
        <v>14.62</v>
      </c>
      <c r="Y362" s="18">
        <v>13.819999999999999</v>
      </c>
      <c r="Z362" s="19">
        <v>14.219999999999999</v>
      </c>
      <c r="AA362" s="17">
        <v>100</v>
      </c>
      <c r="AB362" s="18">
        <v>96</v>
      </c>
      <c r="AC362" s="19">
        <v>98</v>
      </c>
      <c r="AD362" s="17">
        <v>90.47</v>
      </c>
      <c r="AE362" s="18">
        <v>86.47</v>
      </c>
      <c r="AF362" s="19">
        <v>88.47</v>
      </c>
      <c r="AG362" s="18">
        <v>20.59</v>
      </c>
      <c r="AH362" s="18">
        <v>19.73</v>
      </c>
      <c r="AI362" s="18">
        <v>20.16</v>
      </c>
      <c r="AJ362" s="20"/>
      <c r="AK362" s="21"/>
      <c r="AL362" s="22"/>
      <c r="AM362" s="18">
        <v>116.49</v>
      </c>
      <c r="AN362" s="18">
        <v>114.83</v>
      </c>
      <c r="AO362" s="18">
        <v>115.66</v>
      </c>
      <c r="AP362" s="17">
        <v>42.61</v>
      </c>
      <c r="AQ362" s="18">
        <v>41.01</v>
      </c>
      <c r="AR362" s="19">
        <v>41.81</v>
      </c>
      <c r="AS362" s="18">
        <v>43.42</v>
      </c>
      <c r="AT362" s="18">
        <v>42.06</v>
      </c>
      <c r="AU362" s="18">
        <v>42.74</v>
      </c>
      <c r="AV362" s="17">
        <v>21.78</v>
      </c>
      <c r="AW362" s="18">
        <v>21.18</v>
      </c>
      <c r="AX362" s="19">
        <v>21.48</v>
      </c>
      <c r="AY362" s="17">
        <v>4.66</v>
      </c>
      <c r="AZ362" s="18">
        <v>4.5</v>
      </c>
      <c r="BA362" s="19">
        <v>4.58</v>
      </c>
      <c r="BB362" s="17">
        <v>2</v>
      </c>
      <c r="BC362" s="23">
        <v>1.7</v>
      </c>
      <c r="BD362" s="24">
        <v>1.85</v>
      </c>
      <c r="BE362" s="18">
        <v>0.72</v>
      </c>
      <c r="BF362" s="23">
        <v>0.42</v>
      </c>
      <c r="BG362" s="23">
        <v>0.56999999999999995</v>
      </c>
      <c r="BH362" s="17">
        <v>517.82000000000005</v>
      </c>
      <c r="BI362" s="18">
        <v>501.82000000000005</v>
      </c>
      <c r="BJ362" s="19">
        <v>509.82000000000005</v>
      </c>
      <c r="BK362" s="18">
        <v>43.73</v>
      </c>
      <c r="BL362" s="18">
        <v>42.37</v>
      </c>
      <c r="BM362" s="18">
        <v>43.05</v>
      </c>
      <c r="BN362" s="25">
        <v>1.0900000000000001</v>
      </c>
      <c r="BO362" s="23">
        <v>0.85000000000000009</v>
      </c>
      <c r="BP362" s="24">
        <v>0.97000000000000008</v>
      </c>
      <c r="BQ362" s="18">
        <v>8.81</v>
      </c>
      <c r="BR362" s="18">
        <v>6.8100000000000005</v>
      </c>
      <c r="BS362" s="18">
        <v>7.8100000000000005</v>
      </c>
      <c r="BT362" s="17">
        <v>11.05</v>
      </c>
      <c r="BU362" s="18">
        <v>10.65</v>
      </c>
      <c r="BV362" s="19">
        <v>10.850000000000001</v>
      </c>
      <c r="BW362" s="17">
        <v>2.83</v>
      </c>
      <c r="BX362" s="23">
        <v>2.5499999999999998</v>
      </c>
      <c r="BY362" s="24">
        <v>2.69</v>
      </c>
      <c r="BZ362" s="17">
        <v>10.050000000000001</v>
      </c>
      <c r="CA362" s="18">
        <v>7.0500000000000007</v>
      </c>
      <c r="CB362" s="19">
        <v>8.5500000000000007</v>
      </c>
      <c r="CC362" s="17">
        <v>6.64</v>
      </c>
      <c r="CD362" s="18">
        <v>6.3999999999999995</v>
      </c>
      <c r="CE362" s="19">
        <v>6.52</v>
      </c>
      <c r="CF362" s="17">
        <v>1.77</v>
      </c>
      <c r="CG362" s="18">
        <v>1.27</v>
      </c>
      <c r="CH362" s="19">
        <v>1.52</v>
      </c>
      <c r="CI362" s="17">
        <v>0.42</v>
      </c>
      <c r="CJ362" s="18">
        <v>0.38</v>
      </c>
      <c r="CK362" s="19">
        <v>0.4</v>
      </c>
      <c r="CL362" s="17">
        <v>39.619999999999997</v>
      </c>
      <c r="CM362">
        <v>37.22</v>
      </c>
      <c r="CN362">
        <v>38.42</v>
      </c>
      <c r="CO362">
        <v>6.95</v>
      </c>
      <c r="CP362">
        <v>1.9500000000000002</v>
      </c>
      <c r="CQ362">
        <v>4.45</v>
      </c>
    </row>
    <row r="363" spans="1:95">
      <c r="A363" s="223">
        <v>45650</v>
      </c>
      <c r="B363" s="16" t="s">
        <v>97</v>
      </c>
      <c r="C363" s="17">
        <v>158.44999999999999</v>
      </c>
      <c r="D363" s="18">
        <v>156.44999999999999</v>
      </c>
      <c r="E363" s="19">
        <v>157.44999999999999</v>
      </c>
      <c r="F363" s="17">
        <v>165.22</v>
      </c>
      <c r="G363" s="18">
        <v>162.22</v>
      </c>
      <c r="H363" s="19">
        <v>163.72</v>
      </c>
      <c r="I363" s="17">
        <v>111.05</v>
      </c>
      <c r="J363" s="18">
        <v>107.85</v>
      </c>
      <c r="K363" s="19">
        <v>109.44999999999999</v>
      </c>
      <c r="L363" s="18">
        <v>201.28</v>
      </c>
      <c r="M363" s="18">
        <v>193.28</v>
      </c>
      <c r="N363" s="18">
        <v>197.28</v>
      </c>
      <c r="O363" s="17">
        <v>175.96</v>
      </c>
      <c r="P363" s="18">
        <v>174.16</v>
      </c>
      <c r="Q363" s="19">
        <v>175.06</v>
      </c>
      <c r="R363" s="18">
        <v>22.24</v>
      </c>
      <c r="S363" s="18">
        <v>21.639999999999997</v>
      </c>
      <c r="T363" s="18">
        <v>21.939999999999998</v>
      </c>
      <c r="U363" s="17">
        <v>14.16</v>
      </c>
      <c r="V363" s="18">
        <v>13.56</v>
      </c>
      <c r="W363" s="19">
        <v>13.86</v>
      </c>
      <c r="X363" s="17">
        <v>14.65</v>
      </c>
      <c r="Y363" s="18">
        <v>13.85</v>
      </c>
      <c r="Z363" s="19">
        <v>14.25</v>
      </c>
      <c r="AA363" s="17">
        <v>100.23</v>
      </c>
      <c r="AB363" s="18">
        <v>96.23</v>
      </c>
      <c r="AC363" s="19">
        <v>98.23</v>
      </c>
      <c r="AD363" s="17">
        <v>90.85</v>
      </c>
      <c r="AE363" s="18">
        <v>86.85</v>
      </c>
      <c r="AF363" s="19">
        <v>88.85</v>
      </c>
      <c r="AG363" s="18">
        <v>20.69</v>
      </c>
      <c r="AH363" s="18">
        <v>19.830000000000002</v>
      </c>
      <c r="AI363" s="18">
        <v>20.260000000000002</v>
      </c>
      <c r="AJ363" s="20"/>
      <c r="AK363" s="21"/>
      <c r="AL363" s="22"/>
      <c r="AM363" s="18">
        <v>116.85</v>
      </c>
      <c r="AN363" s="18">
        <v>115.19</v>
      </c>
      <c r="AO363" s="18">
        <v>116.02</v>
      </c>
      <c r="AP363" s="17">
        <v>42.8</v>
      </c>
      <c r="AQ363" s="18">
        <v>41.199999999999996</v>
      </c>
      <c r="AR363" s="19">
        <v>42</v>
      </c>
      <c r="AS363" s="18">
        <v>43.62</v>
      </c>
      <c r="AT363" s="18">
        <v>42.26</v>
      </c>
      <c r="AU363" s="18">
        <v>42.94</v>
      </c>
      <c r="AV363" s="17">
        <v>21.85</v>
      </c>
      <c r="AW363" s="18">
        <v>21.25</v>
      </c>
      <c r="AX363" s="19">
        <v>21.55</v>
      </c>
      <c r="AY363" s="17">
        <v>4.68</v>
      </c>
      <c r="AZ363" s="18">
        <v>4.5199999999999996</v>
      </c>
      <c r="BA363" s="19">
        <v>4.5999999999999996</v>
      </c>
      <c r="BB363" s="17">
        <v>2.0099999999999998</v>
      </c>
      <c r="BC363" s="23">
        <v>1.7099999999999997</v>
      </c>
      <c r="BD363" s="24">
        <v>1.8599999999999999</v>
      </c>
      <c r="BE363" s="18">
        <v>0.72</v>
      </c>
      <c r="BF363" s="23">
        <v>0.42</v>
      </c>
      <c r="BG363" s="23">
        <v>0.56999999999999995</v>
      </c>
      <c r="BH363" s="17">
        <v>519.70000000000005</v>
      </c>
      <c r="BI363" s="18">
        <v>503.70000000000005</v>
      </c>
      <c r="BJ363" s="19">
        <v>511.70000000000005</v>
      </c>
      <c r="BK363" s="18">
        <v>43.95</v>
      </c>
      <c r="BL363" s="18">
        <v>42.59</v>
      </c>
      <c r="BM363" s="18">
        <v>43.27</v>
      </c>
      <c r="BN363" s="25">
        <v>1.1000000000000001</v>
      </c>
      <c r="BO363" s="23">
        <v>0.8600000000000001</v>
      </c>
      <c r="BP363" s="24">
        <v>0.98000000000000009</v>
      </c>
      <c r="BQ363" s="18">
        <v>8.81</v>
      </c>
      <c r="BR363" s="18">
        <v>6.8100000000000005</v>
      </c>
      <c r="BS363" s="18">
        <v>7.8100000000000005</v>
      </c>
      <c r="BT363" s="17">
        <v>11.04</v>
      </c>
      <c r="BU363" s="18">
        <v>10.639999999999999</v>
      </c>
      <c r="BV363" s="19">
        <v>10.84</v>
      </c>
      <c r="BW363" s="17">
        <v>2.85</v>
      </c>
      <c r="BX363" s="23">
        <v>2.5700000000000003</v>
      </c>
      <c r="BY363" s="24">
        <v>2.71</v>
      </c>
      <c r="BZ363" s="17">
        <v>9.99</v>
      </c>
      <c r="CA363" s="18">
        <v>6.99</v>
      </c>
      <c r="CB363" s="19">
        <v>8.49</v>
      </c>
      <c r="CC363" s="17">
        <v>6.64</v>
      </c>
      <c r="CD363" s="18">
        <v>6.3999999999999995</v>
      </c>
      <c r="CE363" s="19">
        <v>6.52</v>
      </c>
      <c r="CF363" s="17">
        <v>1.81</v>
      </c>
      <c r="CG363" s="18">
        <v>1.31</v>
      </c>
      <c r="CH363" s="19">
        <v>1.56</v>
      </c>
      <c r="CI363" s="17">
        <v>0.42</v>
      </c>
      <c r="CJ363" s="18">
        <v>0.38</v>
      </c>
      <c r="CK363" s="19">
        <v>0.4</v>
      </c>
      <c r="CL363" s="17">
        <v>39.619999999999997</v>
      </c>
      <c r="CM363">
        <v>37.22</v>
      </c>
      <c r="CN363">
        <v>38.42</v>
      </c>
      <c r="CO363">
        <v>6.98</v>
      </c>
      <c r="CP363">
        <v>1.9800000000000004</v>
      </c>
      <c r="CQ363">
        <v>4.4800000000000004</v>
      </c>
    </row>
    <row r="364" spans="1:95">
      <c r="A364" s="223">
        <v>45651</v>
      </c>
      <c r="B364" s="16" t="s">
        <v>98</v>
      </c>
      <c r="C364" s="17">
        <v>158.38</v>
      </c>
      <c r="D364" s="18">
        <v>156.38</v>
      </c>
      <c r="E364" s="19">
        <v>157.38</v>
      </c>
      <c r="F364" s="17">
        <v>165.32</v>
      </c>
      <c r="G364" s="18">
        <v>162.32</v>
      </c>
      <c r="H364" s="19">
        <v>163.82</v>
      </c>
      <c r="I364" s="17">
        <v>111.07</v>
      </c>
      <c r="J364" s="18">
        <v>107.86999999999999</v>
      </c>
      <c r="K364" s="19">
        <v>109.47</v>
      </c>
      <c r="L364" s="18">
        <v>201.48</v>
      </c>
      <c r="M364" s="18">
        <v>193.48</v>
      </c>
      <c r="N364" s="18">
        <v>197.48</v>
      </c>
      <c r="O364" s="17">
        <v>175.77</v>
      </c>
      <c r="P364" s="18">
        <v>173.97</v>
      </c>
      <c r="Q364" s="19">
        <v>174.87</v>
      </c>
      <c r="R364" s="18">
        <v>22.26</v>
      </c>
      <c r="S364" s="18">
        <v>21.66</v>
      </c>
      <c r="T364" s="18">
        <v>21.96</v>
      </c>
      <c r="U364" s="17">
        <v>14.15</v>
      </c>
      <c r="V364" s="18">
        <v>13.55</v>
      </c>
      <c r="W364" s="19">
        <v>13.850000000000001</v>
      </c>
      <c r="X364" s="17">
        <v>14.62</v>
      </c>
      <c r="Y364" s="18">
        <v>13.819999999999999</v>
      </c>
      <c r="Z364" s="19">
        <v>14.219999999999999</v>
      </c>
      <c r="AA364" s="17">
        <v>100.05</v>
      </c>
      <c r="AB364" s="18">
        <v>96.05</v>
      </c>
      <c r="AC364" s="19">
        <v>98.05</v>
      </c>
      <c r="AD364" s="17">
        <v>90.89</v>
      </c>
      <c r="AE364" s="18">
        <v>86.89</v>
      </c>
      <c r="AF364" s="19">
        <v>88.89</v>
      </c>
      <c r="AG364" s="18">
        <v>20.7</v>
      </c>
      <c r="AH364" s="18">
        <v>19.84</v>
      </c>
      <c r="AI364" s="18">
        <v>20.27</v>
      </c>
      <c r="AJ364" s="20"/>
      <c r="AK364" s="21"/>
      <c r="AL364" s="22"/>
      <c r="AM364" s="18">
        <v>116.67</v>
      </c>
      <c r="AN364" s="18">
        <v>115.01</v>
      </c>
      <c r="AO364" s="18">
        <v>115.84</v>
      </c>
      <c r="AP364" s="17">
        <v>42.79</v>
      </c>
      <c r="AQ364" s="18">
        <v>41.19</v>
      </c>
      <c r="AR364" s="19">
        <v>41.989999999999995</v>
      </c>
      <c r="AS364" s="18">
        <v>43.46</v>
      </c>
      <c r="AT364" s="18">
        <v>42.1</v>
      </c>
      <c r="AU364" s="18">
        <v>42.78</v>
      </c>
      <c r="AV364" s="17">
        <v>21.84</v>
      </c>
      <c r="AW364" s="18">
        <v>21.24</v>
      </c>
      <c r="AX364" s="19">
        <v>21.54</v>
      </c>
      <c r="AY364" s="17">
        <v>4.68</v>
      </c>
      <c r="AZ364" s="18">
        <v>4.5199999999999996</v>
      </c>
      <c r="BA364" s="19">
        <v>4.5999999999999996</v>
      </c>
      <c r="BB364" s="17">
        <v>2.0099999999999998</v>
      </c>
      <c r="BC364" s="23">
        <v>1.7099999999999997</v>
      </c>
      <c r="BD364" s="24">
        <v>1.8599999999999999</v>
      </c>
      <c r="BE364" s="18">
        <v>0.72</v>
      </c>
      <c r="BF364" s="23">
        <v>0.42</v>
      </c>
      <c r="BG364" s="23">
        <v>0.56999999999999995</v>
      </c>
      <c r="BH364" s="17">
        <v>519.64</v>
      </c>
      <c r="BI364" s="18">
        <v>503.64</v>
      </c>
      <c r="BJ364" s="19">
        <v>511.64</v>
      </c>
      <c r="BK364" s="18">
        <v>43.93</v>
      </c>
      <c r="BL364" s="18">
        <v>42.57</v>
      </c>
      <c r="BM364" s="18">
        <v>43.25</v>
      </c>
      <c r="BN364" s="25">
        <v>1.1000000000000001</v>
      </c>
      <c r="BO364" s="23">
        <v>0.8600000000000001</v>
      </c>
      <c r="BP364" s="24">
        <v>0.98000000000000009</v>
      </c>
      <c r="BQ364" s="18">
        <v>8.8000000000000007</v>
      </c>
      <c r="BR364" s="18">
        <v>6.8000000000000007</v>
      </c>
      <c r="BS364" s="18">
        <v>7.8000000000000007</v>
      </c>
      <c r="BT364" s="17">
        <v>10.99</v>
      </c>
      <c r="BU364" s="18">
        <v>10.59</v>
      </c>
      <c r="BV364" s="19">
        <v>10.79</v>
      </c>
      <c r="BW364" s="17">
        <v>2.85</v>
      </c>
      <c r="BX364" s="23">
        <v>2.5700000000000003</v>
      </c>
      <c r="BY364" s="24">
        <v>2.71</v>
      </c>
      <c r="BZ364" s="17">
        <v>9.9</v>
      </c>
      <c r="CA364" s="18">
        <v>6.9</v>
      </c>
      <c r="CB364" s="19">
        <v>8.4</v>
      </c>
      <c r="CC364" s="17">
        <v>6.66</v>
      </c>
      <c r="CD364" s="18">
        <v>6.42</v>
      </c>
      <c r="CE364" s="19">
        <v>6.54</v>
      </c>
      <c r="CF364" s="17">
        <v>1.83</v>
      </c>
      <c r="CG364" s="18">
        <v>1.33</v>
      </c>
      <c r="CH364" s="19">
        <v>1.58</v>
      </c>
      <c r="CI364" s="17">
        <v>0.42</v>
      </c>
      <c r="CJ364" s="18">
        <v>0.38</v>
      </c>
      <c r="CK364" s="19">
        <v>0.4</v>
      </c>
      <c r="CL364" s="17">
        <v>39.76</v>
      </c>
      <c r="CM364">
        <v>37.36</v>
      </c>
      <c r="CN364">
        <v>38.56</v>
      </c>
      <c r="CO364">
        <v>7</v>
      </c>
      <c r="CP364">
        <v>2</v>
      </c>
      <c r="CQ364">
        <v>4.5</v>
      </c>
    </row>
    <row r="365" spans="1:95">
      <c r="A365" s="223">
        <v>45652</v>
      </c>
      <c r="B365" s="16" t="s">
        <v>99</v>
      </c>
      <c r="C365" s="17">
        <v>158.43</v>
      </c>
      <c r="D365" s="18">
        <v>156.43</v>
      </c>
      <c r="E365" s="19">
        <v>157.43</v>
      </c>
      <c r="F365" s="17">
        <v>165.15</v>
      </c>
      <c r="G365" s="18">
        <v>162.15</v>
      </c>
      <c r="H365" s="19">
        <v>163.65</v>
      </c>
      <c r="I365" s="17">
        <v>111.25</v>
      </c>
      <c r="J365" s="18">
        <v>108.05</v>
      </c>
      <c r="K365" s="19">
        <v>109.65</v>
      </c>
      <c r="L365" s="18">
        <v>201.51</v>
      </c>
      <c r="M365" s="18">
        <v>193.51</v>
      </c>
      <c r="N365" s="18">
        <v>197.51</v>
      </c>
      <c r="O365" s="17">
        <v>175.82</v>
      </c>
      <c r="P365" s="18">
        <v>174.01999999999998</v>
      </c>
      <c r="Q365" s="19">
        <v>174.92</v>
      </c>
      <c r="R365" s="18">
        <v>22.23</v>
      </c>
      <c r="S365" s="18">
        <v>21.63</v>
      </c>
      <c r="T365" s="18">
        <v>21.93</v>
      </c>
      <c r="U365" s="17">
        <v>14.18</v>
      </c>
      <c r="V365" s="18">
        <v>13.58</v>
      </c>
      <c r="W365" s="19">
        <v>13.879999999999999</v>
      </c>
      <c r="X365" s="17">
        <v>14.63</v>
      </c>
      <c r="Y365" s="18">
        <v>13.83</v>
      </c>
      <c r="Z365" s="19">
        <v>14.23</v>
      </c>
      <c r="AA365" s="17">
        <v>100.27</v>
      </c>
      <c r="AB365" s="18">
        <v>96.27</v>
      </c>
      <c r="AC365" s="19">
        <v>98.27</v>
      </c>
      <c r="AD365" s="17">
        <v>90.95</v>
      </c>
      <c r="AE365" s="18">
        <v>86.95</v>
      </c>
      <c r="AF365" s="19">
        <v>88.95</v>
      </c>
      <c r="AG365" s="18">
        <v>20.7</v>
      </c>
      <c r="AH365" s="18">
        <v>19.84</v>
      </c>
      <c r="AI365" s="18">
        <v>20.27</v>
      </c>
      <c r="AJ365" s="20"/>
      <c r="AK365" s="21"/>
      <c r="AL365" s="22"/>
      <c r="AM365" s="18">
        <v>116.73</v>
      </c>
      <c r="AN365" s="18">
        <v>115.07000000000001</v>
      </c>
      <c r="AO365" s="18">
        <v>115.9</v>
      </c>
      <c r="AP365" s="17">
        <v>42.8</v>
      </c>
      <c r="AQ365" s="18">
        <v>41.199999999999996</v>
      </c>
      <c r="AR365" s="19">
        <v>42</v>
      </c>
      <c r="AS365" s="18">
        <v>43.61</v>
      </c>
      <c r="AT365" s="18">
        <v>42.25</v>
      </c>
      <c r="AU365" s="18">
        <v>42.93</v>
      </c>
      <c r="AV365" s="17">
        <v>21.86</v>
      </c>
      <c r="AW365" s="18">
        <v>21.259999999999998</v>
      </c>
      <c r="AX365" s="19">
        <v>21.56</v>
      </c>
      <c r="AY365" s="17">
        <v>4.68</v>
      </c>
      <c r="AZ365" s="18">
        <v>4.5199999999999996</v>
      </c>
      <c r="BA365" s="19">
        <v>4.5999999999999996</v>
      </c>
      <c r="BB365" s="17">
        <v>2.0099999999999998</v>
      </c>
      <c r="BC365" s="23">
        <v>1.7099999999999997</v>
      </c>
      <c r="BD365" s="24">
        <v>1.8599999999999999</v>
      </c>
      <c r="BE365" s="18">
        <v>0.72</v>
      </c>
      <c r="BF365" s="23">
        <v>0.42</v>
      </c>
      <c r="BG365" s="23">
        <v>0.56999999999999995</v>
      </c>
      <c r="BH365" s="17">
        <v>519.79999999999995</v>
      </c>
      <c r="BI365" s="18">
        <v>503.79999999999995</v>
      </c>
      <c r="BJ365" s="19">
        <v>511.79999999999995</v>
      </c>
      <c r="BK365" s="18">
        <v>43.94</v>
      </c>
      <c r="BL365" s="18">
        <v>42.58</v>
      </c>
      <c r="BM365" s="18">
        <v>43.26</v>
      </c>
      <c r="BN365" s="25">
        <v>1.1000000000000001</v>
      </c>
      <c r="BO365" s="23">
        <v>0.8600000000000001</v>
      </c>
      <c r="BP365" s="24">
        <v>0.98000000000000009</v>
      </c>
      <c r="BQ365" s="18">
        <v>8.81</v>
      </c>
      <c r="BR365" s="18">
        <v>6.8100000000000005</v>
      </c>
      <c r="BS365" s="18">
        <v>7.8100000000000005</v>
      </c>
      <c r="BT365" s="17">
        <v>11</v>
      </c>
      <c r="BU365" s="18">
        <v>10.6</v>
      </c>
      <c r="BV365" s="19">
        <v>10.8</v>
      </c>
      <c r="BW365" s="17">
        <v>2.84</v>
      </c>
      <c r="BX365" s="23">
        <v>2.5599999999999996</v>
      </c>
      <c r="BY365" s="24">
        <v>2.6999999999999997</v>
      </c>
      <c r="BZ365" s="17">
        <v>9.91</v>
      </c>
      <c r="CA365" s="18">
        <v>6.91</v>
      </c>
      <c r="CB365" s="19">
        <v>8.41</v>
      </c>
      <c r="CC365" s="17">
        <v>6.64</v>
      </c>
      <c r="CD365" s="18">
        <v>6.3999999999999995</v>
      </c>
      <c r="CE365" s="19">
        <v>6.52</v>
      </c>
      <c r="CF365" s="17">
        <v>1.83</v>
      </c>
      <c r="CG365" s="18">
        <v>1.33</v>
      </c>
      <c r="CH365" s="19">
        <v>1.58</v>
      </c>
      <c r="CI365" s="17">
        <v>0.42</v>
      </c>
      <c r="CJ365" s="18">
        <v>0.38</v>
      </c>
      <c r="CK365" s="19">
        <v>0.4</v>
      </c>
      <c r="CL365" s="17">
        <v>39.700000000000003</v>
      </c>
      <c r="CM365">
        <v>37.300000000000004</v>
      </c>
      <c r="CN365">
        <v>38.5</v>
      </c>
      <c r="CO365">
        <v>6.99</v>
      </c>
      <c r="CP365">
        <v>1.9900000000000002</v>
      </c>
      <c r="CQ365">
        <v>4.49</v>
      </c>
    </row>
    <row r="366" spans="1:95">
      <c r="A366" s="223">
        <v>45653</v>
      </c>
      <c r="B366" s="16" t="s">
        <v>100</v>
      </c>
      <c r="C366" s="17">
        <v>159.18</v>
      </c>
      <c r="D366" s="18">
        <v>157.18</v>
      </c>
      <c r="E366" s="19">
        <v>158.18</v>
      </c>
      <c r="F366" s="17">
        <v>166.34</v>
      </c>
      <c r="G366" s="18">
        <v>163.34</v>
      </c>
      <c r="H366" s="19">
        <v>164.84</v>
      </c>
      <c r="I366" s="17">
        <v>111.36</v>
      </c>
      <c r="J366" s="18">
        <v>108.16</v>
      </c>
      <c r="K366" s="19">
        <v>109.75999999999999</v>
      </c>
      <c r="L366" s="18">
        <v>202.23</v>
      </c>
      <c r="M366" s="18">
        <v>194.23</v>
      </c>
      <c r="N366" s="18">
        <v>198.23</v>
      </c>
      <c r="O366" s="17">
        <v>176.73</v>
      </c>
      <c r="P366" s="18">
        <v>174.92999999999998</v>
      </c>
      <c r="Q366" s="19">
        <v>175.82999999999998</v>
      </c>
      <c r="R366" s="18">
        <v>22.39</v>
      </c>
      <c r="S366" s="18">
        <v>21.79</v>
      </c>
      <c r="T366" s="18">
        <v>22.09</v>
      </c>
      <c r="U366" s="17">
        <v>14.19</v>
      </c>
      <c r="V366" s="18">
        <v>13.59</v>
      </c>
      <c r="W366" s="19">
        <v>13.89</v>
      </c>
      <c r="X366" s="17">
        <v>14.72</v>
      </c>
      <c r="Y366" s="18">
        <v>13.92</v>
      </c>
      <c r="Z366" s="19">
        <v>14.32</v>
      </c>
      <c r="AA366" s="17">
        <v>100.42</v>
      </c>
      <c r="AB366" s="18">
        <v>96.42</v>
      </c>
      <c r="AC366" s="19">
        <v>98.42</v>
      </c>
      <c r="AD366" s="17">
        <v>90.91</v>
      </c>
      <c r="AE366" s="18">
        <v>86.91</v>
      </c>
      <c r="AF366" s="19">
        <v>88.91</v>
      </c>
      <c r="AG366" s="18">
        <v>20.8</v>
      </c>
      <c r="AH366" s="18">
        <v>19.940000000000001</v>
      </c>
      <c r="AI366" s="18">
        <v>20.37</v>
      </c>
      <c r="AJ366" s="20"/>
      <c r="AK366" s="21"/>
      <c r="AL366" s="22"/>
      <c r="AM366" s="18">
        <v>117.24</v>
      </c>
      <c r="AN366" s="18">
        <v>115.58</v>
      </c>
      <c r="AO366" s="18">
        <v>116.41</v>
      </c>
      <c r="AP366" s="17">
        <v>43</v>
      </c>
      <c r="AQ366" s="18">
        <v>41.4</v>
      </c>
      <c r="AR366" s="19">
        <v>42.2</v>
      </c>
      <c r="AS366" s="18">
        <v>43.82</v>
      </c>
      <c r="AT366" s="18">
        <v>42.46</v>
      </c>
      <c r="AU366" s="18">
        <v>43.14</v>
      </c>
      <c r="AV366" s="17">
        <v>21.96</v>
      </c>
      <c r="AW366" s="18">
        <v>21.36</v>
      </c>
      <c r="AX366" s="19">
        <v>21.66</v>
      </c>
      <c r="AY366" s="17">
        <v>4.72</v>
      </c>
      <c r="AZ366" s="18">
        <v>4.5599999999999996</v>
      </c>
      <c r="BA366" s="19">
        <v>4.6399999999999997</v>
      </c>
      <c r="BB366" s="17">
        <v>2.0099999999999998</v>
      </c>
      <c r="BC366" s="23">
        <v>1.7099999999999997</v>
      </c>
      <c r="BD366" s="24">
        <v>1.8599999999999999</v>
      </c>
      <c r="BE366" s="18">
        <v>0.72</v>
      </c>
      <c r="BF366" s="23">
        <v>0.42</v>
      </c>
      <c r="BG366" s="23">
        <v>0.56999999999999995</v>
      </c>
      <c r="BH366" s="17">
        <v>522.24</v>
      </c>
      <c r="BI366" s="18">
        <v>506.24</v>
      </c>
      <c r="BJ366" s="19">
        <v>514.24</v>
      </c>
      <c r="BK366" s="18">
        <v>44.16</v>
      </c>
      <c r="BL366" s="18">
        <v>42.8</v>
      </c>
      <c r="BM366" s="18">
        <v>43.48</v>
      </c>
      <c r="BN366" s="25">
        <v>1.1000000000000001</v>
      </c>
      <c r="BO366" s="23">
        <v>0.8600000000000001</v>
      </c>
      <c r="BP366" s="24">
        <v>0.98000000000000009</v>
      </c>
      <c r="BQ366" s="18">
        <v>8.82</v>
      </c>
      <c r="BR366" s="18">
        <v>6.82</v>
      </c>
      <c r="BS366" s="18">
        <v>7.82</v>
      </c>
      <c r="BT366" s="17">
        <v>10.94</v>
      </c>
      <c r="BU366" s="18">
        <v>10.54</v>
      </c>
      <c r="BV366" s="19">
        <v>10.739999999999998</v>
      </c>
      <c r="BW366" s="17">
        <v>2.89</v>
      </c>
      <c r="BX366" s="23">
        <v>2.6100000000000003</v>
      </c>
      <c r="BY366" s="24">
        <v>2.75</v>
      </c>
      <c r="BZ366" s="17">
        <v>9.89</v>
      </c>
      <c r="CA366" s="18">
        <v>6.8900000000000006</v>
      </c>
      <c r="CB366" s="19">
        <v>8.39</v>
      </c>
      <c r="CC366" s="17">
        <v>6.69</v>
      </c>
      <c r="CD366" s="18">
        <v>6.45</v>
      </c>
      <c r="CE366" s="19">
        <v>6.57</v>
      </c>
      <c r="CF366" s="17">
        <v>1.85</v>
      </c>
      <c r="CG366" s="18">
        <v>1.35</v>
      </c>
      <c r="CH366" s="19">
        <v>1.6</v>
      </c>
      <c r="CI366" s="17">
        <v>0.42</v>
      </c>
      <c r="CJ366" s="18">
        <v>0.38</v>
      </c>
      <c r="CK366" s="19">
        <v>0.4</v>
      </c>
      <c r="CL366" s="17">
        <v>39.840000000000003</v>
      </c>
      <c r="CM366">
        <v>37.440000000000005</v>
      </c>
      <c r="CN366">
        <v>38.64</v>
      </c>
      <c r="CO366">
        <v>7.01</v>
      </c>
      <c r="CP366">
        <v>2.0099999999999998</v>
      </c>
      <c r="CQ366">
        <v>4.51</v>
      </c>
    </row>
    <row r="367" spans="1:95">
      <c r="A367" s="223">
        <v>45654</v>
      </c>
      <c r="B367" s="16" t="s">
        <v>307</v>
      </c>
      <c r="C367" s="17"/>
      <c r="D367" s="18"/>
      <c r="E367" s="19"/>
      <c r="F367" s="17"/>
      <c r="G367" s="18"/>
      <c r="H367" s="19"/>
      <c r="I367" s="17"/>
      <c r="J367" s="18"/>
      <c r="K367" s="19"/>
      <c r="L367" s="18"/>
      <c r="M367" s="18"/>
      <c r="N367" s="18"/>
      <c r="O367" s="17"/>
      <c r="P367" s="18"/>
      <c r="Q367" s="19"/>
      <c r="R367" s="18"/>
      <c r="S367" s="18"/>
      <c r="T367" s="18"/>
      <c r="U367" s="17"/>
      <c r="V367" s="18"/>
      <c r="W367" s="19"/>
      <c r="X367" s="17"/>
      <c r="Y367" s="18"/>
      <c r="Z367" s="19"/>
      <c r="AA367" s="17"/>
      <c r="AB367" s="18"/>
      <c r="AC367" s="19"/>
      <c r="AD367" s="17"/>
      <c r="AE367" s="18"/>
      <c r="AF367" s="19"/>
      <c r="AG367" s="18"/>
      <c r="AH367" s="18"/>
      <c r="AI367" s="18"/>
      <c r="AJ367" s="20"/>
      <c r="AK367" s="21"/>
      <c r="AL367" s="22"/>
      <c r="AM367" s="18"/>
      <c r="AN367" s="18"/>
      <c r="AO367" s="18"/>
      <c r="AP367" s="17"/>
      <c r="AQ367" s="18"/>
      <c r="AR367" s="19"/>
      <c r="AS367" s="18"/>
      <c r="AT367" s="18"/>
      <c r="AU367" s="18"/>
      <c r="AV367" s="17"/>
      <c r="AW367" s="18"/>
      <c r="AX367" s="19"/>
      <c r="AY367" s="17"/>
      <c r="AZ367" s="18"/>
      <c r="BA367" s="19"/>
      <c r="BB367" s="17"/>
      <c r="BC367" s="23"/>
      <c r="BD367" s="24"/>
      <c r="BE367" s="18"/>
      <c r="BF367" s="23"/>
      <c r="BG367" s="23"/>
      <c r="BH367" s="17"/>
      <c r="BI367" s="18"/>
      <c r="BJ367" s="19"/>
      <c r="BK367" s="18"/>
      <c r="BL367" s="18"/>
      <c r="BM367" s="18"/>
      <c r="BN367" s="25"/>
      <c r="BO367" s="23"/>
      <c r="BP367" s="24"/>
      <c r="BQ367" s="18"/>
      <c r="BR367" s="18"/>
      <c r="BS367" s="18"/>
      <c r="BT367" s="17"/>
      <c r="BU367" s="18"/>
      <c r="BV367" s="19"/>
      <c r="BW367" s="17"/>
      <c r="BX367" s="23"/>
      <c r="BY367" s="24"/>
      <c r="BZ367" s="17"/>
      <c r="CA367" s="18"/>
      <c r="CB367" s="19"/>
      <c r="CC367" s="17"/>
      <c r="CD367" s="18"/>
      <c r="CE367" s="19"/>
      <c r="CF367" s="17"/>
      <c r="CG367" s="18"/>
      <c r="CH367" s="19"/>
      <c r="CI367" s="17"/>
      <c r="CJ367" s="18"/>
      <c r="CK367" s="19"/>
      <c r="CL367" s="17"/>
    </row>
    <row r="368" spans="1:95">
      <c r="A368" s="223">
        <v>45655</v>
      </c>
      <c r="B368" s="16" t="s">
        <v>308</v>
      </c>
      <c r="C368" s="17"/>
      <c r="D368" s="18"/>
      <c r="E368" s="19"/>
      <c r="F368" s="17"/>
      <c r="G368" s="18"/>
      <c r="H368" s="19"/>
      <c r="I368" s="17"/>
      <c r="J368" s="18"/>
      <c r="K368" s="19"/>
      <c r="L368" s="18"/>
      <c r="M368" s="18"/>
      <c r="N368" s="18"/>
      <c r="O368" s="17"/>
      <c r="P368" s="18"/>
      <c r="Q368" s="19"/>
      <c r="R368" s="18"/>
      <c r="S368" s="18"/>
      <c r="T368" s="18"/>
      <c r="U368" s="17"/>
      <c r="V368" s="18"/>
      <c r="W368" s="19"/>
      <c r="X368" s="17"/>
      <c r="Y368" s="18"/>
      <c r="Z368" s="19"/>
      <c r="AA368" s="17"/>
      <c r="AB368" s="18"/>
      <c r="AC368" s="19"/>
      <c r="AD368" s="17"/>
      <c r="AE368" s="18"/>
      <c r="AF368" s="19"/>
      <c r="AG368" s="18"/>
      <c r="AH368" s="18"/>
      <c r="AI368" s="18"/>
      <c r="AJ368" s="20"/>
      <c r="AK368" s="21"/>
      <c r="AL368" s="22"/>
      <c r="AM368" s="18"/>
      <c r="AN368" s="18"/>
      <c r="AO368" s="18"/>
      <c r="AP368" s="17"/>
      <c r="AQ368" s="18"/>
      <c r="AR368" s="19"/>
      <c r="AS368" s="18"/>
      <c r="AT368" s="18"/>
      <c r="AU368" s="18"/>
      <c r="AV368" s="17"/>
      <c r="AW368" s="18"/>
      <c r="AX368" s="19"/>
      <c r="AY368" s="17"/>
      <c r="AZ368" s="18"/>
      <c r="BA368" s="19"/>
      <c r="BB368" s="17"/>
      <c r="BC368" s="23"/>
      <c r="BD368" s="24"/>
      <c r="BE368" s="18"/>
      <c r="BF368" s="23"/>
      <c r="BG368" s="23"/>
      <c r="BH368" s="17"/>
      <c r="BI368" s="18"/>
      <c r="BJ368" s="19"/>
      <c r="BK368" s="18"/>
      <c r="BL368" s="18"/>
      <c r="BM368" s="18"/>
      <c r="BN368" s="25"/>
      <c r="BO368" s="23"/>
      <c r="BP368" s="24"/>
      <c r="BQ368" s="18"/>
      <c r="BR368" s="18"/>
      <c r="BS368" s="18"/>
      <c r="BT368" s="17"/>
      <c r="BU368" s="18"/>
      <c r="BV368" s="19"/>
      <c r="BW368" s="17"/>
      <c r="BX368" s="23"/>
      <c r="BY368" s="24"/>
      <c r="BZ368" s="17"/>
      <c r="CA368" s="18"/>
      <c r="CB368" s="19"/>
      <c r="CC368" s="17"/>
      <c r="CD368" s="18"/>
      <c r="CE368" s="19"/>
      <c r="CF368" s="17"/>
      <c r="CG368" s="18"/>
      <c r="CH368" s="19"/>
      <c r="CI368" s="17"/>
      <c r="CJ368" s="18"/>
      <c r="CK368" s="19"/>
      <c r="CL368" s="17"/>
    </row>
    <row r="369" spans="1:95">
      <c r="A369" s="223">
        <v>45656</v>
      </c>
      <c r="B369" s="16" t="s">
        <v>96</v>
      </c>
      <c r="C369" s="17">
        <v>159.18</v>
      </c>
      <c r="D369" s="18">
        <v>157.18</v>
      </c>
      <c r="E369" s="19">
        <v>158.18</v>
      </c>
      <c r="F369" s="17">
        <v>166.42</v>
      </c>
      <c r="G369" s="18">
        <v>163.41999999999999</v>
      </c>
      <c r="H369" s="19">
        <v>164.92</v>
      </c>
      <c r="I369" s="17">
        <v>111.37</v>
      </c>
      <c r="J369" s="18">
        <v>108.17</v>
      </c>
      <c r="K369" s="19">
        <v>109.77000000000001</v>
      </c>
      <c r="L369" s="18">
        <v>203.02</v>
      </c>
      <c r="M369" s="18">
        <v>195.02</v>
      </c>
      <c r="N369" s="18">
        <v>199.02</v>
      </c>
      <c r="O369" s="17">
        <v>176.25</v>
      </c>
      <c r="P369" s="18">
        <v>174.45</v>
      </c>
      <c r="Q369" s="19">
        <v>175.35</v>
      </c>
      <c r="R369" s="18">
        <v>22.41</v>
      </c>
      <c r="S369" s="18">
        <v>21.81</v>
      </c>
      <c r="T369" s="18">
        <v>22.11</v>
      </c>
      <c r="U369" s="17">
        <v>14.24</v>
      </c>
      <c r="V369" s="18">
        <v>13.64</v>
      </c>
      <c r="W369" s="19">
        <v>13.940000000000001</v>
      </c>
      <c r="X369" s="17">
        <v>14.79</v>
      </c>
      <c r="Y369" s="18">
        <v>13.989999999999998</v>
      </c>
      <c r="Z369" s="19">
        <v>14.389999999999999</v>
      </c>
      <c r="AA369" s="17">
        <v>100.5</v>
      </c>
      <c r="AB369" s="18">
        <v>96.5</v>
      </c>
      <c r="AC369" s="19">
        <v>98.5</v>
      </c>
      <c r="AD369" s="17">
        <v>91.17</v>
      </c>
      <c r="AE369" s="18">
        <v>87.17</v>
      </c>
      <c r="AF369" s="19">
        <v>89.17</v>
      </c>
      <c r="AG369" s="18">
        <v>20.81</v>
      </c>
      <c r="AH369" s="18">
        <v>19.95</v>
      </c>
      <c r="AI369" s="18">
        <v>20.38</v>
      </c>
      <c r="AJ369" s="20"/>
      <c r="AK369" s="21"/>
      <c r="AL369" s="22"/>
      <c r="AM369" s="18">
        <v>117.34</v>
      </c>
      <c r="AN369" s="18">
        <v>115.68</v>
      </c>
      <c r="AO369" s="18">
        <v>116.51</v>
      </c>
      <c r="AP369" s="17">
        <v>43.03</v>
      </c>
      <c r="AQ369" s="18">
        <v>41.43</v>
      </c>
      <c r="AR369" s="19">
        <v>42.230000000000004</v>
      </c>
      <c r="AS369" s="18">
        <v>43.82</v>
      </c>
      <c r="AT369" s="18">
        <v>42.46</v>
      </c>
      <c r="AU369" s="18">
        <v>43.14</v>
      </c>
      <c r="AV369" s="17">
        <v>21.97</v>
      </c>
      <c r="AW369" s="18">
        <v>21.369999999999997</v>
      </c>
      <c r="AX369" s="19">
        <v>21.669999999999998</v>
      </c>
      <c r="AY369" s="17">
        <v>4.72</v>
      </c>
      <c r="AZ369" s="18">
        <v>4.5599999999999996</v>
      </c>
      <c r="BA369" s="19">
        <v>4.6399999999999997</v>
      </c>
      <c r="BB369" s="17">
        <v>2.0099999999999998</v>
      </c>
      <c r="BC369" s="23">
        <v>1.7099999999999997</v>
      </c>
      <c r="BD369" s="24">
        <v>1.8599999999999999</v>
      </c>
      <c r="BE369" s="18">
        <v>0.72</v>
      </c>
      <c r="BF369" s="23">
        <v>0.42</v>
      </c>
      <c r="BG369" s="23">
        <v>0.56999999999999995</v>
      </c>
      <c r="BH369" s="17">
        <v>522.24</v>
      </c>
      <c r="BI369" s="18">
        <v>506.24</v>
      </c>
      <c r="BJ369" s="19">
        <v>514.24</v>
      </c>
      <c r="BK369" s="18">
        <v>44.16</v>
      </c>
      <c r="BL369" s="18">
        <v>42.8</v>
      </c>
      <c r="BM369" s="18">
        <v>43.48</v>
      </c>
      <c r="BN369" s="25">
        <v>1.1000000000000001</v>
      </c>
      <c r="BO369" s="23">
        <v>0.8600000000000001</v>
      </c>
      <c r="BP369" s="24">
        <v>0.98000000000000009</v>
      </c>
      <c r="BQ369" s="18">
        <v>8.77</v>
      </c>
      <c r="BR369" s="18">
        <v>6.77</v>
      </c>
      <c r="BS369" s="18">
        <v>7.77</v>
      </c>
      <c r="BT369" s="17">
        <v>10.96</v>
      </c>
      <c r="BU369" s="18">
        <v>10.56</v>
      </c>
      <c r="BV369" s="19">
        <v>10.760000000000002</v>
      </c>
      <c r="BW369" s="17">
        <v>2.9</v>
      </c>
      <c r="BX369" s="23">
        <v>2.62</v>
      </c>
      <c r="BY369" s="24">
        <v>2.76</v>
      </c>
      <c r="BZ369" s="17">
        <v>9.9700000000000006</v>
      </c>
      <c r="CA369" s="18">
        <v>6.9700000000000006</v>
      </c>
      <c r="CB369" s="19">
        <v>8.4700000000000006</v>
      </c>
      <c r="CC369" s="17">
        <v>6.67</v>
      </c>
      <c r="CD369" s="18">
        <v>6.43</v>
      </c>
      <c r="CE369" s="19">
        <v>6.55</v>
      </c>
      <c r="CF369" s="17">
        <v>1.76</v>
      </c>
      <c r="CG369" s="18">
        <v>1.26</v>
      </c>
      <c r="CH369" s="19">
        <v>1.51</v>
      </c>
      <c r="CI369" s="17">
        <v>0.42</v>
      </c>
      <c r="CJ369" s="18">
        <v>0.38</v>
      </c>
      <c r="CK369" s="19">
        <v>0.4</v>
      </c>
      <c r="CL369" s="17">
        <v>39.840000000000003</v>
      </c>
      <c r="CM369">
        <v>37.440000000000005</v>
      </c>
      <c r="CN369">
        <v>38.64</v>
      </c>
      <c r="CO369">
        <v>6.98</v>
      </c>
      <c r="CP369">
        <v>1.9800000000000004</v>
      </c>
      <c r="CQ369">
        <v>4.4800000000000004</v>
      </c>
    </row>
    <row r="370" spans="1:95">
      <c r="A370" s="223">
        <v>45657</v>
      </c>
      <c r="B370" s="16" t="s">
        <v>97</v>
      </c>
      <c r="C370" s="17"/>
      <c r="D370" s="18"/>
      <c r="E370" s="19"/>
      <c r="F370" s="17"/>
      <c r="G370" s="18"/>
      <c r="H370" s="19"/>
      <c r="I370" s="17"/>
      <c r="J370" s="18"/>
      <c r="K370" s="19"/>
      <c r="L370" s="18"/>
      <c r="M370" s="18"/>
      <c r="N370" s="18"/>
      <c r="O370" s="17"/>
      <c r="P370" s="18"/>
      <c r="Q370" s="19"/>
      <c r="R370" s="18"/>
      <c r="S370" s="18"/>
      <c r="T370" s="18"/>
      <c r="U370" s="17"/>
      <c r="V370" s="18"/>
      <c r="W370" s="19"/>
      <c r="X370" s="17"/>
      <c r="Y370" s="18"/>
      <c r="Z370" s="19"/>
      <c r="AA370" s="17"/>
      <c r="AB370" s="18"/>
      <c r="AC370" s="19"/>
      <c r="AD370" s="17"/>
      <c r="AE370" s="18"/>
      <c r="AF370" s="19"/>
      <c r="AG370" s="18"/>
      <c r="AH370" s="18"/>
      <c r="AI370" s="18"/>
      <c r="AJ370" s="20"/>
      <c r="AK370" s="21"/>
      <c r="AL370" s="22"/>
      <c r="AM370" s="18"/>
      <c r="AN370" s="18"/>
      <c r="AO370" s="18"/>
      <c r="AP370" s="17"/>
      <c r="AQ370" s="18"/>
      <c r="AR370" s="19"/>
      <c r="AS370" s="18"/>
      <c r="AT370" s="18"/>
      <c r="AU370" s="18"/>
      <c r="AV370" s="17"/>
      <c r="AW370" s="18"/>
      <c r="AX370" s="19"/>
      <c r="AY370" s="17"/>
      <c r="AZ370" s="18"/>
      <c r="BA370" s="19"/>
      <c r="BB370" s="17"/>
      <c r="BC370" s="23"/>
      <c r="BD370" s="24"/>
      <c r="BE370" s="18"/>
      <c r="BF370" s="23"/>
      <c r="BG370" s="23"/>
      <c r="BH370" s="17"/>
      <c r="BI370" s="18"/>
      <c r="BJ370" s="19"/>
      <c r="BK370" s="18"/>
      <c r="BL370" s="18"/>
      <c r="BM370" s="18"/>
      <c r="BN370" s="25"/>
      <c r="BO370" s="23"/>
      <c r="BP370" s="24"/>
      <c r="BQ370" s="18"/>
      <c r="BR370" s="18"/>
      <c r="BS370" s="18"/>
      <c r="BT370" s="17"/>
      <c r="BU370" s="18"/>
      <c r="BV370" s="19"/>
      <c r="BW370" s="17"/>
      <c r="BX370" s="23"/>
      <c r="BY370" s="24"/>
      <c r="BZ370" s="17"/>
      <c r="CA370" s="18"/>
      <c r="CB370" s="19"/>
      <c r="CC370" s="17"/>
      <c r="CD370" s="18"/>
      <c r="CE370" s="19"/>
      <c r="CF370" s="17"/>
      <c r="CG370" s="18"/>
      <c r="CH370" s="19"/>
      <c r="CI370" s="17"/>
      <c r="CJ370" s="18"/>
      <c r="CK370" s="19"/>
      <c r="CL370" s="17"/>
    </row>
    <row r="371" spans="1:95">
      <c r="A371" s="223">
        <v>45511</v>
      </c>
      <c r="B371" s="16" t="s">
        <v>98</v>
      </c>
      <c r="C371" s="17">
        <v>145.80000000000001</v>
      </c>
      <c r="D371" s="18">
        <v>143.80000000000001</v>
      </c>
      <c r="E371" s="19">
        <v>144.80000000000001</v>
      </c>
      <c r="F371" s="17">
        <v>159.75</v>
      </c>
      <c r="G371" s="18">
        <v>156.75</v>
      </c>
      <c r="H371" s="19">
        <v>158.25</v>
      </c>
      <c r="I371" s="17">
        <v>106.69</v>
      </c>
      <c r="J371" s="18">
        <v>103.49</v>
      </c>
      <c r="K371" s="19">
        <v>105.09</v>
      </c>
      <c r="L371" s="18">
        <v>187.92</v>
      </c>
      <c r="M371" s="18">
        <v>179.92</v>
      </c>
      <c r="N371" s="18">
        <v>183.92</v>
      </c>
      <c r="O371" s="17">
        <v>170.47</v>
      </c>
      <c r="P371" s="18">
        <v>168.67</v>
      </c>
      <c r="Q371" s="19">
        <v>169.57</v>
      </c>
      <c r="R371" s="18">
        <v>21.51</v>
      </c>
      <c r="S371" s="18">
        <v>20.91</v>
      </c>
      <c r="T371" s="18">
        <v>21.21</v>
      </c>
      <c r="U371" s="17">
        <v>13.56</v>
      </c>
      <c r="V371" s="18">
        <v>12.96</v>
      </c>
      <c r="W371" s="19">
        <v>13.260000000000002</v>
      </c>
      <c r="X371" s="17">
        <v>14.15</v>
      </c>
      <c r="Y371" s="18">
        <v>13.35</v>
      </c>
      <c r="Z371" s="19">
        <v>13.75</v>
      </c>
      <c r="AA371" s="17">
        <v>96.66</v>
      </c>
      <c r="AB371" s="18">
        <v>92.66</v>
      </c>
      <c r="AC371" s="19">
        <v>94.66</v>
      </c>
      <c r="AD371" s="17">
        <v>88.85</v>
      </c>
      <c r="AE371" s="18">
        <v>84.85</v>
      </c>
      <c r="AF371" s="19">
        <v>86.85</v>
      </c>
      <c r="AG371" s="18">
        <v>19</v>
      </c>
      <c r="AH371" s="18">
        <v>18.14</v>
      </c>
      <c r="AI371" s="18">
        <v>18.57</v>
      </c>
      <c r="AJ371" s="20"/>
      <c r="AK371" s="21"/>
      <c r="AL371" s="22"/>
      <c r="AM371" s="18">
        <v>110.09</v>
      </c>
      <c r="AN371" s="18">
        <v>108.43</v>
      </c>
      <c r="AO371" s="18">
        <v>109.26</v>
      </c>
      <c r="AP371" s="17">
        <v>39.43</v>
      </c>
      <c r="AQ371" s="18">
        <v>37.83</v>
      </c>
      <c r="AR371" s="19">
        <v>38.629999999999995</v>
      </c>
      <c r="AS371" s="18">
        <v>40.17</v>
      </c>
      <c r="AT371" s="18">
        <v>38.81</v>
      </c>
      <c r="AU371" s="18">
        <v>39.49</v>
      </c>
      <c r="AV371" s="17">
        <v>20.51</v>
      </c>
      <c r="AW371" s="18">
        <v>19.91</v>
      </c>
      <c r="AX371" s="19">
        <v>20.21</v>
      </c>
      <c r="AY371" s="17">
        <v>4.1500000000000004</v>
      </c>
      <c r="AZ371" s="18">
        <v>3.99</v>
      </c>
      <c r="BA371" s="19">
        <v>4.07</v>
      </c>
      <c r="BB371" s="17">
        <v>1.88</v>
      </c>
      <c r="BC371" s="23">
        <v>1.5799999999999998</v>
      </c>
      <c r="BD371" s="24">
        <v>1.73</v>
      </c>
      <c r="BE371" s="18">
        <v>0.67</v>
      </c>
      <c r="BF371" s="23">
        <v>0.37000000000000005</v>
      </c>
      <c r="BG371" s="23">
        <v>0.52</v>
      </c>
      <c r="BH371" s="17">
        <v>482.6</v>
      </c>
      <c r="BI371" s="18">
        <v>466.6</v>
      </c>
      <c r="BJ371" s="19">
        <v>474.6</v>
      </c>
      <c r="BK371" s="18">
        <v>40.46</v>
      </c>
      <c r="BL371" s="18">
        <v>39.1</v>
      </c>
      <c r="BM371" s="18">
        <v>39.78</v>
      </c>
      <c r="BN371" s="25">
        <v>1.02</v>
      </c>
      <c r="BO371" s="23">
        <v>0.78</v>
      </c>
      <c r="BP371" s="24">
        <v>0.9</v>
      </c>
      <c r="BQ371" s="18">
        <v>8.41</v>
      </c>
      <c r="BR371" s="18">
        <v>6.41</v>
      </c>
      <c r="BS371" s="18">
        <v>7.41</v>
      </c>
      <c r="BT371" s="17">
        <v>10.74</v>
      </c>
      <c r="BU371" s="18">
        <v>10.34</v>
      </c>
      <c r="BV371" s="19">
        <v>10.54</v>
      </c>
      <c r="BW371" s="17">
        <v>2.66</v>
      </c>
      <c r="BX371" s="23">
        <v>2.38</v>
      </c>
      <c r="BY371" s="24">
        <v>2.52</v>
      </c>
      <c r="BZ371" s="17">
        <v>9.33</v>
      </c>
      <c r="CA371" s="18">
        <v>6.33</v>
      </c>
      <c r="CB371" s="19">
        <v>7.83</v>
      </c>
      <c r="CC371" s="17">
        <v>6.39</v>
      </c>
      <c r="CD371" s="18">
        <v>6.1499999999999995</v>
      </c>
      <c r="CE371" s="19">
        <v>6.27</v>
      </c>
      <c r="CF371" s="17">
        <v>1.94</v>
      </c>
      <c r="CG371" s="18">
        <v>1.44</v>
      </c>
      <c r="CH371" s="19">
        <v>1.69</v>
      </c>
      <c r="CI371" s="17">
        <v>0.42</v>
      </c>
      <c r="CJ371" s="18">
        <v>0.38</v>
      </c>
      <c r="CK371" s="19">
        <v>0.4</v>
      </c>
      <c r="CL371" s="17">
        <v>37.89</v>
      </c>
      <c r="CM371">
        <v>35.49</v>
      </c>
      <c r="CN371">
        <v>36.69</v>
      </c>
      <c r="CO371">
        <v>6.82</v>
      </c>
      <c r="CP371">
        <v>1.8200000000000003</v>
      </c>
      <c r="CQ371">
        <v>4.32</v>
      </c>
    </row>
    <row r="372" spans="1:95">
      <c r="A372" s="223">
        <v>45658</v>
      </c>
      <c r="B372" s="16" t="s">
        <v>98</v>
      </c>
      <c r="C372" s="17"/>
      <c r="D372" s="18"/>
      <c r="E372" s="19"/>
      <c r="F372" s="17"/>
      <c r="G372" s="18"/>
      <c r="H372" s="19"/>
      <c r="I372" s="17"/>
      <c r="J372" s="18"/>
      <c r="K372" s="19"/>
      <c r="L372" s="18"/>
      <c r="M372" s="18"/>
      <c r="N372" s="18"/>
      <c r="O372" s="17"/>
      <c r="P372" s="18"/>
      <c r="Q372" s="19"/>
      <c r="R372" s="18"/>
      <c r="S372" s="18"/>
      <c r="T372" s="18"/>
      <c r="U372" s="17"/>
      <c r="V372" s="18"/>
      <c r="W372" s="19"/>
      <c r="X372" s="17"/>
      <c r="Y372" s="18"/>
      <c r="Z372" s="19"/>
      <c r="AA372" s="17"/>
      <c r="AB372" s="18"/>
      <c r="AC372" s="19"/>
      <c r="AD372" s="17"/>
      <c r="AE372" s="18"/>
      <c r="AF372" s="19"/>
      <c r="AG372" s="18"/>
      <c r="AH372" s="18"/>
      <c r="AI372" s="18"/>
      <c r="AJ372" s="20"/>
      <c r="AK372" s="21"/>
      <c r="AL372" s="22"/>
      <c r="AM372" s="18"/>
      <c r="AN372" s="18"/>
      <c r="AO372" s="18"/>
      <c r="AP372" s="17"/>
      <c r="AQ372" s="18"/>
      <c r="AR372" s="19"/>
      <c r="AS372" s="18"/>
      <c r="AT372" s="18"/>
      <c r="AU372" s="18"/>
      <c r="AV372" s="17"/>
      <c r="AW372" s="18"/>
      <c r="AX372" s="19"/>
      <c r="AY372" s="17"/>
      <c r="AZ372" s="18"/>
      <c r="BA372" s="19"/>
      <c r="BB372" s="17"/>
      <c r="BC372" s="23"/>
      <c r="BD372" s="24"/>
      <c r="BE372" s="18"/>
      <c r="BF372" s="23"/>
      <c r="BG372" s="23"/>
      <c r="BH372" s="17"/>
      <c r="BI372" s="18"/>
      <c r="BJ372" s="19"/>
      <c r="BK372" s="18"/>
      <c r="BL372" s="18"/>
      <c r="BM372" s="18"/>
      <c r="BN372" s="25"/>
      <c r="BO372" s="23"/>
      <c r="BP372" s="24"/>
      <c r="BQ372" s="18"/>
      <c r="BR372" s="18"/>
      <c r="BS372" s="18"/>
      <c r="BT372" s="17"/>
      <c r="BU372" s="18"/>
      <c r="BV372" s="19"/>
      <c r="BW372" s="17"/>
      <c r="BX372" s="23"/>
      <c r="BY372" s="24"/>
      <c r="BZ372" s="17"/>
      <c r="CA372" s="18"/>
      <c r="CB372" s="19"/>
      <c r="CC372" s="17"/>
      <c r="CD372" s="18"/>
      <c r="CE372" s="19"/>
      <c r="CF372" s="17"/>
      <c r="CG372" s="18"/>
      <c r="CH372" s="19"/>
      <c r="CI372" s="17"/>
      <c r="CJ372" s="18"/>
      <c r="CK372" s="19"/>
      <c r="CL372" s="17"/>
    </row>
    <row r="373" spans="1:95">
      <c r="A373" s="223">
        <v>45659</v>
      </c>
      <c r="B373" s="16" t="s">
        <v>99</v>
      </c>
      <c r="C373" s="17"/>
      <c r="D373" s="18"/>
      <c r="E373" s="19"/>
      <c r="F373" s="17"/>
      <c r="G373" s="18"/>
      <c r="H373" s="19"/>
      <c r="I373" s="17"/>
      <c r="J373" s="18"/>
      <c r="K373" s="19"/>
      <c r="L373" s="18"/>
      <c r="M373" s="18"/>
      <c r="N373" s="18"/>
      <c r="O373" s="17"/>
      <c r="P373" s="18"/>
      <c r="Q373" s="19"/>
      <c r="R373" s="18"/>
      <c r="S373" s="18"/>
      <c r="T373" s="18"/>
      <c r="U373" s="17"/>
      <c r="V373" s="18"/>
      <c r="W373" s="19"/>
      <c r="X373" s="17"/>
      <c r="Y373" s="18"/>
      <c r="Z373" s="19"/>
      <c r="AA373" s="17"/>
      <c r="AB373" s="18"/>
      <c r="AC373" s="19"/>
      <c r="AD373" s="17"/>
      <c r="AE373" s="18"/>
      <c r="AF373" s="19"/>
      <c r="AG373" s="18"/>
      <c r="AH373" s="18"/>
      <c r="AI373" s="18"/>
      <c r="AJ373" s="20"/>
      <c r="AK373" s="21"/>
      <c r="AL373" s="22"/>
      <c r="AM373" s="18"/>
      <c r="AN373" s="18"/>
      <c r="AO373" s="18"/>
      <c r="AP373" s="17"/>
      <c r="AQ373" s="18"/>
      <c r="AR373" s="19"/>
      <c r="AS373" s="18"/>
      <c r="AT373" s="18"/>
      <c r="AU373" s="18"/>
      <c r="AV373" s="17"/>
      <c r="AW373" s="18"/>
      <c r="AX373" s="19"/>
      <c r="AY373" s="17"/>
      <c r="AZ373" s="18"/>
      <c r="BA373" s="19"/>
      <c r="BB373" s="17"/>
      <c r="BC373" s="23"/>
      <c r="BD373" s="24"/>
      <c r="BE373" s="18"/>
      <c r="BF373" s="23"/>
      <c r="BG373" s="23"/>
      <c r="BH373" s="17"/>
      <c r="BI373" s="18"/>
      <c r="BJ373" s="19"/>
      <c r="BK373" s="18"/>
      <c r="BL373" s="18"/>
      <c r="BM373" s="18"/>
      <c r="BN373" s="25"/>
      <c r="BO373" s="23"/>
      <c r="BP373" s="24"/>
      <c r="BQ373" s="18"/>
      <c r="BR373" s="18"/>
      <c r="BS373" s="18"/>
      <c r="BT373" s="17"/>
      <c r="BU373" s="18"/>
      <c r="BV373" s="19"/>
      <c r="BW373" s="17"/>
      <c r="BX373" s="23"/>
      <c r="BY373" s="24"/>
      <c r="BZ373" s="17"/>
      <c r="CA373" s="18"/>
      <c r="CB373" s="19"/>
      <c r="CC373" s="17"/>
      <c r="CD373" s="18"/>
      <c r="CE373" s="19"/>
      <c r="CF373" s="17"/>
      <c r="CG373" s="18"/>
      <c r="CH373" s="19"/>
      <c r="CI373" s="17"/>
      <c r="CJ373" s="18"/>
      <c r="CK373" s="19"/>
      <c r="CL373" s="17"/>
    </row>
    <row r="374" spans="1:95">
      <c r="A374" s="223">
        <v>45660</v>
      </c>
      <c r="B374" s="16" t="s">
        <v>100</v>
      </c>
      <c r="C374" s="17"/>
      <c r="D374" s="18"/>
      <c r="E374" s="19"/>
      <c r="F374" s="17"/>
      <c r="G374" s="18"/>
      <c r="H374" s="19"/>
      <c r="I374" s="17"/>
      <c r="J374" s="18"/>
      <c r="K374" s="19"/>
      <c r="L374" s="18"/>
      <c r="M374" s="18"/>
      <c r="N374" s="18"/>
      <c r="O374" s="17"/>
      <c r="P374" s="18"/>
      <c r="Q374" s="19"/>
      <c r="R374" s="18"/>
      <c r="S374" s="18"/>
      <c r="T374" s="18"/>
      <c r="U374" s="17"/>
      <c r="V374" s="18"/>
      <c r="W374" s="19"/>
      <c r="X374" s="17"/>
      <c r="Y374" s="18"/>
      <c r="Z374" s="19"/>
      <c r="AA374" s="17"/>
      <c r="AB374" s="18"/>
      <c r="AC374" s="19"/>
      <c r="AD374" s="17"/>
      <c r="AE374" s="18"/>
      <c r="AF374" s="19"/>
      <c r="AG374" s="18"/>
      <c r="AH374" s="18"/>
      <c r="AI374" s="18"/>
      <c r="AJ374" s="20"/>
      <c r="AK374" s="21"/>
      <c r="AL374" s="22"/>
      <c r="AM374" s="18"/>
      <c r="AN374" s="18"/>
      <c r="AO374" s="18"/>
      <c r="AP374" s="17"/>
      <c r="AQ374" s="18"/>
      <c r="AR374" s="19"/>
      <c r="AS374" s="18"/>
      <c r="AT374" s="18"/>
      <c r="AU374" s="18"/>
      <c r="AV374" s="17"/>
      <c r="AW374" s="18"/>
      <c r="AX374" s="19"/>
      <c r="AY374" s="17"/>
      <c r="AZ374" s="18"/>
      <c r="BA374" s="19"/>
      <c r="BB374" s="17"/>
      <c r="BC374" s="23"/>
      <c r="BD374" s="24"/>
      <c r="BE374" s="18"/>
      <c r="BF374" s="23"/>
      <c r="BG374" s="23"/>
      <c r="BH374" s="17"/>
      <c r="BI374" s="18"/>
      <c r="BJ374" s="19"/>
      <c r="BK374" s="18"/>
      <c r="BL374" s="18"/>
      <c r="BM374" s="18"/>
      <c r="BN374" s="25"/>
      <c r="BO374" s="23"/>
      <c r="BP374" s="24"/>
      <c r="BQ374" s="18"/>
      <c r="BR374" s="18"/>
      <c r="BS374" s="18"/>
      <c r="BT374" s="17"/>
      <c r="BU374" s="18"/>
      <c r="BV374" s="19"/>
      <c r="BW374" s="17"/>
      <c r="BX374" s="23"/>
      <c r="BY374" s="24"/>
      <c r="BZ374" s="17"/>
      <c r="CA374" s="18"/>
      <c r="CB374" s="19"/>
      <c r="CC374" s="17"/>
      <c r="CD374" s="18"/>
      <c r="CE374" s="19"/>
      <c r="CF374" s="17"/>
      <c r="CG374" s="18"/>
      <c r="CH374" s="19"/>
      <c r="CI374" s="17"/>
      <c r="CJ374" s="18"/>
      <c r="CK374" s="19"/>
      <c r="CL374" s="17"/>
    </row>
    <row r="375" spans="1:95">
      <c r="A375" s="223">
        <v>45661</v>
      </c>
      <c r="B375" s="16" t="s">
        <v>307</v>
      </c>
      <c r="C375" s="17"/>
      <c r="D375" s="18"/>
      <c r="E375" s="19"/>
      <c r="F375" s="17"/>
      <c r="G375" s="18"/>
      <c r="H375" s="19"/>
      <c r="I375" s="17"/>
      <c r="J375" s="18"/>
      <c r="K375" s="19"/>
      <c r="L375" s="18"/>
      <c r="M375" s="18"/>
      <c r="N375" s="18"/>
      <c r="O375" s="17"/>
      <c r="P375" s="18"/>
      <c r="Q375" s="19"/>
      <c r="R375" s="18"/>
      <c r="S375" s="18"/>
      <c r="T375" s="18"/>
      <c r="U375" s="17"/>
      <c r="V375" s="18"/>
      <c r="W375" s="19"/>
      <c r="X375" s="17"/>
      <c r="Y375" s="18"/>
      <c r="Z375" s="19"/>
      <c r="AA375" s="17"/>
      <c r="AB375" s="18"/>
      <c r="AC375" s="19"/>
      <c r="AD375" s="17"/>
      <c r="AE375" s="18"/>
      <c r="AF375" s="19"/>
      <c r="AG375" s="18"/>
      <c r="AH375" s="18"/>
      <c r="AI375" s="18"/>
      <c r="AJ375" s="20"/>
      <c r="AK375" s="21"/>
      <c r="AL375" s="22"/>
      <c r="AM375" s="18"/>
      <c r="AN375" s="18"/>
      <c r="AO375" s="18"/>
      <c r="AP375" s="17"/>
      <c r="AQ375" s="18"/>
      <c r="AR375" s="19"/>
      <c r="AS375" s="18"/>
      <c r="AT375" s="18"/>
      <c r="AU375" s="18"/>
      <c r="AV375" s="17"/>
      <c r="AW375" s="18"/>
      <c r="AX375" s="19"/>
      <c r="AY375" s="17"/>
      <c r="AZ375" s="18"/>
      <c r="BA375" s="19"/>
      <c r="BB375" s="17"/>
      <c r="BC375" s="23"/>
      <c r="BD375" s="24"/>
      <c r="BE375" s="18"/>
      <c r="BF375" s="23"/>
      <c r="BG375" s="23"/>
      <c r="BH375" s="17"/>
      <c r="BI375" s="18"/>
      <c r="BJ375" s="19"/>
      <c r="BK375" s="18"/>
      <c r="BL375" s="18"/>
      <c r="BM375" s="18"/>
      <c r="BN375" s="25"/>
      <c r="BO375" s="23"/>
      <c r="BP375" s="24"/>
      <c r="BQ375" s="18"/>
      <c r="BR375" s="18"/>
      <c r="BS375" s="18"/>
      <c r="BT375" s="17"/>
      <c r="BU375" s="18"/>
      <c r="BV375" s="19"/>
      <c r="BW375" s="17"/>
      <c r="BX375" s="23"/>
      <c r="BY375" s="24"/>
      <c r="BZ375" s="17"/>
      <c r="CA375" s="18"/>
      <c r="CB375" s="19"/>
      <c r="CC375" s="17"/>
      <c r="CD375" s="18"/>
      <c r="CE375" s="19"/>
      <c r="CF375" s="17"/>
      <c r="CG375" s="18"/>
      <c r="CH375" s="19"/>
      <c r="CI375" s="17"/>
      <c r="CJ375" s="18"/>
      <c r="CK375" s="19"/>
      <c r="CL375" s="17"/>
    </row>
    <row r="376" spans="1:95">
      <c r="A376" s="223">
        <v>45662</v>
      </c>
      <c r="B376" s="16" t="s">
        <v>308</v>
      </c>
      <c r="C376" s="17"/>
      <c r="D376" s="18"/>
      <c r="E376" s="19"/>
      <c r="F376" s="17"/>
      <c r="G376" s="18"/>
      <c r="H376" s="19"/>
      <c r="I376" s="17"/>
      <c r="J376" s="18"/>
      <c r="K376" s="19"/>
      <c r="L376" s="18"/>
      <c r="M376" s="18"/>
      <c r="N376" s="18"/>
      <c r="O376" s="17"/>
      <c r="P376" s="18"/>
      <c r="Q376" s="19"/>
      <c r="R376" s="18"/>
      <c r="S376" s="18"/>
      <c r="T376" s="18"/>
      <c r="U376" s="17"/>
      <c r="V376" s="18"/>
      <c r="W376" s="19"/>
      <c r="X376" s="17"/>
      <c r="Y376" s="18"/>
      <c r="Z376" s="19"/>
      <c r="AA376" s="17"/>
      <c r="AB376" s="18"/>
      <c r="AC376" s="19"/>
      <c r="AD376" s="17"/>
      <c r="AE376" s="18"/>
      <c r="AF376" s="19"/>
      <c r="AG376" s="18"/>
      <c r="AH376" s="18"/>
      <c r="AI376" s="18"/>
      <c r="AJ376" s="20"/>
      <c r="AK376" s="21"/>
      <c r="AL376" s="22"/>
      <c r="AM376" s="18"/>
      <c r="AN376" s="18"/>
      <c r="AO376" s="18"/>
      <c r="AP376" s="17"/>
      <c r="AQ376" s="18"/>
      <c r="AR376" s="19"/>
      <c r="AS376" s="18"/>
      <c r="AT376" s="18"/>
      <c r="AU376" s="18"/>
      <c r="AV376" s="17"/>
      <c r="AW376" s="18"/>
      <c r="AX376" s="19"/>
      <c r="AY376" s="17"/>
      <c r="AZ376" s="18"/>
      <c r="BA376" s="19"/>
      <c r="BB376" s="17"/>
      <c r="BC376" s="23"/>
      <c r="BD376" s="24"/>
      <c r="BE376" s="18"/>
      <c r="BF376" s="23"/>
      <c r="BG376" s="23"/>
      <c r="BH376" s="17"/>
      <c r="BI376" s="18"/>
      <c r="BJ376" s="19"/>
      <c r="BK376" s="18"/>
      <c r="BL376" s="18"/>
      <c r="BM376" s="18"/>
      <c r="BN376" s="25"/>
      <c r="BO376" s="23"/>
      <c r="BP376" s="24"/>
      <c r="BQ376" s="18"/>
      <c r="BR376" s="18"/>
      <c r="BS376" s="18"/>
      <c r="BT376" s="17"/>
      <c r="BU376" s="18"/>
      <c r="BV376" s="19"/>
      <c r="BW376" s="17"/>
      <c r="BX376" s="23"/>
      <c r="BY376" s="24"/>
      <c r="BZ376" s="17"/>
      <c r="CA376" s="18"/>
      <c r="CB376" s="19"/>
      <c r="CC376" s="17"/>
      <c r="CD376" s="18"/>
      <c r="CE376" s="19"/>
      <c r="CF376" s="17"/>
      <c r="CG376" s="18"/>
      <c r="CH376" s="19"/>
      <c r="CI376" s="17"/>
      <c r="CJ376" s="18"/>
      <c r="CK376" s="19"/>
      <c r="CL376" s="17"/>
    </row>
    <row r="377" spans="1:95">
      <c r="A377" s="223">
        <v>45663</v>
      </c>
      <c r="B377" s="16" t="s">
        <v>96</v>
      </c>
      <c r="C377" s="17">
        <v>158.72999999999999</v>
      </c>
      <c r="D377" s="18">
        <v>156.72999999999999</v>
      </c>
      <c r="E377" s="19">
        <v>157.72999999999999</v>
      </c>
      <c r="F377" s="17">
        <v>163.96</v>
      </c>
      <c r="G377" s="18">
        <v>160.96</v>
      </c>
      <c r="H377" s="19">
        <v>162.46</v>
      </c>
      <c r="I377" s="17">
        <v>110.88</v>
      </c>
      <c r="J377" s="18">
        <v>107.67999999999999</v>
      </c>
      <c r="K377" s="19">
        <v>109.28</v>
      </c>
      <c r="L377" s="18">
        <v>200.03</v>
      </c>
      <c r="M377" s="18">
        <v>192.03</v>
      </c>
      <c r="N377" s="18">
        <v>196.03</v>
      </c>
      <c r="O377" s="17">
        <v>174.21</v>
      </c>
      <c r="P377" s="18">
        <v>172.41</v>
      </c>
      <c r="Q377" s="19">
        <v>173.31</v>
      </c>
      <c r="R377" s="18">
        <v>22.08</v>
      </c>
      <c r="S377" s="18">
        <v>21.479999999999997</v>
      </c>
      <c r="T377" s="18">
        <v>21.779999999999998</v>
      </c>
      <c r="U377" s="17">
        <v>14.2</v>
      </c>
      <c r="V377" s="18">
        <v>13.6</v>
      </c>
      <c r="W377" s="19">
        <v>13.899999999999999</v>
      </c>
      <c r="X377" s="17">
        <v>14.57</v>
      </c>
      <c r="Y377" s="18">
        <v>13.77</v>
      </c>
      <c r="Z377" s="19">
        <v>14.17</v>
      </c>
      <c r="AA377" s="17">
        <v>100.27</v>
      </c>
      <c r="AB377" s="18">
        <v>96.27</v>
      </c>
      <c r="AC377" s="19">
        <v>98.27</v>
      </c>
      <c r="AD377" s="17">
        <v>90.72</v>
      </c>
      <c r="AE377" s="18">
        <v>86.72</v>
      </c>
      <c r="AF377" s="19">
        <v>88.72</v>
      </c>
      <c r="AG377" s="18">
        <v>20.71</v>
      </c>
      <c r="AH377" s="18">
        <v>19.850000000000001</v>
      </c>
      <c r="AI377" s="18">
        <v>20.28</v>
      </c>
      <c r="AJ377" s="20"/>
      <c r="AK377" s="21"/>
      <c r="AL377" s="22"/>
      <c r="AM377" s="18">
        <v>115.91</v>
      </c>
      <c r="AN377" s="18">
        <v>114.25</v>
      </c>
      <c r="AO377" s="18">
        <v>115.08</v>
      </c>
      <c r="AP377" s="17">
        <v>42.87</v>
      </c>
      <c r="AQ377" s="18">
        <v>41.269999999999996</v>
      </c>
      <c r="AR377" s="19">
        <v>42.069999999999993</v>
      </c>
      <c r="AS377" s="18">
        <v>43.69</v>
      </c>
      <c r="AT377" s="18">
        <v>42.33</v>
      </c>
      <c r="AU377" s="18">
        <v>43.01</v>
      </c>
      <c r="AV377" s="17">
        <v>21.73</v>
      </c>
      <c r="AW377" s="18">
        <v>21.13</v>
      </c>
      <c r="AX377" s="19">
        <v>21.43</v>
      </c>
      <c r="AY377" s="17">
        <v>4.6399999999999997</v>
      </c>
      <c r="AZ377" s="18">
        <v>4.4799999999999995</v>
      </c>
      <c r="BA377" s="19">
        <v>4.5599999999999996</v>
      </c>
      <c r="BB377" s="17">
        <v>2</v>
      </c>
      <c r="BC377" s="23">
        <v>1.7</v>
      </c>
      <c r="BD377" s="24">
        <v>1.85</v>
      </c>
      <c r="BE377" s="18">
        <v>0.72</v>
      </c>
      <c r="BF377" s="23">
        <v>0.42</v>
      </c>
      <c r="BG377" s="23">
        <v>0.56999999999999995</v>
      </c>
      <c r="BH377" s="17">
        <v>520.11</v>
      </c>
      <c r="BI377" s="18">
        <v>504.11</v>
      </c>
      <c r="BJ377" s="19">
        <v>512.11</v>
      </c>
      <c r="BK377" s="18">
        <v>44.02</v>
      </c>
      <c r="BL377" s="18">
        <v>42.660000000000004</v>
      </c>
      <c r="BM377" s="18">
        <v>43.34</v>
      </c>
      <c r="BN377" s="25">
        <v>1.1000000000000001</v>
      </c>
      <c r="BO377" s="23">
        <v>0.8600000000000001</v>
      </c>
      <c r="BP377" s="24">
        <v>0.98000000000000009</v>
      </c>
      <c r="BQ377" s="18">
        <v>8.65</v>
      </c>
      <c r="BR377" s="18">
        <v>6.65</v>
      </c>
      <c r="BS377" s="18">
        <v>7.65</v>
      </c>
      <c r="BT377" s="17">
        <v>10.92</v>
      </c>
      <c r="BU377" s="18">
        <v>10.52</v>
      </c>
      <c r="BV377" s="19">
        <v>10.719999999999999</v>
      </c>
      <c r="BW377" s="17">
        <v>2.87</v>
      </c>
      <c r="BX377" s="23">
        <v>2.59</v>
      </c>
      <c r="BY377" s="24">
        <v>2.73</v>
      </c>
      <c r="BZ377" s="17">
        <v>9.91</v>
      </c>
      <c r="CA377" s="18">
        <v>6.91</v>
      </c>
      <c r="CB377" s="19">
        <v>8.41</v>
      </c>
      <c r="CC377" s="17">
        <v>6.59</v>
      </c>
      <c r="CD377" s="18">
        <v>6.35</v>
      </c>
      <c r="CE377" s="19">
        <v>6.47</v>
      </c>
      <c r="CF377" s="17">
        <v>1.68</v>
      </c>
      <c r="CG377" s="18">
        <v>1.18</v>
      </c>
      <c r="CH377" s="19">
        <v>1.43</v>
      </c>
      <c r="CI377" s="17">
        <v>0.41</v>
      </c>
      <c r="CJ377" s="18">
        <v>0.37</v>
      </c>
      <c r="CK377" s="19">
        <v>0.39</v>
      </c>
      <c r="CL377" s="17">
        <v>39.26</v>
      </c>
      <c r="CM377">
        <v>36.86</v>
      </c>
      <c r="CN377">
        <v>38.06</v>
      </c>
      <c r="CO377">
        <v>6.97</v>
      </c>
      <c r="CP377">
        <v>1.9699999999999998</v>
      </c>
      <c r="CQ377">
        <v>4.47</v>
      </c>
    </row>
    <row r="378" spans="1:95">
      <c r="A378" s="223">
        <v>45664</v>
      </c>
      <c r="B378" s="16" t="s">
        <v>97</v>
      </c>
      <c r="C378" s="17">
        <v>159.22</v>
      </c>
      <c r="D378" s="18">
        <v>157.22</v>
      </c>
      <c r="E378" s="19">
        <v>158.22</v>
      </c>
      <c r="F378" s="17">
        <v>165.8</v>
      </c>
      <c r="G378" s="18">
        <v>162.80000000000001</v>
      </c>
      <c r="H378" s="19">
        <v>164.3</v>
      </c>
      <c r="I378" s="17">
        <v>111.94</v>
      </c>
      <c r="J378" s="18">
        <v>108.74</v>
      </c>
      <c r="K378" s="19">
        <v>110.34</v>
      </c>
      <c r="L378" s="18">
        <v>202</v>
      </c>
      <c r="M378" s="18">
        <v>194</v>
      </c>
      <c r="N378" s="18">
        <v>198</v>
      </c>
      <c r="O378" s="17">
        <v>175.63</v>
      </c>
      <c r="P378" s="18">
        <v>173.82999999999998</v>
      </c>
      <c r="Q378" s="19">
        <v>174.73</v>
      </c>
      <c r="R378" s="18">
        <v>22.33</v>
      </c>
      <c r="S378" s="18">
        <v>21.729999999999997</v>
      </c>
      <c r="T378" s="18">
        <v>22.029999999999998</v>
      </c>
      <c r="U378" s="17">
        <v>14.31</v>
      </c>
      <c r="V378" s="18">
        <v>13.71</v>
      </c>
      <c r="W378" s="19">
        <v>14.010000000000002</v>
      </c>
      <c r="X378" s="17">
        <v>14.72</v>
      </c>
      <c r="Y378" s="18">
        <v>13.92</v>
      </c>
      <c r="Z378" s="19">
        <v>14.32</v>
      </c>
      <c r="AA378" s="17">
        <v>100.86</v>
      </c>
      <c r="AB378" s="18">
        <v>96.86</v>
      </c>
      <c r="AC378" s="19">
        <v>98.86</v>
      </c>
      <c r="AD378" s="17">
        <v>91.3</v>
      </c>
      <c r="AE378" s="18">
        <v>87.3</v>
      </c>
      <c r="AF378" s="19">
        <v>89.3</v>
      </c>
      <c r="AG378" s="18">
        <v>20.78</v>
      </c>
      <c r="AH378" s="18">
        <v>19.920000000000002</v>
      </c>
      <c r="AI378" s="18">
        <v>20.350000000000001</v>
      </c>
      <c r="AJ378" s="20"/>
      <c r="AK378" s="21"/>
      <c r="AL378" s="22"/>
      <c r="AM378" s="18">
        <v>116.84</v>
      </c>
      <c r="AN378" s="18">
        <v>115.18</v>
      </c>
      <c r="AO378" s="18">
        <v>116.01</v>
      </c>
      <c r="AP378" s="17">
        <v>43</v>
      </c>
      <c r="AQ378" s="18">
        <v>41.4</v>
      </c>
      <c r="AR378" s="19">
        <v>42.2</v>
      </c>
      <c r="AS378" s="18">
        <v>43.83</v>
      </c>
      <c r="AT378" s="18">
        <v>42.47</v>
      </c>
      <c r="AU378" s="18">
        <v>43.15</v>
      </c>
      <c r="AV378" s="17">
        <v>21.85</v>
      </c>
      <c r="AW378" s="18">
        <v>21.25</v>
      </c>
      <c r="AX378" s="19">
        <v>21.55</v>
      </c>
      <c r="AY378" s="17">
        <v>4.6500000000000004</v>
      </c>
      <c r="AZ378" s="18">
        <v>4.49</v>
      </c>
      <c r="BA378" s="19">
        <v>4.57</v>
      </c>
      <c r="BB378" s="17">
        <v>2</v>
      </c>
      <c r="BC378" s="23">
        <v>1.7</v>
      </c>
      <c r="BD378" s="24">
        <v>1.85</v>
      </c>
      <c r="BE378" s="18">
        <v>0.72</v>
      </c>
      <c r="BF378" s="23">
        <v>0.42</v>
      </c>
      <c r="BG378" s="23">
        <v>0.56999999999999995</v>
      </c>
      <c r="BH378" s="17">
        <v>521.87</v>
      </c>
      <c r="BI378" s="18">
        <v>505.87</v>
      </c>
      <c r="BJ378" s="19">
        <v>513.87</v>
      </c>
      <c r="BK378" s="18">
        <v>44.16</v>
      </c>
      <c r="BL378" s="18">
        <v>42.8</v>
      </c>
      <c r="BM378" s="18">
        <v>43.48</v>
      </c>
      <c r="BN378" s="25">
        <v>1.1000000000000001</v>
      </c>
      <c r="BO378" s="23">
        <v>0.8600000000000001</v>
      </c>
      <c r="BP378" s="24">
        <v>0.98000000000000009</v>
      </c>
      <c r="BQ378" s="18">
        <v>8.7799999999999994</v>
      </c>
      <c r="BR378" s="18">
        <v>6.7799999999999994</v>
      </c>
      <c r="BS378" s="18">
        <v>7.7799999999999994</v>
      </c>
      <c r="BT378" s="17">
        <v>11.05</v>
      </c>
      <c r="BU378" s="18">
        <v>10.65</v>
      </c>
      <c r="BV378" s="19">
        <v>10.850000000000001</v>
      </c>
      <c r="BW378" s="17">
        <v>2.87</v>
      </c>
      <c r="BX378" s="23">
        <v>2.59</v>
      </c>
      <c r="BY378" s="24">
        <v>2.73</v>
      </c>
      <c r="BZ378" s="17">
        <v>10.02</v>
      </c>
      <c r="CA378" s="18">
        <v>7.02</v>
      </c>
      <c r="CB378" s="19">
        <v>8.52</v>
      </c>
      <c r="CC378" s="17">
        <v>6.66</v>
      </c>
      <c r="CD378" s="18">
        <v>6.42</v>
      </c>
      <c r="CE378" s="19">
        <v>6.54</v>
      </c>
      <c r="CF378" s="17">
        <v>1.72</v>
      </c>
      <c r="CG378" s="18">
        <v>1.22</v>
      </c>
      <c r="CH378" s="19">
        <v>1.47</v>
      </c>
      <c r="CI378" s="17">
        <v>0.42</v>
      </c>
      <c r="CJ378" s="18">
        <v>0.38</v>
      </c>
      <c r="CK378" s="19">
        <v>0.4</v>
      </c>
      <c r="CL378" s="17">
        <v>39.86</v>
      </c>
      <c r="CM378">
        <v>37.46</v>
      </c>
      <c r="CN378">
        <v>38.659999999999997</v>
      </c>
      <c r="CO378">
        <v>6.99</v>
      </c>
      <c r="CP378">
        <v>1.9900000000000002</v>
      </c>
      <c r="CQ378">
        <v>4.49</v>
      </c>
    </row>
    <row r="379" spans="1:95">
      <c r="A379" s="223">
        <v>45665</v>
      </c>
      <c r="B379" s="16" t="s">
        <v>98</v>
      </c>
      <c r="C379" s="17">
        <v>159.09</v>
      </c>
      <c r="D379" s="18">
        <v>157.09</v>
      </c>
      <c r="E379" s="19">
        <v>158.09</v>
      </c>
      <c r="F379" s="17">
        <v>165.04</v>
      </c>
      <c r="G379" s="18">
        <v>162.04</v>
      </c>
      <c r="H379" s="19">
        <v>163.54</v>
      </c>
      <c r="I379" s="17">
        <v>111.67</v>
      </c>
      <c r="J379" s="18">
        <v>108.47</v>
      </c>
      <c r="K379" s="19">
        <v>110.07</v>
      </c>
      <c r="L379" s="18">
        <v>201.3</v>
      </c>
      <c r="M379" s="18">
        <v>193.3</v>
      </c>
      <c r="N379" s="18">
        <v>197.3</v>
      </c>
      <c r="O379" s="17">
        <v>174.72</v>
      </c>
      <c r="P379" s="18">
        <v>172.92</v>
      </c>
      <c r="Q379" s="19">
        <v>173.82</v>
      </c>
      <c r="R379" s="18">
        <v>22.22</v>
      </c>
      <c r="S379" s="18">
        <v>21.619999999999997</v>
      </c>
      <c r="T379" s="18">
        <v>21.919999999999998</v>
      </c>
      <c r="U379" s="17">
        <v>14.24</v>
      </c>
      <c r="V379" s="18">
        <v>13.64</v>
      </c>
      <c r="W379" s="19">
        <v>13.940000000000001</v>
      </c>
      <c r="X379" s="17">
        <v>14.6</v>
      </c>
      <c r="Y379" s="18">
        <v>13.799999999999999</v>
      </c>
      <c r="Z379" s="19">
        <v>14.2</v>
      </c>
      <c r="AA379" s="17">
        <v>100.38</v>
      </c>
      <c r="AB379" s="18">
        <v>96.38</v>
      </c>
      <c r="AC379" s="19">
        <v>98.38</v>
      </c>
      <c r="AD379" s="17">
        <v>90.99</v>
      </c>
      <c r="AE379" s="18">
        <v>86.99</v>
      </c>
      <c r="AF379" s="19">
        <v>88.99</v>
      </c>
      <c r="AG379" s="18">
        <v>20.76</v>
      </c>
      <c r="AH379" s="18">
        <v>19.900000000000002</v>
      </c>
      <c r="AI379" s="18">
        <v>20.330000000000002</v>
      </c>
      <c r="AJ379" s="20"/>
      <c r="AK379" s="21"/>
      <c r="AL379" s="22"/>
      <c r="AM379" s="18">
        <v>116.65</v>
      </c>
      <c r="AN379" s="18">
        <v>114.99000000000001</v>
      </c>
      <c r="AO379" s="18">
        <v>115.82000000000001</v>
      </c>
      <c r="AP379" s="17">
        <v>42.97</v>
      </c>
      <c r="AQ379" s="18">
        <v>41.37</v>
      </c>
      <c r="AR379" s="19">
        <v>42.17</v>
      </c>
      <c r="AS379" s="18">
        <v>43.79</v>
      </c>
      <c r="AT379" s="18">
        <v>42.43</v>
      </c>
      <c r="AU379" s="18">
        <v>43.11</v>
      </c>
      <c r="AV379" s="17">
        <v>21.83</v>
      </c>
      <c r="AW379" s="18">
        <v>21.229999999999997</v>
      </c>
      <c r="AX379" s="19">
        <v>21.529999999999998</v>
      </c>
      <c r="AY379" s="17">
        <v>4.6500000000000004</v>
      </c>
      <c r="AZ379" s="18">
        <v>4.49</v>
      </c>
      <c r="BA379" s="19">
        <v>4.57</v>
      </c>
      <c r="BB379" s="17">
        <v>2</v>
      </c>
      <c r="BC379" s="23">
        <v>1.7</v>
      </c>
      <c r="BD379" s="24">
        <v>1.85</v>
      </c>
      <c r="BE379" s="18">
        <v>0.72</v>
      </c>
      <c r="BF379" s="23">
        <v>0.42</v>
      </c>
      <c r="BG379" s="23">
        <v>0.56999999999999995</v>
      </c>
      <c r="BH379" s="17">
        <v>521.61</v>
      </c>
      <c r="BI379" s="18">
        <v>505.61</v>
      </c>
      <c r="BJ379" s="19">
        <v>513.61</v>
      </c>
      <c r="BK379" s="18">
        <v>44.12</v>
      </c>
      <c r="BL379" s="18">
        <v>42.76</v>
      </c>
      <c r="BM379" s="18">
        <v>43.44</v>
      </c>
      <c r="BN379" s="25">
        <v>1.1000000000000001</v>
      </c>
      <c r="BO379" s="23">
        <v>0.8600000000000001</v>
      </c>
      <c r="BP379" s="24">
        <v>0.98000000000000009</v>
      </c>
      <c r="BQ379" s="18">
        <v>8.7799999999999994</v>
      </c>
      <c r="BR379" s="18">
        <v>6.7799999999999994</v>
      </c>
      <c r="BS379" s="18">
        <v>7.7799999999999994</v>
      </c>
      <c r="BT379" s="17">
        <v>11.07</v>
      </c>
      <c r="BU379" s="18">
        <v>10.67</v>
      </c>
      <c r="BV379" s="19">
        <v>10.870000000000001</v>
      </c>
      <c r="BW379" s="17">
        <v>2.88</v>
      </c>
      <c r="BX379" s="23">
        <v>2.5999999999999996</v>
      </c>
      <c r="BY379" s="24">
        <v>2.7399999999999998</v>
      </c>
      <c r="BZ379" s="17">
        <v>9.94</v>
      </c>
      <c r="CA379" s="18">
        <v>6.9399999999999995</v>
      </c>
      <c r="CB379" s="19">
        <v>8.44</v>
      </c>
      <c r="CC379" s="17">
        <v>6.63</v>
      </c>
      <c r="CD379" s="18">
        <v>6.39</v>
      </c>
      <c r="CE379" s="19">
        <v>6.51</v>
      </c>
      <c r="CF379" s="17">
        <v>1.72</v>
      </c>
      <c r="CG379" s="18">
        <v>1.22</v>
      </c>
      <c r="CH379" s="19">
        <v>1.47</v>
      </c>
      <c r="CI379" s="17">
        <v>0.41</v>
      </c>
      <c r="CJ379" s="18">
        <v>0.37</v>
      </c>
      <c r="CK379" s="19">
        <v>0.39</v>
      </c>
      <c r="CL379" s="17">
        <v>39.549999999999997</v>
      </c>
      <c r="CM379">
        <v>37.15</v>
      </c>
      <c r="CN379">
        <v>38.349999999999994</v>
      </c>
      <c r="CO379">
        <v>6.98</v>
      </c>
      <c r="CP379">
        <v>1.9800000000000004</v>
      </c>
      <c r="CQ379">
        <v>4.4800000000000004</v>
      </c>
    </row>
    <row r="380" spans="1:95">
      <c r="A380" s="223">
        <v>45666</v>
      </c>
      <c r="B380" s="16" t="s">
        <v>99</v>
      </c>
      <c r="C380" s="17">
        <v>159.43</v>
      </c>
      <c r="D380" s="18">
        <v>157.43</v>
      </c>
      <c r="E380" s="19">
        <v>158.43</v>
      </c>
      <c r="F380" s="17">
        <v>164.78</v>
      </c>
      <c r="G380" s="18">
        <v>161.78</v>
      </c>
      <c r="H380" s="19">
        <v>163.28</v>
      </c>
      <c r="I380" s="17">
        <v>111.77</v>
      </c>
      <c r="J380" s="18">
        <v>108.57</v>
      </c>
      <c r="K380" s="19">
        <v>110.16999999999999</v>
      </c>
      <c r="L380" s="18">
        <v>199.72</v>
      </c>
      <c r="M380" s="18">
        <v>191.72</v>
      </c>
      <c r="N380" s="18">
        <v>195.72</v>
      </c>
      <c r="O380" s="17">
        <v>174.75</v>
      </c>
      <c r="P380" s="18">
        <v>172.95</v>
      </c>
      <c r="Q380" s="19">
        <v>173.85</v>
      </c>
      <c r="R380" s="18">
        <v>22.18</v>
      </c>
      <c r="S380" s="18">
        <v>21.58</v>
      </c>
      <c r="T380" s="18">
        <v>21.88</v>
      </c>
      <c r="U380" s="17">
        <v>14.16</v>
      </c>
      <c r="V380" s="18">
        <v>13.56</v>
      </c>
      <c r="W380" s="19">
        <v>13.86</v>
      </c>
      <c r="X380" s="17">
        <v>14.58</v>
      </c>
      <c r="Y380" s="18">
        <v>13.78</v>
      </c>
      <c r="Z380" s="19">
        <v>14.18</v>
      </c>
      <c r="AA380" s="17">
        <v>100.24</v>
      </c>
      <c r="AB380" s="18">
        <v>96.24</v>
      </c>
      <c r="AC380" s="19">
        <v>98.24</v>
      </c>
      <c r="AD380" s="17">
        <v>90.66</v>
      </c>
      <c r="AE380" s="18">
        <v>86.66</v>
      </c>
      <c r="AF380" s="19">
        <v>88.66</v>
      </c>
      <c r="AG380" s="18">
        <v>20.8</v>
      </c>
      <c r="AH380" s="18">
        <v>19.940000000000001</v>
      </c>
      <c r="AI380" s="18">
        <v>20.37</v>
      </c>
      <c r="AJ380" s="20"/>
      <c r="AK380" s="21"/>
      <c r="AL380" s="22"/>
      <c r="AM380" s="18">
        <v>116.54</v>
      </c>
      <c r="AN380" s="18">
        <v>114.88000000000001</v>
      </c>
      <c r="AO380" s="18">
        <v>115.71000000000001</v>
      </c>
      <c r="AP380" s="17">
        <v>43.07</v>
      </c>
      <c r="AQ380" s="18">
        <v>41.47</v>
      </c>
      <c r="AR380" s="19">
        <v>42.269999999999996</v>
      </c>
      <c r="AS380" s="18">
        <v>43.88</v>
      </c>
      <c r="AT380" s="18">
        <v>42.52</v>
      </c>
      <c r="AU380" s="18">
        <v>43.2</v>
      </c>
      <c r="AV380" s="17">
        <v>21.84</v>
      </c>
      <c r="AW380" s="18">
        <v>21.24</v>
      </c>
      <c r="AX380" s="19">
        <v>21.54</v>
      </c>
      <c r="AY380" s="17">
        <v>4.66</v>
      </c>
      <c r="AZ380" s="18">
        <v>4.5</v>
      </c>
      <c r="BA380" s="19">
        <v>4.58</v>
      </c>
      <c r="BB380" s="17">
        <v>2</v>
      </c>
      <c r="BC380" s="23">
        <v>1.7</v>
      </c>
      <c r="BD380" s="24">
        <v>1.85</v>
      </c>
      <c r="BE380" s="18">
        <v>0.72</v>
      </c>
      <c r="BF380" s="23">
        <v>0.42</v>
      </c>
      <c r="BG380" s="23">
        <v>0.56999999999999995</v>
      </c>
      <c r="BH380" s="17">
        <v>522.88</v>
      </c>
      <c r="BI380" s="18">
        <v>506.88</v>
      </c>
      <c r="BJ380" s="19">
        <v>514.88</v>
      </c>
      <c r="BK380" s="18">
        <v>44.22</v>
      </c>
      <c r="BL380" s="18">
        <v>42.86</v>
      </c>
      <c r="BM380" s="18">
        <v>43.54</v>
      </c>
      <c r="BN380" s="25">
        <v>1.1000000000000001</v>
      </c>
      <c r="BO380" s="23">
        <v>0.8600000000000001</v>
      </c>
      <c r="BP380" s="24">
        <v>0.98000000000000009</v>
      </c>
      <c r="BQ380" s="18">
        <v>8.76</v>
      </c>
      <c r="BR380" s="18">
        <v>6.76</v>
      </c>
      <c r="BS380" s="18">
        <v>7.76</v>
      </c>
      <c r="BT380" s="17">
        <v>11.07</v>
      </c>
      <c r="BU380" s="18">
        <v>10.67</v>
      </c>
      <c r="BV380" s="19">
        <v>10.870000000000001</v>
      </c>
      <c r="BW380" s="17">
        <v>2.87</v>
      </c>
      <c r="BX380" s="23">
        <v>2.59</v>
      </c>
      <c r="BY380" s="24">
        <v>2.73</v>
      </c>
      <c r="BZ380" s="17">
        <v>9.8699999999999992</v>
      </c>
      <c r="CA380" s="18">
        <v>6.8699999999999992</v>
      </c>
      <c r="CB380" s="19">
        <v>8.3699999999999992</v>
      </c>
      <c r="CC380" s="17">
        <v>6.62</v>
      </c>
      <c r="CD380" s="18">
        <v>6.38</v>
      </c>
      <c r="CE380" s="19">
        <v>6.5</v>
      </c>
      <c r="CF380" s="17">
        <v>1.77</v>
      </c>
      <c r="CG380" s="18">
        <v>1.27</v>
      </c>
      <c r="CH380" s="19">
        <v>1.52</v>
      </c>
      <c r="CI380" s="17">
        <v>0.41</v>
      </c>
      <c r="CJ380" s="18">
        <v>0.37</v>
      </c>
      <c r="CK380" s="19">
        <v>0.39</v>
      </c>
      <c r="CL380" s="17">
        <v>39.369999999999997</v>
      </c>
      <c r="CM380">
        <v>36.97</v>
      </c>
      <c r="CN380">
        <v>38.17</v>
      </c>
      <c r="CO380">
        <v>6.99</v>
      </c>
      <c r="CP380">
        <v>1.9900000000000002</v>
      </c>
      <c r="CQ380">
        <v>4.49</v>
      </c>
    </row>
    <row r="381" spans="1:95">
      <c r="A381" s="223">
        <v>45667</v>
      </c>
      <c r="B381" s="16" t="s">
        <v>100</v>
      </c>
      <c r="C381" s="17">
        <v>159.18</v>
      </c>
      <c r="D381" s="18">
        <v>157.18</v>
      </c>
      <c r="E381" s="19">
        <v>158.18</v>
      </c>
      <c r="F381" s="17">
        <v>164.35</v>
      </c>
      <c r="G381" s="18">
        <v>161.35</v>
      </c>
      <c r="H381" s="19">
        <v>162.85</v>
      </c>
      <c r="I381" s="17">
        <v>111.45</v>
      </c>
      <c r="J381" s="18">
        <v>108.25</v>
      </c>
      <c r="K381" s="19">
        <v>109.85</v>
      </c>
      <c r="L381" s="18">
        <v>198.58</v>
      </c>
      <c r="M381" s="18">
        <v>190.58</v>
      </c>
      <c r="N381" s="18">
        <v>194.58</v>
      </c>
      <c r="O381" s="17">
        <v>174.27</v>
      </c>
      <c r="P381" s="18">
        <v>172.47</v>
      </c>
      <c r="Q381" s="19">
        <v>173.37</v>
      </c>
      <c r="R381" s="18">
        <v>22.13</v>
      </c>
      <c r="S381" s="18">
        <v>21.529999999999998</v>
      </c>
      <c r="T381" s="18">
        <v>21.83</v>
      </c>
      <c r="U381" s="17">
        <v>14.18</v>
      </c>
      <c r="V381" s="18">
        <v>13.58</v>
      </c>
      <c r="W381" s="19">
        <v>13.879999999999999</v>
      </c>
      <c r="X381" s="17">
        <v>14.57</v>
      </c>
      <c r="Y381" s="18">
        <v>13.77</v>
      </c>
      <c r="Z381" s="19">
        <v>14.17</v>
      </c>
      <c r="AA381" s="17">
        <v>99.93</v>
      </c>
      <c r="AB381" s="18">
        <v>95.93</v>
      </c>
      <c r="AC381" s="19">
        <v>97.93</v>
      </c>
      <c r="AD381" s="17">
        <v>90.49</v>
      </c>
      <c r="AE381" s="18">
        <v>86.49</v>
      </c>
      <c r="AF381" s="19">
        <v>88.49</v>
      </c>
      <c r="AG381" s="18">
        <v>20.76</v>
      </c>
      <c r="AH381" s="18">
        <v>19.900000000000002</v>
      </c>
      <c r="AI381" s="18">
        <v>20.330000000000002</v>
      </c>
      <c r="AJ381" s="20"/>
      <c r="AK381" s="21"/>
      <c r="AL381" s="22"/>
      <c r="AM381" s="18">
        <v>116.39</v>
      </c>
      <c r="AN381" s="18">
        <v>114.73</v>
      </c>
      <c r="AO381" s="18">
        <v>115.56</v>
      </c>
      <c r="AP381" s="17">
        <v>43</v>
      </c>
      <c r="AQ381" s="18">
        <v>41.4</v>
      </c>
      <c r="AR381" s="19">
        <v>42.2</v>
      </c>
      <c r="AS381" s="18">
        <v>43.82</v>
      </c>
      <c r="AT381" s="18">
        <v>42.46</v>
      </c>
      <c r="AU381" s="18">
        <v>43.14</v>
      </c>
      <c r="AV381" s="17">
        <v>21.82</v>
      </c>
      <c r="AW381" s="18">
        <v>21.22</v>
      </c>
      <c r="AX381" s="19">
        <v>21.52</v>
      </c>
      <c r="AY381" s="17">
        <v>4.66</v>
      </c>
      <c r="AZ381" s="18">
        <v>4.5</v>
      </c>
      <c r="BA381" s="19">
        <v>4.58</v>
      </c>
      <c r="BB381" s="17">
        <v>2</v>
      </c>
      <c r="BC381" s="23">
        <v>1.7</v>
      </c>
      <c r="BD381" s="24">
        <v>1.85</v>
      </c>
      <c r="BE381" s="18">
        <v>0.72</v>
      </c>
      <c r="BF381" s="23">
        <v>0.42</v>
      </c>
      <c r="BG381" s="23">
        <v>0.56999999999999995</v>
      </c>
      <c r="BH381" s="17">
        <v>522.24</v>
      </c>
      <c r="BI381" s="18">
        <v>506.24</v>
      </c>
      <c r="BJ381" s="19">
        <v>514.24</v>
      </c>
      <c r="BK381" s="18">
        <v>44.15</v>
      </c>
      <c r="BL381" s="18">
        <v>42.79</v>
      </c>
      <c r="BM381" s="18">
        <v>43.47</v>
      </c>
      <c r="BN381" s="25">
        <v>1.1000000000000001</v>
      </c>
      <c r="BO381" s="23">
        <v>0.8600000000000001</v>
      </c>
      <c r="BP381" s="24">
        <v>0.98000000000000009</v>
      </c>
      <c r="BQ381" s="18">
        <v>8.7200000000000006</v>
      </c>
      <c r="BR381" s="18">
        <v>6.7200000000000006</v>
      </c>
      <c r="BS381" s="18">
        <v>7.7200000000000006</v>
      </c>
      <c r="BT381" s="17">
        <v>11.07</v>
      </c>
      <c r="BU381" s="18">
        <v>10.67</v>
      </c>
      <c r="BV381" s="19">
        <v>10.870000000000001</v>
      </c>
      <c r="BW381" s="17">
        <v>2.86</v>
      </c>
      <c r="BX381" s="23">
        <v>2.58</v>
      </c>
      <c r="BY381" s="24">
        <v>2.7199999999999998</v>
      </c>
      <c r="BZ381" s="17">
        <v>9.85</v>
      </c>
      <c r="CA381" s="18">
        <v>6.85</v>
      </c>
      <c r="CB381" s="19">
        <v>8.35</v>
      </c>
      <c r="CC381" s="17">
        <v>6.62</v>
      </c>
      <c r="CD381" s="18">
        <v>6.38</v>
      </c>
      <c r="CE381" s="19">
        <v>6.5</v>
      </c>
      <c r="CF381" s="17">
        <v>1.8</v>
      </c>
      <c r="CG381" s="18">
        <v>1.3</v>
      </c>
      <c r="CH381" s="19">
        <v>1.55</v>
      </c>
      <c r="CI381" s="17">
        <v>0.41</v>
      </c>
      <c r="CJ381" s="18">
        <v>0.37</v>
      </c>
      <c r="CK381" s="19">
        <v>0.39</v>
      </c>
      <c r="CL381" s="17">
        <v>39.43</v>
      </c>
      <c r="CM381">
        <v>37.03</v>
      </c>
      <c r="CN381">
        <v>38.230000000000004</v>
      </c>
      <c r="CO381">
        <v>6.99</v>
      </c>
      <c r="CP381">
        <v>1.9900000000000002</v>
      </c>
      <c r="CQ381">
        <v>4.49</v>
      </c>
    </row>
    <row r="382" spans="1:95">
      <c r="A382" s="223">
        <v>45668</v>
      </c>
      <c r="B382" s="16" t="s">
        <v>307</v>
      </c>
      <c r="C382" s="17"/>
      <c r="D382" s="18"/>
      <c r="E382" s="19"/>
      <c r="F382" s="17"/>
      <c r="G382" s="18"/>
      <c r="H382" s="19"/>
      <c r="I382" s="17"/>
      <c r="J382" s="18"/>
      <c r="K382" s="19"/>
      <c r="L382" s="18"/>
      <c r="M382" s="18"/>
      <c r="N382" s="18"/>
      <c r="O382" s="17"/>
      <c r="P382" s="18"/>
      <c r="Q382" s="19"/>
      <c r="R382" s="18"/>
      <c r="S382" s="18"/>
      <c r="T382" s="18"/>
      <c r="U382" s="17"/>
      <c r="V382" s="18"/>
      <c r="W382" s="19"/>
      <c r="X382" s="17"/>
      <c r="Y382" s="18"/>
      <c r="Z382" s="19"/>
      <c r="AA382" s="17"/>
      <c r="AB382" s="18"/>
      <c r="AC382" s="19"/>
      <c r="AD382" s="17"/>
      <c r="AE382" s="18"/>
      <c r="AF382" s="19"/>
      <c r="AG382" s="18"/>
      <c r="AH382" s="18"/>
      <c r="AI382" s="18"/>
      <c r="AJ382" s="20"/>
      <c r="AK382" s="21"/>
      <c r="AL382" s="22"/>
      <c r="AM382" s="18"/>
      <c r="AN382" s="18"/>
      <c r="AO382" s="18"/>
      <c r="AP382" s="17"/>
      <c r="AQ382" s="18"/>
      <c r="AR382" s="19"/>
      <c r="AS382" s="18"/>
      <c r="AT382" s="18"/>
      <c r="AU382" s="18"/>
      <c r="AV382" s="17"/>
      <c r="AW382" s="18"/>
      <c r="AX382" s="19"/>
      <c r="AY382" s="17"/>
      <c r="AZ382" s="18"/>
      <c r="BA382" s="19"/>
      <c r="BB382" s="17"/>
      <c r="BC382" s="23"/>
      <c r="BD382" s="24"/>
      <c r="BE382" s="18"/>
      <c r="BF382" s="23"/>
      <c r="BG382" s="23"/>
      <c r="BH382" s="17"/>
      <c r="BI382" s="18"/>
      <c r="BJ382" s="19"/>
      <c r="BK382" s="18"/>
      <c r="BL382" s="18"/>
      <c r="BM382" s="18"/>
      <c r="BN382" s="25"/>
      <c r="BO382" s="23"/>
      <c r="BP382" s="24"/>
      <c r="BQ382" s="18"/>
      <c r="BR382" s="18"/>
      <c r="BS382" s="18"/>
      <c r="BT382" s="17"/>
      <c r="BU382" s="18"/>
      <c r="BV382" s="19"/>
      <c r="BW382" s="17"/>
      <c r="BX382" s="23"/>
      <c r="BY382" s="24"/>
      <c r="BZ382" s="17"/>
      <c r="CA382" s="18"/>
      <c r="CB382" s="19"/>
      <c r="CC382" s="17"/>
      <c r="CD382" s="18"/>
      <c r="CE382" s="19"/>
      <c r="CF382" s="17"/>
      <c r="CG382" s="18"/>
      <c r="CH382" s="19"/>
      <c r="CI382" s="17"/>
      <c r="CJ382" s="18"/>
      <c r="CK382" s="19"/>
      <c r="CL382" s="17"/>
    </row>
    <row r="383" spans="1:95">
      <c r="A383" s="223">
        <v>45669</v>
      </c>
      <c r="B383" s="16" t="s">
        <v>308</v>
      </c>
      <c r="C383" s="17"/>
      <c r="D383" s="18"/>
      <c r="E383" s="19"/>
      <c r="F383" s="17"/>
      <c r="G383" s="18"/>
      <c r="H383" s="19"/>
      <c r="I383" s="17"/>
      <c r="J383" s="18"/>
      <c r="K383" s="19"/>
      <c r="L383" s="18"/>
      <c r="M383" s="18"/>
      <c r="N383" s="18"/>
      <c r="O383" s="17"/>
      <c r="P383" s="18"/>
      <c r="Q383" s="19"/>
      <c r="R383" s="18"/>
      <c r="S383" s="18"/>
      <c r="T383" s="18"/>
      <c r="U383" s="17"/>
      <c r="V383" s="18"/>
      <c r="W383" s="19"/>
      <c r="X383" s="17"/>
      <c r="Y383" s="18"/>
      <c r="Z383" s="19"/>
      <c r="AA383" s="17"/>
      <c r="AB383" s="18"/>
      <c r="AC383" s="19"/>
      <c r="AD383" s="17"/>
      <c r="AE383" s="18"/>
      <c r="AF383" s="19"/>
      <c r="AG383" s="18"/>
      <c r="AH383" s="18"/>
      <c r="AI383" s="18"/>
      <c r="AJ383" s="20"/>
      <c r="AK383" s="21"/>
      <c r="AL383" s="22"/>
      <c r="AM383" s="18"/>
      <c r="AN383" s="18"/>
      <c r="AO383" s="18"/>
      <c r="AP383" s="17"/>
      <c r="AQ383" s="18"/>
      <c r="AR383" s="19"/>
      <c r="AS383" s="18"/>
      <c r="AT383" s="18"/>
      <c r="AU383" s="18"/>
      <c r="AV383" s="17"/>
      <c r="AW383" s="18"/>
      <c r="AX383" s="19"/>
      <c r="AY383" s="17"/>
      <c r="AZ383" s="18"/>
      <c r="BA383" s="19"/>
      <c r="BB383" s="17"/>
      <c r="BC383" s="23"/>
      <c r="BD383" s="24"/>
      <c r="BE383" s="18"/>
      <c r="BF383" s="23"/>
      <c r="BG383" s="23"/>
      <c r="BH383" s="17"/>
      <c r="BI383" s="18"/>
      <c r="BJ383" s="19"/>
      <c r="BK383" s="18"/>
      <c r="BL383" s="18"/>
      <c r="BM383" s="18"/>
      <c r="BN383" s="25"/>
      <c r="BO383" s="23"/>
      <c r="BP383" s="24"/>
      <c r="BQ383" s="18"/>
      <c r="BR383" s="18"/>
      <c r="BS383" s="18"/>
      <c r="BT383" s="17"/>
      <c r="BU383" s="18"/>
      <c r="BV383" s="19"/>
      <c r="BW383" s="17"/>
      <c r="BX383" s="23"/>
      <c r="BY383" s="24"/>
      <c r="BZ383" s="17"/>
      <c r="CA383" s="18"/>
      <c r="CB383" s="19"/>
      <c r="CC383" s="17"/>
      <c r="CD383" s="18"/>
      <c r="CE383" s="19"/>
      <c r="CF383" s="17"/>
      <c r="CG383" s="18"/>
      <c r="CH383" s="19"/>
      <c r="CI383" s="17"/>
      <c r="CJ383" s="18"/>
      <c r="CK383" s="19"/>
      <c r="CL383" s="17"/>
    </row>
    <row r="384" spans="1:95">
      <c r="A384" s="223">
        <v>45670</v>
      </c>
      <c r="B384" s="16" t="s">
        <v>96</v>
      </c>
      <c r="C384" s="17"/>
      <c r="D384" s="18"/>
      <c r="E384" s="19"/>
      <c r="F384" s="17"/>
      <c r="G384" s="18"/>
      <c r="H384" s="19"/>
      <c r="I384" s="17"/>
      <c r="J384" s="18"/>
      <c r="K384" s="19"/>
      <c r="L384" s="18"/>
      <c r="M384" s="18"/>
      <c r="N384" s="18"/>
      <c r="O384" s="17"/>
      <c r="P384" s="18"/>
      <c r="Q384" s="19"/>
      <c r="R384" s="18"/>
      <c r="S384" s="18"/>
      <c r="T384" s="18"/>
      <c r="U384" s="17"/>
      <c r="V384" s="18"/>
      <c r="W384" s="19"/>
      <c r="X384" s="17"/>
      <c r="Y384" s="18"/>
      <c r="Z384" s="19"/>
      <c r="AA384" s="17"/>
      <c r="AB384" s="18"/>
      <c r="AC384" s="19"/>
      <c r="AD384" s="17"/>
      <c r="AE384" s="18"/>
      <c r="AF384" s="19"/>
      <c r="AG384" s="18"/>
      <c r="AH384" s="18"/>
      <c r="AI384" s="18"/>
      <c r="AJ384" s="20"/>
      <c r="AK384" s="21"/>
      <c r="AL384" s="22"/>
      <c r="AM384" s="18"/>
      <c r="AN384" s="18"/>
      <c r="AO384" s="18"/>
      <c r="AP384" s="17"/>
      <c r="AQ384" s="18"/>
      <c r="AR384" s="19"/>
      <c r="AS384" s="18"/>
      <c r="AT384" s="18"/>
      <c r="AU384" s="18"/>
      <c r="AV384" s="17"/>
      <c r="AW384" s="18"/>
      <c r="AX384" s="19"/>
      <c r="AY384" s="17"/>
      <c r="AZ384" s="18"/>
      <c r="BA384" s="19"/>
      <c r="BB384" s="17"/>
      <c r="BC384" s="23"/>
      <c r="BD384" s="24"/>
      <c r="BE384" s="18"/>
      <c r="BF384" s="23"/>
      <c r="BG384" s="23"/>
      <c r="BH384" s="17"/>
      <c r="BI384" s="18"/>
      <c r="BJ384" s="19"/>
      <c r="BK384" s="18"/>
      <c r="BL384" s="18"/>
      <c r="BM384" s="18"/>
      <c r="BN384" s="25"/>
      <c r="BO384" s="23"/>
      <c r="BP384" s="24"/>
      <c r="BQ384" s="18"/>
      <c r="BR384" s="18"/>
      <c r="BS384" s="18"/>
      <c r="BT384" s="17"/>
      <c r="BU384" s="18"/>
      <c r="BV384" s="19"/>
      <c r="BW384" s="17"/>
      <c r="BX384" s="23"/>
      <c r="BY384" s="24"/>
      <c r="BZ384" s="17"/>
      <c r="CA384" s="18"/>
      <c r="CB384" s="19"/>
      <c r="CC384" s="17"/>
      <c r="CD384" s="18"/>
      <c r="CE384" s="19"/>
      <c r="CF384" s="17"/>
      <c r="CG384" s="18"/>
      <c r="CH384" s="19"/>
      <c r="CI384" s="17"/>
      <c r="CJ384" s="18"/>
      <c r="CK384" s="19"/>
      <c r="CL384" s="17"/>
    </row>
    <row r="385" spans="1:95">
      <c r="A385" s="223">
        <v>45671</v>
      </c>
      <c r="B385" s="16" t="s">
        <v>97</v>
      </c>
      <c r="C385" s="17">
        <v>158.57</v>
      </c>
      <c r="D385" s="18">
        <v>156.57</v>
      </c>
      <c r="E385" s="19">
        <v>157.57</v>
      </c>
      <c r="F385" s="17">
        <v>162.93</v>
      </c>
      <c r="G385" s="18">
        <v>159.93</v>
      </c>
      <c r="H385" s="19">
        <v>161.43</v>
      </c>
      <c r="I385" s="17">
        <v>111.21</v>
      </c>
      <c r="J385" s="18">
        <v>108.00999999999999</v>
      </c>
      <c r="K385" s="19">
        <v>109.60999999999999</v>
      </c>
      <c r="L385" s="18">
        <v>196.39</v>
      </c>
      <c r="M385" s="18">
        <v>188.39</v>
      </c>
      <c r="N385" s="18">
        <v>192.39</v>
      </c>
      <c r="O385" s="17">
        <v>172.77</v>
      </c>
      <c r="P385" s="18">
        <v>170.97</v>
      </c>
      <c r="Q385" s="19">
        <v>171.87</v>
      </c>
      <c r="R385" s="18">
        <v>21.94</v>
      </c>
      <c r="S385" s="18">
        <v>21.34</v>
      </c>
      <c r="T385" s="18">
        <v>21.64</v>
      </c>
      <c r="U385" s="17">
        <v>14.1</v>
      </c>
      <c r="V385" s="18">
        <v>13.5</v>
      </c>
      <c r="W385" s="19">
        <v>13.8</v>
      </c>
      <c r="X385" s="17">
        <v>14.4</v>
      </c>
      <c r="Y385" s="18">
        <v>13.6</v>
      </c>
      <c r="Z385" s="19">
        <v>14</v>
      </c>
      <c r="AA385" s="17">
        <v>99.43</v>
      </c>
      <c r="AB385" s="18">
        <v>95.43</v>
      </c>
      <c r="AC385" s="19">
        <v>97.43</v>
      </c>
      <c r="AD385" s="17">
        <v>90.24</v>
      </c>
      <c r="AE385" s="18">
        <v>86.24</v>
      </c>
      <c r="AF385" s="19">
        <v>88.24</v>
      </c>
      <c r="AG385" s="18">
        <v>20.67</v>
      </c>
      <c r="AH385" s="18">
        <v>19.810000000000002</v>
      </c>
      <c r="AI385" s="18">
        <v>20.240000000000002</v>
      </c>
      <c r="AJ385" s="20"/>
      <c r="AK385" s="21"/>
      <c r="AL385" s="22"/>
      <c r="AM385" s="18">
        <v>115.88</v>
      </c>
      <c r="AN385" s="18">
        <v>114.22</v>
      </c>
      <c r="AO385" s="18">
        <v>115.05</v>
      </c>
      <c r="AP385" s="17">
        <v>42.84</v>
      </c>
      <c r="AQ385" s="18">
        <v>41.24</v>
      </c>
      <c r="AR385" s="19">
        <v>42.040000000000006</v>
      </c>
      <c r="AS385" s="18">
        <v>43.65</v>
      </c>
      <c r="AT385" s="18">
        <v>42.29</v>
      </c>
      <c r="AU385" s="18">
        <v>42.97</v>
      </c>
      <c r="AV385" s="17">
        <v>21.75</v>
      </c>
      <c r="AW385" s="18">
        <v>21.15</v>
      </c>
      <c r="AX385" s="19">
        <v>21.45</v>
      </c>
      <c r="AY385" s="17">
        <v>4.6500000000000004</v>
      </c>
      <c r="AZ385" s="18">
        <v>4.49</v>
      </c>
      <c r="BA385" s="19">
        <v>4.57</v>
      </c>
      <c r="BB385" s="17">
        <v>1.98</v>
      </c>
      <c r="BC385" s="23">
        <v>1.68</v>
      </c>
      <c r="BD385" s="24">
        <v>1.83</v>
      </c>
      <c r="BE385" s="18">
        <v>0.72</v>
      </c>
      <c r="BF385" s="23">
        <v>0.42</v>
      </c>
      <c r="BG385" s="23">
        <v>0.56999999999999995</v>
      </c>
      <c r="BH385" s="17">
        <v>519.26</v>
      </c>
      <c r="BI385" s="18">
        <v>503.26</v>
      </c>
      <c r="BJ385" s="19">
        <v>511.26</v>
      </c>
      <c r="BK385" s="18">
        <v>43.98</v>
      </c>
      <c r="BL385" s="18">
        <v>42.62</v>
      </c>
      <c r="BM385" s="18">
        <v>43.3</v>
      </c>
      <c r="BN385" s="25">
        <v>1.0900000000000001</v>
      </c>
      <c r="BO385" s="23">
        <v>0.85000000000000009</v>
      </c>
      <c r="BP385" s="24">
        <v>0.97000000000000008</v>
      </c>
      <c r="BQ385" s="18">
        <v>8.64</v>
      </c>
      <c r="BR385" s="18">
        <v>6.6400000000000006</v>
      </c>
      <c r="BS385" s="18">
        <v>7.6400000000000006</v>
      </c>
      <c r="BT385" s="17">
        <v>10.96</v>
      </c>
      <c r="BU385" s="18">
        <v>10.56</v>
      </c>
      <c r="BV385" s="19">
        <v>10.760000000000002</v>
      </c>
      <c r="BW385" s="17">
        <v>2.84</v>
      </c>
      <c r="BX385" s="23">
        <v>2.5599999999999996</v>
      </c>
      <c r="BY385" s="24">
        <v>2.6999999999999997</v>
      </c>
      <c r="BZ385" s="17">
        <v>9.7899999999999991</v>
      </c>
      <c r="CA385" s="18">
        <v>6.7899999999999991</v>
      </c>
      <c r="CB385" s="19">
        <v>8.2899999999999991</v>
      </c>
      <c r="CC385" s="17">
        <v>6.53</v>
      </c>
      <c r="CD385" s="18">
        <v>6.29</v>
      </c>
      <c r="CE385" s="19">
        <v>6.41</v>
      </c>
      <c r="CF385" s="17">
        <v>1.78</v>
      </c>
      <c r="CG385" s="18">
        <v>1.28</v>
      </c>
      <c r="CH385" s="19">
        <v>1.53</v>
      </c>
      <c r="CI385" s="17">
        <v>0.41</v>
      </c>
      <c r="CJ385" s="18">
        <v>0.37</v>
      </c>
      <c r="CK385" s="19">
        <v>0.39</v>
      </c>
      <c r="CL385" s="17">
        <v>39.020000000000003</v>
      </c>
      <c r="CM385">
        <v>36.620000000000005</v>
      </c>
      <c r="CN385">
        <v>37.820000000000007</v>
      </c>
      <c r="CO385">
        <v>6.95</v>
      </c>
      <c r="CP385">
        <v>1.9500000000000002</v>
      </c>
      <c r="CQ385">
        <v>4.45</v>
      </c>
    </row>
    <row r="386" spans="1:95">
      <c r="A386" s="223">
        <v>45672</v>
      </c>
      <c r="B386" s="16" t="s">
        <v>98</v>
      </c>
      <c r="C386" s="17">
        <v>159.08000000000001</v>
      </c>
      <c r="D386" s="18">
        <v>157.08000000000001</v>
      </c>
      <c r="E386" s="19">
        <v>158.08000000000001</v>
      </c>
      <c r="F386" s="17">
        <v>164.35</v>
      </c>
      <c r="G386" s="18">
        <v>161.35</v>
      </c>
      <c r="H386" s="19">
        <v>162.85</v>
      </c>
      <c r="I386" s="17">
        <v>111.71</v>
      </c>
      <c r="J386" s="18">
        <v>108.50999999999999</v>
      </c>
      <c r="K386" s="19">
        <v>110.10999999999999</v>
      </c>
      <c r="L386" s="18">
        <v>196.94</v>
      </c>
      <c r="M386" s="18">
        <v>188.94</v>
      </c>
      <c r="N386" s="18">
        <v>192.94</v>
      </c>
      <c r="O386" s="17">
        <v>174.12</v>
      </c>
      <c r="P386" s="18">
        <v>172.32</v>
      </c>
      <c r="Q386" s="19">
        <v>173.22</v>
      </c>
      <c r="R386" s="18">
        <v>22.13</v>
      </c>
      <c r="S386" s="18">
        <v>21.529999999999998</v>
      </c>
      <c r="T386" s="18">
        <v>21.83</v>
      </c>
      <c r="U386" s="17">
        <v>14.18</v>
      </c>
      <c r="V386" s="18">
        <v>13.58</v>
      </c>
      <c r="W386" s="19">
        <v>13.879999999999999</v>
      </c>
      <c r="X386" s="17">
        <v>14.55</v>
      </c>
      <c r="Y386" s="18">
        <v>13.75</v>
      </c>
      <c r="Z386" s="19">
        <v>14.15</v>
      </c>
      <c r="AA386" s="17">
        <v>99.8</v>
      </c>
      <c r="AB386" s="18">
        <v>95.8</v>
      </c>
      <c r="AC386" s="19">
        <v>97.8</v>
      </c>
      <c r="AD386" s="17">
        <v>90.56</v>
      </c>
      <c r="AE386" s="18">
        <v>86.56</v>
      </c>
      <c r="AF386" s="19">
        <v>88.56</v>
      </c>
      <c r="AG386" s="18">
        <v>20.73</v>
      </c>
      <c r="AH386" s="18">
        <v>19.87</v>
      </c>
      <c r="AI386" s="18">
        <v>20.3</v>
      </c>
      <c r="AJ386" s="20"/>
      <c r="AK386" s="21"/>
      <c r="AL386" s="22"/>
      <c r="AM386" s="18">
        <v>116.45</v>
      </c>
      <c r="AN386" s="18">
        <v>114.79</v>
      </c>
      <c r="AO386" s="18">
        <v>115.62</v>
      </c>
      <c r="AP386" s="17">
        <v>42.99</v>
      </c>
      <c r="AQ386" s="18">
        <v>41.39</v>
      </c>
      <c r="AR386" s="19">
        <v>42.19</v>
      </c>
      <c r="AS386" s="18">
        <v>43.79</v>
      </c>
      <c r="AT386" s="18">
        <v>42.43</v>
      </c>
      <c r="AU386" s="18">
        <v>43.11</v>
      </c>
      <c r="AV386" s="17">
        <v>21.82</v>
      </c>
      <c r="AW386" s="18">
        <v>21.22</v>
      </c>
      <c r="AX386" s="19">
        <v>21.52</v>
      </c>
      <c r="AY386" s="17">
        <v>4.6399999999999997</v>
      </c>
      <c r="AZ386" s="18">
        <v>4.4799999999999995</v>
      </c>
      <c r="BA386" s="19">
        <v>4.5599999999999996</v>
      </c>
      <c r="BB386" s="17">
        <v>1.98</v>
      </c>
      <c r="BC386" s="23">
        <v>1.68</v>
      </c>
      <c r="BD386" s="24">
        <v>1.83</v>
      </c>
      <c r="BE386" s="18">
        <v>0.72</v>
      </c>
      <c r="BF386" s="23">
        <v>0.42</v>
      </c>
      <c r="BG386" s="23">
        <v>0.56999999999999995</v>
      </c>
      <c r="BH386" s="17">
        <v>521.25</v>
      </c>
      <c r="BI386" s="18">
        <v>505.25</v>
      </c>
      <c r="BJ386" s="19">
        <v>513.25</v>
      </c>
      <c r="BK386" s="18">
        <v>44.12</v>
      </c>
      <c r="BL386" s="18">
        <v>42.76</v>
      </c>
      <c r="BM386" s="18">
        <v>43.44</v>
      </c>
      <c r="BN386" s="25">
        <v>1.1000000000000001</v>
      </c>
      <c r="BO386" s="23">
        <v>0.8600000000000001</v>
      </c>
      <c r="BP386" s="24">
        <v>0.98000000000000009</v>
      </c>
      <c r="BQ386" s="18">
        <v>8.6999999999999993</v>
      </c>
      <c r="BR386" s="18">
        <v>6.6999999999999993</v>
      </c>
      <c r="BS386" s="18">
        <v>7.6999999999999993</v>
      </c>
      <c r="BT386" s="17">
        <v>11.03</v>
      </c>
      <c r="BU386" s="18">
        <v>10.629999999999999</v>
      </c>
      <c r="BV386" s="19">
        <v>10.829999999999998</v>
      </c>
      <c r="BW386" s="17">
        <v>2.86</v>
      </c>
      <c r="BX386" s="23">
        <v>2.58</v>
      </c>
      <c r="BY386" s="24">
        <v>2.7199999999999998</v>
      </c>
      <c r="BZ386" s="17">
        <v>9.85</v>
      </c>
      <c r="CA386" s="18">
        <v>6.85</v>
      </c>
      <c r="CB386" s="19">
        <v>8.35</v>
      </c>
      <c r="CC386" s="17">
        <v>6.57</v>
      </c>
      <c r="CD386" s="18">
        <v>6.33</v>
      </c>
      <c r="CE386" s="19">
        <v>6.45</v>
      </c>
      <c r="CF386" s="17">
        <v>1.79</v>
      </c>
      <c r="CG386" s="18">
        <v>1.29</v>
      </c>
      <c r="CH386" s="19">
        <v>1.54</v>
      </c>
      <c r="CI386" s="17">
        <v>0.42</v>
      </c>
      <c r="CJ386" s="18">
        <v>0.38</v>
      </c>
      <c r="CK386" s="19">
        <v>0.4</v>
      </c>
      <c r="CL386" s="17">
        <v>39.36</v>
      </c>
      <c r="CM386">
        <v>36.96</v>
      </c>
      <c r="CN386">
        <v>38.159999999999997</v>
      </c>
      <c r="CO386">
        <v>6.96</v>
      </c>
      <c r="CP386">
        <v>1.96</v>
      </c>
      <c r="CQ386">
        <v>4.46</v>
      </c>
    </row>
    <row r="387" spans="1:95">
      <c r="A387" s="223">
        <v>45673</v>
      </c>
      <c r="B387" s="16" t="s">
        <v>99</v>
      </c>
      <c r="C387" s="17">
        <v>157.46</v>
      </c>
      <c r="D387" s="18">
        <v>155.46</v>
      </c>
      <c r="E387" s="19">
        <v>156.46</v>
      </c>
      <c r="F387" s="17">
        <v>162.56</v>
      </c>
      <c r="G387" s="18">
        <v>159.56</v>
      </c>
      <c r="H387" s="19">
        <v>161.06</v>
      </c>
      <c r="I387" s="17">
        <v>110.78</v>
      </c>
      <c r="J387" s="18">
        <v>107.58</v>
      </c>
      <c r="K387" s="19">
        <v>109.18</v>
      </c>
      <c r="L387" s="18">
        <v>195.49</v>
      </c>
      <c r="M387" s="18">
        <v>187.49</v>
      </c>
      <c r="N387" s="18">
        <v>191.49</v>
      </c>
      <c r="O387" s="17">
        <v>172.31</v>
      </c>
      <c r="P387" s="18">
        <v>170.51</v>
      </c>
      <c r="Q387" s="19">
        <v>171.41</v>
      </c>
      <c r="R387" s="18">
        <v>21.88</v>
      </c>
      <c r="S387" s="18">
        <v>21.279999999999998</v>
      </c>
      <c r="T387" s="18">
        <v>21.58</v>
      </c>
      <c r="U387" s="17">
        <v>14.13</v>
      </c>
      <c r="V387" s="18">
        <v>13.530000000000001</v>
      </c>
      <c r="W387" s="19">
        <v>13.830000000000002</v>
      </c>
      <c r="X387" s="17">
        <v>14.44</v>
      </c>
      <c r="Y387" s="18">
        <v>13.639999999999999</v>
      </c>
      <c r="Z387" s="19">
        <v>14.04</v>
      </c>
      <c r="AA387" s="17">
        <v>99.55</v>
      </c>
      <c r="AB387" s="18">
        <v>95.55</v>
      </c>
      <c r="AC387" s="19">
        <v>97.55</v>
      </c>
      <c r="AD387" s="17">
        <v>89.99</v>
      </c>
      <c r="AE387" s="18">
        <v>85.99</v>
      </c>
      <c r="AF387" s="19">
        <v>87.99</v>
      </c>
      <c r="AG387" s="18">
        <v>20.52</v>
      </c>
      <c r="AH387" s="18">
        <v>19.66</v>
      </c>
      <c r="AI387" s="18">
        <v>20.09</v>
      </c>
      <c r="AJ387" s="20"/>
      <c r="AK387" s="21"/>
      <c r="AL387" s="22"/>
      <c r="AM387" s="18">
        <v>115.26</v>
      </c>
      <c r="AN387" s="18">
        <v>113.60000000000001</v>
      </c>
      <c r="AO387" s="18">
        <v>114.43</v>
      </c>
      <c r="AP387" s="17">
        <v>42.56</v>
      </c>
      <c r="AQ387" s="18">
        <v>40.96</v>
      </c>
      <c r="AR387" s="19">
        <v>41.760000000000005</v>
      </c>
      <c r="AS387" s="18">
        <v>43.35</v>
      </c>
      <c r="AT387" s="18">
        <v>41.99</v>
      </c>
      <c r="AU387" s="18">
        <v>42.67</v>
      </c>
      <c r="AV387" s="17">
        <v>21.59</v>
      </c>
      <c r="AW387" s="18">
        <v>20.99</v>
      </c>
      <c r="AX387" s="19">
        <v>21.29</v>
      </c>
      <c r="AY387" s="17">
        <v>4.6100000000000003</v>
      </c>
      <c r="AZ387" s="18">
        <v>4.45</v>
      </c>
      <c r="BA387" s="19">
        <v>4.53</v>
      </c>
      <c r="BB387" s="17">
        <v>1.97</v>
      </c>
      <c r="BC387" s="23">
        <v>1.67</v>
      </c>
      <c r="BD387" s="24">
        <v>1.8199999999999998</v>
      </c>
      <c r="BE387" s="18">
        <v>0.72</v>
      </c>
      <c r="BF387" s="23">
        <v>0.42</v>
      </c>
      <c r="BG387" s="23">
        <v>0.56999999999999995</v>
      </c>
      <c r="BH387" s="17">
        <v>515.99</v>
      </c>
      <c r="BI387" s="18">
        <v>499.99</v>
      </c>
      <c r="BJ387" s="19">
        <v>507.99</v>
      </c>
      <c r="BK387" s="18">
        <v>43.68</v>
      </c>
      <c r="BL387" s="18">
        <v>42.32</v>
      </c>
      <c r="BM387" s="18">
        <v>43</v>
      </c>
      <c r="BN387" s="25">
        <v>1.08</v>
      </c>
      <c r="BO387" s="23">
        <v>0.84000000000000008</v>
      </c>
      <c r="BP387" s="24">
        <v>0.96000000000000008</v>
      </c>
      <c r="BQ387" s="18">
        <v>8.66</v>
      </c>
      <c r="BR387" s="18">
        <v>6.66</v>
      </c>
      <c r="BS387" s="18">
        <v>7.66</v>
      </c>
      <c r="BT387" s="17">
        <v>10.97</v>
      </c>
      <c r="BU387" s="18">
        <v>10.57</v>
      </c>
      <c r="BV387" s="19">
        <v>10.77</v>
      </c>
      <c r="BW387" s="17">
        <v>2.83</v>
      </c>
      <c r="BX387" s="23">
        <v>2.5499999999999998</v>
      </c>
      <c r="BY387" s="24">
        <v>2.69</v>
      </c>
      <c r="BZ387" s="17">
        <v>9.84</v>
      </c>
      <c r="CA387" s="18">
        <v>6.84</v>
      </c>
      <c r="CB387" s="19">
        <v>8.34</v>
      </c>
      <c r="CC387" s="17">
        <v>6.51</v>
      </c>
      <c r="CD387" s="18">
        <v>6.27</v>
      </c>
      <c r="CE387" s="19">
        <v>6.39</v>
      </c>
      <c r="CF387" s="17">
        <v>1.78</v>
      </c>
      <c r="CG387" s="18">
        <v>1.28</v>
      </c>
      <c r="CH387" s="19">
        <v>1.53</v>
      </c>
      <c r="CI387" s="17">
        <v>0.41</v>
      </c>
      <c r="CJ387" s="18">
        <v>0.37</v>
      </c>
      <c r="CK387" s="19">
        <v>0.39</v>
      </c>
      <c r="CL387" s="17">
        <v>39.06</v>
      </c>
      <c r="CM387">
        <v>36.660000000000004</v>
      </c>
      <c r="CN387">
        <v>37.86</v>
      </c>
      <c r="CO387">
        <v>6.92</v>
      </c>
      <c r="CP387">
        <v>1.92</v>
      </c>
      <c r="CQ387">
        <v>4.42</v>
      </c>
    </row>
    <row r="388" spans="1:95">
      <c r="A388" s="223">
        <v>45674</v>
      </c>
      <c r="B388" s="16" t="s">
        <v>100</v>
      </c>
      <c r="C388" s="17">
        <v>156.25</v>
      </c>
      <c r="D388" s="18">
        <v>154.25</v>
      </c>
      <c r="E388" s="19">
        <v>155.25</v>
      </c>
      <c r="F388" s="17">
        <v>161.5</v>
      </c>
      <c r="G388" s="18">
        <v>158.5</v>
      </c>
      <c r="H388" s="19">
        <v>160</v>
      </c>
      <c r="I388" s="17">
        <v>109.41</v>
      </c>
      <c r="J388" s="18">
        <v>106.21</v>
      </c>
      <c r="K388" s="19">
        <v>107.81</v>
      </c>
      <c r="L388" s="18">
        <v>193.96</v>
      </c>
      <c r="M388" s="18">
        <v>185.96</v>
      </c>
      <c r="N388" s="18">
        <v>189.96</v>
      </c>
      <c r="O388" s="17">
        <v>171.41</v>
      </c>
      <c r="P388" s="18">
        <v>169.60999999999999</v>
      </c>
      <c r="Q388" s="19">
        <v>170.51</v>
      </c>
      <c r="R388" s="18">
        <v>21.74</v>
      </c>
      <c r="S388" s="18">
        <v>21.139999999999997</v>
      </c>
      <c r="T388" s="18">
        <v>21.439999999999998</v>
      </c>
      <c r="U388" s="17">
        <v>13.97</v>
      </c>
      <c r="V388" s="18">
        <v>13.370000000000001</v>
      </c>
      <c r="W388" s="19">
        <v>13.670000000000002</v>
      </c>
      <c r="X388" s="17">
        <v>14.33</v>
      </c>
      <c r="Y388" s="18">
        <v>13.53</v>
      </c>
      <c r="Z388" s="19">
        <v>13.93</v>
      </c>
      <c r="AA388" s="17">
        <v>98.41</v>
      </c>
      <c r="AB388" s="18">
        <v>94.41</v>
      </c>
      <c r="AC388" s="19">
        <v>96.41</v>
      </c>
      <c r="AD388" s="17">
        <v>89.06</v>
      </c>
      <c r="AE388" s="18">
        <v>85.06</v>
      </c>
      <c r="AF388" s="19">
        <v>87.06</v>
      </c>
      <c r="AG388" s="18">
        <v>20.36</v>
      </c>
      <c r="AH388" s="18">
        <v>19.5</v>
      </c>
      <c r="AI388" s="18">
        <v>19.93</v>
      </c>
      <c r="AJ388" s="20"/>
      <c r="AK388" s="21"/>
      <c r="AL388" s="22"/>
      <c r="AM388" s="18">
        <v>114.48</v>
      </c>
      <c r="AN388" s="18">
        <v>112.82000000000001</v>
      </c>
      <c r="AO388" s="18">
        <v>113.65</v>
      </c>
      <c r="AP388" s="17">
        <v>42.24</v>
      </c>
      <c r="AQ388" s="18">
        <v>40.64</v>
      </c>
      <c r="AR388" s="19">
        <v>41.44</v>
      </c>
      <c r="AS388" s="18">
        <v>43.02</v>
      </c>
      <c r="AT388" s="18">
        <v>41.660000000000004</v>
      </c>
      <c r="AU388" s="18">
        <v>42.34</v>
      </c>
      <c r="AV388" s="17">
        <v>21.44</v>
      </c>
      <c r="AW388" s="18">
        <v>20.84</v>
      </c>
      <c r="AX388" s="19">
        <v>21.14</v>
      </c>
      <c r="AY388" s="17">
        <v>4.58</v>
      </c>
      <c r="AZ388" s="18">
        <v>4.42</v>
      </c>
      <c r="BA388" s="19">
        <v>4.5</v>
      </c>
      <c r="BB388" s="17">
        <v>1.95</v>
      </c>
      <c r="BC388" s="23">
        <v>1.65</v>
      </c>
      <c r="BD388" s="24">
        <v>1.7999999999999998</v>
      </c>
      <c r="BE388" s="18">
        <v>0.71</v>
      </c>
      <c r="BF388" s="23">
        <v>0.41</v>
      </c>
      <c r="BG388" s="23">
        <v>0.55999999999999994</v>
      </c>
      <c r="BH388" s="17">
        <v>512.05999999999995</v>
      </c>
      <c r="BI388" s="18">
        <v>496.05999999999995</v>
      </c>
      <c r="BJ388" s="19">
        <v>504.05999999999995</v>
      </c>
      <c r="BK388" s="18">
        <v>43.35</v>
      </c>
      <c r="BL388" s="18">
        <v>41.99</v>
      </c>
      <c r="BM388" s="18">
        <v>42.67</v>
      </c>
      <c r="BN388" s="25">
        <v>1.07</v>
      </c>
      <c r="BO388" s="23">
        <v>0.83000000000000007</v>
      </c>
      <c r="BP388" s="24">
        <v>0.95000000000000007</v>
      </c>
      <c r="BQ388" s="18">
        <v>8.4600000000000009</v>
      </c>
      <c r="BR388" s="18">
        <v>6.4600000000000009</v>
      </c>
      <c r="BS388" s="18">
        <v>7.4600000000000009</v>
      </c>
      <c r="BT388" s="17">
        <v>10.89</v>
      </c>
      <c r="BU388" s="18">
        <v>10.49</v>
      </c>
      <c r="BV388" s="19">
        <v>10.690000000000001</v>
      </c>
      <c r="BW388" s="17">
        <v>2.81</v>
      </c>
      <c r="BX388" s="23">
        <v>2.5300000000000002</v>
      </c>
      <c r="BY388" s="24">
        <v>2.67</v>
      </c>
      <c r="BZ388" s="17">
        <v>9.75</v>
      </c>
      <c r="CA388" s="18">
        <v>6.75</v>
      </c>
      <c r="CB388" s="19">
        <v>8.25</v>
      </c>
      <c r="CC388" s="17">
        <v>6.46</v>
      </c>
      <c r="CD388" s="18">
        <v>6.22</v>
      </c>
      <c r="CE388" s="19">
        <v>6.34</v>
      </c>
      <c r="CF388" s="17">
        <v>1.77</v>
      </c>
      <c r="CG388" s="18">
        <v>1.27</v>
      </c>
      <c r="CH388" s="19">
        <v>1.52</v>
      </c>
      <c r="CI388" s="17">
        <v>0.41</v>
      </c>
      <c r="CJ388" s="18">
        <v>0.37</v>
      </c>
      <c r="CK388" s="19">
        <v>0.39</v>
      </c>
      <c r="CL388" s="17">
        <v>38.76</v>
      </c>
      <c r="CM388">
        <v>36.36</v>
      </c>
      <c r="CN388">
        <v>37.56</v>
      </c>
      <c r="CO388">
        <v>6.89</v>
      </c>
      <c r="CP388">
        <v>1.8899999999999997</v>
      </c>
      <c r="CQ388">
        <v>4.3899999999999997</v>
      </c>
    </row>
    <row r="389" spans="1:95">
      <c r="A389" s="223">
        <v>45675</v>
      </c>
      <c r="B389" s="16" t="s">
        <v>307</v>
      </c>
      <c r="C389" s="17"/>
      <c r="D389" s="18"/>
      <c r="E389" s="19"/>
      <c r="F389" s="17"/>
      <c r="G389" s="18"/>
      <c r="H389" s="19"/>
      <c r="I389" s="17"/>
      <c r="J389" s="18"/>
      <c r="K389" s="19"/>
      <c r="L389" s="18"/>
      <c r="M389" s="18"/>
      <c r="N389" s="18"/>
      <c r="O389" s="17"/>
      <c r="P389" s="18"/>
      <c r="Q389" s="19"/>
      <c r="R389" s="18"/>
      <c r="S389" s="18"/>
      <c r="T389" s="18"/>
      <c r="U389" s="17"/>
      <c r="V389" s="18"/>
      <c r="W389" s="19"/>
      <c r="X389" s="17"/>
      <c r="Y389" s="18"/>
      <c r="Z389" s="19"/>
      <c r="AA389" s="17"/>
      <c r="AB389" s="18"/>
      <c r="AC389" s="19"/>
      <c r="AD389" s="17"/>
      <c r="AE389" s="18"/>
      <c r="AF389" s="19"/>
      <c r="AG389" s="18"/>
      <c r="AH389" s="18"/>
      <c r="AI389" s="18"/>
      <c r="AJ389" s="20"/>
      <c r="AK389" s="21"/>
      <c r="AL389" s="22"/>
      <c r="AM389" s="18"/>
      <c r="AN389" s="18"/>
      <c r="AO389" s="18"/>
      <c r="AP389" s="17"/>
      <c r="AQ389" s="18"/>
      <c r="AR389" s="19"/>
      <c r="AS389" s="18"/>
      <c r="AT389" s="18"/>
      <c r="AU389" s="18"/>
      <c r="AV389" s="17"/>
      <c r="AW389" s="18"/>
      <c r="AX389" s="19"/>
      <c r="AY389" s="17"/>
      <c r="AZ389" s="18"/>
      <c r="BA389" s="19"/>
      <c r="BB389" s="17"/>
      <c r="BC389" s="23"/>
      <c r="BD389" s="24"/>
      <c r="BE389" s="18"/>
      <c r="BF389" s="23"/>
      <c r="BG389" s="23"/>
      <c r="BH389" s="17"/>
      <c r="BI389" s="18"/>
      <c r="BJ389" s="19"/>
      <c r="BK389" s="18"/>
      <c r="BL389" s="18"/>
      <c r="BM389" s="18"/>
      <c r="BN389" s="25"/>
      <c r="BO389" s="23"/>
      <c r="BP389" s="24"/>
      <c r="BQ389" s="18"/>
      <c r="BR389" s="18"/>
      <c r="BS389" s="18"/>
      <c r="BT389" s="17"/>
      <c r="BU389" s="18"/>
      <c r="BV389" s="19"/>
      <c r="BW389" s="17"/>
      <c r="BX389" s="23"/>
      <c r="BY389" s="24"/>
      <c r="BZ389" s="17"/>
      <c r="CA389" s="18"/>
      <c r="CB389" s="19"/>
      <c r="CC389" s="17"/>
      <c r="CD389" s="18"/>
      <c r="CE389" s="19"/>
      <c r="CF389" s="17"/>
      <c r="CG389" s="18"/>
      <c r="CH389" s="19"/>
      <c r="CI389" s="17"/>
      <c r="CJ389" s="18"/>
      <c r="CK389" s="19"/>
      <c r="CL389" s="17"/>
    </row>
    <row r="390" spans="1:95">
      <c r="A390" s="223">
        <v>45676</v>
      </c>
      <c r="B390" s="16" t="s">
        <v>308</v>
      </c>
      <c r="C390" s="17"/>
      <c r="D390" s="18"/>
      <c r="E390" s="19"/>
      <c r="F390" s="17"/>
      <c r="G390" s="18"/>
      <c r="H390" s="19"/>
      <c r="I390" s="17"/>
      <c r="J390" s="18"/>
      <c r="K390" s="19"/>
      <c r="L390" s="18"/>
      <c r="M390" s="18"/>
      <c r="N390" s="18"/>
      <c r="O390" s="17"/>
      <c r="P390" s="18"/>
      <c r="Q390" s="19"/>
      <c r="R390" s="18"/>
      <c r="S390" s="18"/>
      <c r="T390" s="18"/>
      <c r="U390" s="17"/>
      <c r="V390" s="18"/>
      <c r="W390" s="19"/>
      <c r="X390" s="17"/>
      <c r="Y390" s="18"/>
      <c r="Z390" s="19"/>
      <c r="AA390" s="17"/>
      <c r="AB390" s="18"/>
      <c r="AC390" s="19"/>
      <c r="AD390" s="17"/>
      <c r="AE390" s="18"/>
      <c r="AF390" s="19"/>
      <c r="AG390" s="18"/>
      <c r="AH390" s="18"/>
      <c r="AI390" s="18"/>
      <c r="AJ390" s="20"/>
      <c r="AK390" s="21"/>
      <c r="AL390" s="22"/>
      <c r="AM390" s="18"/>
      <c r="AN390" s="18"/>
      <c r="AO390" s="18"/>
      <c r="AP390" s="17"/>
      <c r="AQ390" s="18"/>
      <c r="AR390" s="19"/>
      <c r="AS390" s="18"/>
      <c r="AT390" s="18"/>
      <c r="AU390" s="18"/>
      <c r="AV390" s="17"/>
      <c r="AW390" s="18"/>
      <c r="AX390" s="19"/>
      <c r="AY390" s="17"/>
      <c r="AZ390" s="18"/>
      <c r="BA390" s="19"/>
      <c r="BB390" s="17"/>
      <c r="BC390" s="23"/>
      <c r="BD390" s="24"/>
      <c r="BE390" s="18"/>
      <c r="BF390" s="23"/>
      <c r="BG390" s="23"/>
      <c r="BH390" s="17"/>
      <c r="BI390" s="18"/>
      <c r="BJ390" s="19"/>
      <c r="BK390" s="18"/>
      <c r="BL390" s="18"/>
      <c r="BM390" s="18"/>
      <c r="BN390" s="25"/>
      <c r="BO390" s="23"/>
      <c r="BP390" s="24"/>
      <c r="BQ390" s="18"/>
      <c r="BR390" s="18"/>
      <c r="BS390" s="18"/>
      <c r="BT390" s="17"/>
      <c r="BU390" s="18"/>
      <c r="BV390" s="19"/>
      <c r="BW390" s="17"/>
      <c r="BX390" s="23"/>
      <c r="BY390" s="24"/>
      <c r="BZ390" s="17"/>
      <c r="CA390" s="18"/>
      <c r="CB390" s="19"/>
      <c r="CC390" s="17"/>
      <c r="CD390" s="18"/>
      <c r="CE390" s="19"/>
      <c r="CF390" s="17"/>
      <c r="CG390" s="18"/>
      <c r="CH390" s="19"/>
      <c r="CI390" s="17"/>
      <c r="CJ390" s="18"/>
      <c r="CK390" s="19"/>
      <c r="CL390" s="17"/>
    </row>
    <row r="391" spans="1:95">
      <c r="A391" s="223">
        <v>45677</v>
      </c>
      <c r="B391" s="16" t="s">
        <v>96</v>
      </c>
      <c r="C391" s="17">
        <v>157.08000000000001</v>
      </c>
      <c r="D391" s="18">
        <v>155.08000000000001</v>
      </c>
      <c r="E391" s="19">
        <v>156.08000000000001</v>
      </c>
      <c r="F391" s="17">
        <v>162.01</v>
      </c>
      <c r="G391" s="18">
        <v>159.01</v>
      </c>
      <c r="H391" s="19">
        <v>160.51</v>
      </c>
      <c r="I391" s="17">
        <v>109.51</v>
      </c>
      <c r="J391" s="18">
        <v>106.31</v>
      </c>
      <c r="K391" s="19">
        <v>107.91</v>
      </c>
      <c r="L391" s="18">
        <v>194.17</v>
      </c>
      <c r="M391" s="18">
        <v>186.17</v>
      </c>
      <c r="N391" s="18">
        <v>190.17</v>
      </c>
      <c r="O391" s="17">
        <v>171.59</v>
      </c>
      <c r="P391" s="18">
        <v>169.79</v>
      </c>
      <c r="Q391" s="19">
        <v>170.69</v>
      </c>
      <c r="R391" s="18">
        <v>21.81</v>
      </c>
      <c r="S391" s="18">
        <v>21.209999999999997</v>
      </c>
      <c r="T391" s="18">
        <v>21.509999999999998</v>
      </c>
      <c r="U391" s="17">
        <v>13.97</v>
      </c>
      <c r="V391" s="18">
        <v>13.370000000000001</v>
      </c>
      <c r="W391" s="19">
        <v>13.670000000000002</v>
      </c>
      <c r="X391" s="17">
        <v>14.37</v>
      </c>
      <c r="Y391" s="18">
        <v>13.569999999999999</v>
      </c>
      <c r="Z391" s="19">
        <v>13.969999999999999</v>
      </c>
      <c r="AA391" s="17">
        <v>98.82</v>
      </c>
      <c r="AB391" s="18">
        <v>94.82</v>
      </c>
      <c r="AC391" s="19">
        <v>96.82</v>
      </c>
      <c r="AD391" s="17">
        <v>89.36</v>
      </c>
      <c r="AE391" s="18">
        <v>85.36</v>
      </c>
      <c r="AF391" s="19">
        <v>87.36</v>
      </c>
      <c r="AG391" s="18">
        <v>20.48</v>
      </c>
      <c r="AH391" s="18">
        <v>19.62</v>
      </c>
      <c r="AI391" s="18">
        <v>20.05</v>
      </c>
      <c r="AJ391" s="20"/>
      <c r="AK391" s="21"/>
      <c r="AL391" s="22"/>
      <c r="AM391" s="18">
        <v>114.98</v>
      </c>
      <c r="AN391" s="18">
        <v>113.32000000000001</v>
      </c>
      <c r="AO391" s="18">
        <v>114.15</v>
      </c>
      <c r="AP391" s="17">
        <v>42.47</v>
      </c>
      <c r="AQ391" s="18">
        <v>40.869999999999997</v>
      </c>
      <c r="AR391" s="19">
        <v>41.67</v>
      </c>
      <c r="AS391" s="18">
        <v>43.24</v>
      </c>
      <c r="AT391" s="18">
        <v>41.88</v>
      </c>
      <c r="AU391" s="18">
        <v>42.56</v>
      </c>
      <c r="AV391" s="17">
        <v>21.58</v>
      </c>
      <c r="AW391" s="18">
        <v>20.979999999999997</v>
      </c>
      <c r="AX391" s="19">
        <v>21.279999999999998</v>
      </c>
      <c r="AY391" s="17">
        <v>4.6100000000000003</v>
      </c>
      <c r="AZ391" s="18">
        <v>4.45</v>
      </c>
      <c r="BA391" s="19">
        <v>4.53</v>
      </c>
      <c r="BB391" s="17">
        <v>1.96</v>
      </c>
      <c r="BC391" s="23">
        <v>1.66</v>
      </c>
      <c r="BD391" s="24">
        <v>1.81</v>
      </c>
      <c r="BE391" s="18">
        <v>0.71</v>
      </c>
      <c r="BF391" s="23">
        <v>0.41</v>
      </c>
      <c r="BG391" s="23">
        <v>0.55999999999999994</v>
      </c>
      <c r="BH391" s="17">
        <v>514.75</v>
      </c>
      <c r="BI391" s="18">
        <v>498.75</v>
      </c>
      <c r="BJ391" s="19">
        <v>506.75</v>
      </c>
      <c r="BK391" s="18">
        <v>43.57</v>
      </c>
      <c r="BL391" s="18">
        <v>42.21</v>
      </c>
      <c r="BM391" s="18">
        <v>42.89</v>
      </c>
      <c r="BN391" s="25">
        <v>1.08</v>
      </c>
      <c r="BO391" s="23">
        <v>0.84000000000000008</v>
      </c>
      <c r="BP391" s="24">
        <v>0.96000000000000008</v>
      </c>
      <c r="BQ391" s="18">
        <v>8.51</v>
      </c>
      <c r="BR391" s="18">
        <v>6.51</v>
      </c>
      <c r="BS391" s="18">
        <v>7.51</v>
      </c>
      <c r="BT391" s="17">
        <v>10.92</v>
      </c>
      <c r="BU391" s="18">
        <v>10.52</v>
      </c>
      <c r="BV391" s="19">
        <v>10.719999999999999</v>
      </c>
      <c r="BW391" s="17">
        <v>2.82</v>
      </c>
      <c r="BX391" s="23">
        <v>2.54</v>
      </c>
      <c r="BY391" s="24">
        <v>2.6799999999999997</v>
      </c>
      <c r="BZ391" s="17">
        <v>9.82</v>
      </c>
      <c r="CA391" s="18">
        <v>6.82</v>
      </c>
      <c r="CB391" s="19">
        <v>8.32</v>
      </c>
      <c r="CC391" s="17">
        <v>6.48</v>
      </c>
      <c r="CD391" s="18">
        <v>6.24</v>
      </c>
      <c r="CE391" s="19">
        <v>6.36</v>
      </c>
      <c r="CF391" s="17">
        <v>1.77</v>
      </c>
      <c r="CG391" s="18">
        <v>1.27</v>
      </c>
      <c r="CH391" s="19">
        <v>1.52</v>
      </c>
      <c r="CI391" s="17">
        <v>0.41</v>
      </c>
      <c r="CJ391" s="18">
        <v>0.37</v>
      </c>
      <c r="CK391" s="19">
        <v>0.39</v>
      </c>
      <c r="CL391" s="17">
        <v>38.9</v>
      </c>
      <c r="CM391">
        <v>36.5</v>
      </c>
      <c r="CN391">
        <v>37.700000000000003</v>
      </c>
      <c r="CO391">
        <v>6.89</v>
      </c>
      <c r="CP391">
        <v>1.8899999999999997</v>
      </c>
      <c r="CQ391">
        <v>4.3899999999999997</v>
      </c>
    </row>
    <row r="392" spans="1:95">
      <c r="A392" s="223">
        <v>45678</v>
      </c>
      <c r="B392" s="16" t="s">
        <v>97</v>
      </c>
      <c r="C392" s="17">
        <v>157.1</v>
      </c>
      <c r="D392" s="18">
        <v>155.1</v>
      </c>
      <c r="E392" s="19">
        <v>156.1</v>
      </c>
      <c r="F392" s="17">
        <v>163.44</v>
      </c>
      <c r="G392" s="18">
        <v>160.44</v>
      </c>
      <c r="H392" s="19">
        <v>161.94</v>
      </c>
      <c r="I392" s="17">
        <v>109.44</v>
      </c>
      <c r="J392" s="18">
        <v>106.24</v>
      </c>
      <c r="K392" s="19">
        <v>107.84</v>
      </c>
      <c r="L392" s="18">
        <v>195.63</v>
      </c>
      <c r="M392" s="18">
        <v>187.63</v>
      </c>
      <c r="N392" s="18">
        <v>191.63</v>
      </c>
      <c r="O392" s="17">
        <v>172.7</v>
      </c>
      <c r="P392" s="18">
        <v>170.89999999999998</v>
      </c>
      <c r="Q392" s="19">
        <v>171.79999999999998</v>
      </c>
      <c r="R392" s="18">
        <v>22</v>
      </c>
      <c r="S392" s="18">
        <v>21.4</v>
      </c>
      <c r="T392" s="18">
        <v>21.7</v>
      </c>
      <c r="U392" s="17">
        <v>14.06</v>
      </c>
      <c r="V392" s="18">
        <v>13.46</v>
      </c>
      <c r="W392" s="19">
        <v>13.760000000000002</v>
      </c>
      <c r="X392" s="17">
        <v>14.5</v>
      </c>
      <c r="Y392" s="18">
        <v>13.7</v>
      </c>
      <c r="Z392" s="19">
        <v>14.1</v>
      </c>
      <c r="AA392" s="17">
        <v>99.25</v>
      </c>
      <c r="AB392" s="18">
        <v>95.25</v>
      </c>
      <c r="AC392" s="19">
        <v>97.25</v>
      </c>
      <c r="AD392" s="17">
        <v>90.12</v>
      </c>
      <c r="AE392" s="18">
        <v>86.12</v>
      </c>
      <c r="AF392" s="19">
        <v>88.12</v>
      </c>
      <c r="AG392" s="18">
        <v>20.49</v>
      </c>
      <c r="AH392" s="18">
        <v>19.63</v>
      </c>
      <c r="AI392" s="18">
        <v>20.059999999999999</v>
      </c>
      <c r="AJ392" s="20"/>
      <c r="AK392" s="21"/>
      <c r="AL392" s="22"/>
      <c r="AM392" s="18">
        <v>115.63</v>
      </c>
      <c r="AN392" s="18">
        <v>113.97</v>
      </c>
      <c r="AO392" s="18">
        <v>114.8</v>
      </c>
      <c r="AP392" s="17">
        <v>42.47</v>
      </c>
      <c r="AQ392" s="18">
        <v>40.869999999999997</v>
      </c>
      <c r="AR392" s="19">
        <v>41.67</v>
      </c>
      <c r="AS392" s="18">
        <v>43.25</v>
      </c>
      <c r="AT392" s="18">
        <v>41.89</v>
      </c>
      <c r="AU392" s="18">
        <v>42.57</v>
      </c>
      <c r="AV392" s="17">
        <v>21.72</v>
      </c>
      <c r="AW392" s="18">
        <v>21.119999999999997</v>
      </c>
      <c r="AX392" s="19">
        <v>21.419999999999998</v>
      </c>
      <c r="AY392" s="17">
        <v>4.6399999999999997</v>
      </c>
      <c r="AZ392" s="18">
        <v>4.4799999999999995</v>
      </c>
      <c r="BA392" s="19">
        <v>4.5599999999999996</v>
      </c>
      <c r="BB392" s="17">
        <v>1.97</v>
      </c>
      <c r="BC392" s="23">
        <v>1.67</v>
      </c>
      <c r="BD392" s="24">
        <v>1.8199999999999998</v>
      </c>
      <c r="BE392" s="18">
        <v>0.71</v>
      </c>
      <c r="BF392" s="23">
        <v>0.41</v>
      </c>
      <c r="BG392" s="23">
        <v>0.55999999999999994</v>
      </c>
      <c r="BH392" s="17">
        <v>515.15</v>
      </c>
      <c r="BI392" s="18">
        <v>499.15</v>
      </c>
      <c r="BJ392" s="19">
        <v>507.15</v>
      </c>
      <c r="BK392" s="18">
        <v>43.58</v>
      </c>
      <c r="BL392" s="18">
        <v>42.22</v>
      </c>
      <c r="BM392" s="18">
        <v>42.9</v>
      </c>
      <c r="BN392" s="25">
        <v>1.08</v>
      </c>
      <c r="BO392" s="23">
        <v>0.84000000000000008</v>
      </c>
      <c r="BP392" s="24">
        <v>0.96000000000000008</v>
      </c>
      <c r="BQ392" s="18">
        <v>8.5500000000000007</v>
      </c>
      <c r="BR392" s="18">
        <v>6.5500000000000007</v>
      </c>
      <c r="BS392" s="18">
        <v>7.5500000000000007</v>
      </c>
      <c r="BT392" s="17">
        <v>11.04</v>
      </c>
      <c r="BU392" s="18">
        <v>10.639999999999999</v>
      </c>
      <c r="BV392" s="19">
        <v>10.84</v>
      </c>
      <c r="BW392" s="17">
        <v>2.83</v>
      </c>
      <c r="BX392" s="23">
        <v>2.5499999999999998</v>
      </c>
      <c r="BY392" s="24">
        <v>2.69</v>
      </c>
      <c r="BZ392" s="17">
        <v>9.8800000000000008</v>
      </c>
      <c r="CA392" s="18">
        <v>6.8800000000000008</v>
      </c>
      <c r="CB392" s="19">
        <v>8.3800000000000008</v>
      </c>
      <c r="CC392" s="17">
        <v>6.55</v>
      </c>
      <c r="CD392" s="18">
        <v>6.31</v>
      </c>
      <c r="CE392" s="19">
        <v>6.43</v>
      </c>
      <c r="CF392" s="17">
        <v>1.8</v>
      </c>
      <c r="CG392" s="18">
        <v>1.3</v>
      </c>
      <c r="CH392" s="19">
        <v>1.55</v>
      </c>
      <c r="CI392" s="17">
        <v>0.41</v>
      </c>
      <c r="CJ392" s="18">
        <v>0.37</v>
      </c>
      <c r="CK392" s="19">
        <v>0.39</v>
      </c>
      <c r="CL392" s="17">
        <v>39.29</v>
      </c>
      <c r="CM392">
        <v>36.89</v>
      </c>
      <c r="CN392">
        <v>38.090000000000003</v>
      </c>
      <c r="CO392">
        <v>6.89</v>
      </c>
      <c r="CP392">
        <v>1.8899999999999997</v>
      </c>
      <c r="CQ392">
        <v>4.3899999999999997</v>
      </c>
    </row>
    <row r="393" spans="1:95">
      <c r="A393" s="223">
        <v>45679</v>
      </c>
      <c r="B393" s="16" t="s">
        <v>98</v>
      </c>
      <c r="C393" s="17">
        <v>156.55000000000001</v>
      </c>
      <c r="D393" s="18">
        <v>154.55000000000001</v>
      </c>
      <c r="E393" s="19">
        <v>155.55000000000001</v>
      </c>
      <c r="F393" s="17">
        <v>163.61000000000001</v>
      </c>
      <c r="G393" s="18">
        <v>160.61000000000001</v>
      </c>
      <c r="H393" s="19">
        <v>162.11000000000001</v>
      </c>
      <c r="I393" s="17">
        <v>110.21</v>
      </c>
      <c r="J393" s="18">
        <v>107.00999999999999</v>
      </c>
      <c r="K393" s="19">
        <v>108.60999999999999</v>
      </c>
      <c r="L393" s="18">
        <v>196.14</v>
      </c>
      <c r="M393" s="18">
        <v>188.14</v>
      </c>
      <c r="N393" s="18">
        <v>192.14</v>
      </c>
      <c r="O393" s="17">
        <v>172.63</v>
      </c>
      <c r="P393" s="18">
        <v>170.82999999999998</v>
      </c>
      <c r="Q393" s="19">
        <v>171.73</v>
      </c>
      <c r="R393" s="18">
        <v>22.03</v>
      </c>
      <c r="S393" s="18">
        <v>21.43</v>
      </c>
      <c r="T393" s="18">
        <v>21.73</v>
      </c>
      <c r="U393" s="17">
        <v>14.07</v>
      </c>
      <c r="V393" s="18">
        <v>13.47</v>
      </c>
      <c r="W393" s="19">
        <v>13.77</v>
      </c>
      <c r="X393" s="17">
        <v>14.57</v>
      </c>
      <c r="Y393" s="18">
        <v>13.77</v>
      </c>
      <c r="Z393" s="19">
        <v>14.17</v>
      </c>
      <c r="AA393" s="17">
        <v>99.62</v>
      </c>
      <c r="AB393" s="18">
        <v>95.62</v>
      </c>
      <c r="AC393" s="19">
        <v>97.62</v>
      </c>
      <c r="AD393" s="17">
        <v>90.15</v>
      </c>
      <c r="AE393" s="18">
        <v>86.15</v>
      </c>
      <c r="AF393" s="19">
        <v>88.15</v>
      </c>
      <c r="AG393" s="18">
        <v>20.41</v>
      </c>
      <c r="AH393" s="18">
        <v>19.55</v>
      </c>
      <c r="AI393" s="18">
        <v>19.98</v>
      </c>
      <c r="AJ393" s="20"/>
      <c r="AK393" s="21"/>
      <c r="AL393" s="22"/>
      <c r="AM393" s="18">
        <v>115.86</v>
      </c>
      <c r="AN393" s="18">
        <v>114.2</v>
      </c>
      <c r="AO393" s="18">
        <v>115.03</v>
      </c>
      <c r="AP393" s="17">
        <v>42.34</v>
      </c>
      <c r="AQ393" s="18">
        <v>40.74</v>
      </c>
      <c r="AR393" s="19">
        <v>41.540000000000006</v>
      </c>
      <c r="AS393" s="18">
        <v>43.1</v>
      </c>
      <c r="AT393" s="18">
        <v>41.74</v>
      </c>
      <c r="AU393" s="18">
        <v>42.42</v>
      </c>
      <c r="AV393" s="17">
        <v>21.69</v>
      </c>
      <c r="AW393" s="18">
        <v>21.09</v>
      </c>
      <c r="AX393" s="19">
        <v>21.39</v>
      </c>
      <c r="AY393" s="17">
        <v>4.67</v>
      </c>
      <c r="AZ393" s="18">
        <v>4.51</v>
      </c>
      <c r="BA393" s="19">
        <v>4.59</v>
      </c>
      <c r="BB393" s="17">
        <v>1.96</v>
      </c>
      <c r="BC393" s="23">
        <v>1.66</v>
      </c>
      <c r="BD393" s="24">
        <v>1.81</v>
      </c>
      <c r="BE393" s="18">
        <v>0.71</v>
      </c>
      <c r="BF393" s="23">
        <v>0.41</v>
      </c>
      <c r="BG393" s="23">
        <v>0.55999999999999994</v>
      </c>
      <c r="BH393" s="17">
        <v>513.85</v>
      </c>
      <c r="BI393" s="18">
        <v>497.85</v>
      </c>
      <c r="BJ393" s="19">
        <v>505.85</v>
      </c>
      <c r="BK393" s="18">
        <v>43.43</v>
      </c>
      <c r="BL393" s="18">
        <v>42.07</v>
      </c>
      <c r="BM393" s="18">
        <v>42.75</v>
      </c>
      <c r="BN393" s="25">
        <v>1.08</v>
      </c>
      <c r="BO393" s="23">
        <v>0.84000000000000008</v>
      </c>
      <c r="BP393" s="24">
        <v>0.96000000000000008</v>
      </c>
      <c r="BQ393" s="18">
        <v>8.5399999999999991</v>
      </c>
      <c r="BR393" s="18">
        <v>6.5399999999999991</v>
      </c>
      <c r="BS393" s="18">
        <v>7.5399999999999991</v>
      </c>
      <c r="BT393" s="17">
        <v>11.08</v>
      </c>
      <c r="BU393" s="18">
        <v>10.68</v>
      </c>
      <c r="BV393" s="19">
        <v>10.879999999999999</v>
      </c>
      <c r="BW393" s="17">
        <v>2.82</v>
      </c>
      <c r="BX393" s="23">
        <v>2.54</v>
      </c>
      <c r="BY393" s="24">
        <v>2.6799999999999997</v>
      </c>
      <c r="BZ393" s="17">
        <v>9.92</v>
      </c>
      <c r="CA393" s="18">
        <v>6.92</v>
      </c>
      <c r="CB393" s="19">
        <v>8.42</v>
      </c>
      <c r="CC393" s="17">
        <v>6.57</v>
      </c>
      <c r="CD393" s="18">
        <v>6.33</v>
      </c>
      <c r="CE393" s="19">
        <v>6.45</v>
      </c>
      <c r="CF393" s="17">
        <v>1.81</v>
      </c>
      <c r="CG393" s="18">
        <v>1.31</v>
      </c>
      <c r="CH393" s="19">
        <v>1.56</v>
      </c>
      <c r="CI393" s="17">
        <v>0.41</v>
      </c>
      <c r="CJ393" s="18">
        <v>0.37</v>
      </c>
      <c r="CK393" s="19">
        <v>0.39</v>
      </c>
      <c r="CL393" s="17">
        <v>39.369999999999997</v>
      </c>
      <c r="CM393">
        <v>36.97</v>
      </c>
      <c r="CN393">
        <v>38.17</v>
      </c>
      <c r="CO393">
        <v>6.87</v>
      </c>
      <c r="CP393">
        <v>1.87</v>
      </c>
      <c r="CQ393">
        <v>4.37</v>
      </c>
    </row>
    <row r="394" spans="1:95">
      <c r="A394" s="223">
        <v>45680</v>
      </c>
      <c r="B394" s="16" t="s">
        <v>99</v>
      </c>
      <c r="C394" s="17">
        <v>157.5</v>
      </c>
      <c r="D394" s="18">
        <v>155.5</v>
      </c>
      <c r="E394" s="19">
        <v>156.5</v>
      </c>
      <c r="F394" s="17">
        <v>164.37</v>
      </c>
      <c r="G394" s="18">
        <v>161.37</v>
      </c>
      <c r="H394" s="19">
        <v>162.87</v>
      </c>
      <c r="I394" s="17">
        <v>110.33</v>
      </c>
      <c r="J394" s="18">
        <v>107.13</v>
      </c>
      <c r="K394" s="19">
        <v>108.72999999999999</v>
      </c>
      <c r="L394" s="18">
        <v>196.81</v>
      </c>
      <c r="M394" s="18">
        <v>188.81</v>
      </c>
      <c r="N394" s="18">
        <v>192.81</v>
      </c>
      <c r="O394" s="17">
        <v>173.58</v>
      </c>
      <c r="P394" s="18">
        <v>171.78</v>
      </c>
      <c r="Q394" s="19">
        <v>172.68</v>
      </c>
      <c r="R394" s="18">
        <v>22.13</v>
      </c>
      <c r="S394" s="18">
        <v>21.529999999999998</v>
      </c>
      <c r="T394" s="18">
        <v>21.83</v>
      </c>
      <c r="U394" s="17">
        <v>14.16</v>
      </c>
      <c r="V394" s="18">
        <v>13.56</v>
      </c>
      <c r="W394" s="19">
        <v>13.86</v>
      </c>
      <c r="X394" s="17">
        <v>14.62</v>
      </c>
      <c r="Y394" s="18">
        <v>13.819999999999999</v>
      </c>
      <c r="Z394" s="19">
        <v>14.219999999999999</v>
      </c>
      <c r="AA394" s="17">
        <v>100.17</v>
      </c>
      <c r="AB394" s="18">
        <v>96.17</v>
      </c>
      <c r="AC394" s="19">
        <v>98.17</v>
      </c>
      <c r="AD394" s="17">
        <v>90.61</v>
      </c>
      <c r="AE394" s="18">
        <v>86.61</v>
      </c>
      <c r="AF394" s="19">
        <v>88.61</v>
      </c>
      <c r="AG394" s="18">
        <v>20.53</v>
      </c>
      <c r="AH394" s="18">
        <v>19.670000000000002</v>
      </c>
      <c r="AI394" s="18">
        <v>20.100000000000001</v>
      </c>
      <c r="AJ394" s="20"/>
      <c r="AK394" s="21"/>
      <c r="AL394" s="22"/>
      <c r="AM394" s="18">
        <v>116.31</v>
      </c>
      <c r="AN394" s="18">
        <v>114.65</v>
      </c>
      <c r="AO394" s="18">
        <v>115.48</v>
      </c>
      <c r="AP394" s="17">
        <v>42.59</v>
      </c>
      <c r="AQ394" s="18">
        <v>40.99</v>
      </c>
      <c r="AR394" s="19">
        <v>41.790000000000006</v>
      </c>
      <c r="AS394" s="18">
        <v>43.37</v>
      </c>
      <c r="AT394" s="18">
        <v>42.01</v>
      </c>
      <c r="AU394" s="18">
        <v>42.69</v>
      </c>
      <c r="AV394" s="17">
        <v>21.79</v>
      </c>
      <c r="AW394" s="18">
        <v>21.189999999999998</v>
      </c>
      <c r="AX394" s="19">
        <v>21.49</v>
      </c>
      <c r="AY394" s="17">
        <v>4.71</v>
      </c>
      <c r="AZ394" s="18">
        <v>4.55</v>
      </c>
      <c r="BA394" s="19">
        <v>4.63</v>
      </c>
      <c r="BB394" s="17">
        <v>1.97</v>
      </c>
      <c r="BC394" s="23">
        <v>1.67</v>
      </c>
      <c r="BD394" s="24">
        <v>1.8199999999999998</v>
      </c>
      <c r="BE394" s="18">
        <v>0.72</v>
      </c>
      <c r="BF394" s="23">
        <v>0.42</v>
      </c>
      <c r="BG394" s="23">
        <v>0.56999999999999995</v>
      </c>
      <c r="BH394" s="17">
        <v>516.61</v>
      </c>
      <c r="BI394" s="18">
        <v>500.61</v>
      </c>
      <c r="BJ394" s="19">
        <v>508.61</v>
      </c>
      <c r="BK394" s="18">
        <v>43.69</v>
      </c>
      <c r="BL394" s="18">
        <v>42.33</v>
      </c>
      <c r="BM394" s="18">
        <v>43.01</v>
      </c>
      <c r="BN394" s="25">
        <v>1.0900000000000001</v>
      </c>
      <c r="BO394" s="23">
        <v>0.85000000000000009</v>
      </c>
      <c r="BP394" s="24">
        <v>0.97000000000000008</v>
      </c>
      <c r="BQ394" s="18">
        <v>8.65</v>
      </c>
      <c r="BR394" s="18">
        <v>6.65</v>
      </c>
      <c r="BS394" s="18">
        <v>7.65</v>
      </c>
      <c r="BT394" s="17">
        <v>11.12</v>
      </c>
      <c r="BU394" s="18">
        <v>10.719999999999999</v>
      </c>
      <c r="BV394" s="19">
        <v>10.919999999999998</v>
      </c>
      <c r="BW394" s="17">
        <v>2.83</v>
      </c>
      <c r="BX394" s="23">
        <v>2.5499999999999998</v>
      </c>
      <c r="BY394" s="24">
        <v>2.69</v>
      </c>
      <c r="BZ394" s="17">
        <v>9.9499999999999993</v>
      </c>
      <c r="CA394" s="18">
        <v>6.9499999999999993</v>
      </c>
      <c r="CB394" s="19">
        <v>8.4499999999999993</v>
      </c>
      <c r="CC394" s="17">
        <v>6.61</v>
      </c>
      <c r="CD394" s="18">
        <v>6.37</v>
      </c>
      <c r="CE394" s="19">
        <v>6.49</v>
      </c>
      <c r="CF394" s="17">
        <v>1.83</v>
      </c>
      <c r="CG394" s="18">
        <v>1.33</v>
      </c>
      <c r="CH394" s="19">
        <v>1.58</v>
      </c>
      <c r="CI394" s="17">
        <v>0.42</v>
      </c>
      <c r="CJ394" s="18">
        <v>0.38</v>
      </c>
      <c r="CK394" s="19">
        <v>0.4</v>
      </c>
      <c r="CL394" s="17">
        <v>39.770000000000003</v>
      </c>
      <c r="CM394">
        <v>37.370000000000005</v>
      </c>
      <c r="CN394">
        <v>38.570000000000007</v>
      </c>
      <c r="CO394">
        <v>6.9</v>
      </c>
      <c r="CP394">
        <v>1.9000000000000004</v>
      </c>
      <c r="CQ394">
        <v>4.4000000000000004</v>
      </c>
    </row>
    <row r="395" spans="1:95">
      <c r="A395" s="223">
        <v>45681</v>
      </c>
      <c r="B395" s="16" t="s">
        <v>100</v>
      </c>
      <c r="C395" s="17">
        <v>157.33000000000001</v>
      </c>
      <c r="D395" s="18">
        <v>155.33000000000001</v>
      </c>
      <c r="E395" s="19">
        <v>156.33000000000001</v>
      </c>
      <c r="F395" s="17">
        <v>164.38</v>
      </c>
      <c r="G395" s="18">
        <v>161.38</v>
      </c>
      <c r="H395" s="19">
        <v>162.88</v>
      </c>
      <c r="I395" s="17">
        <v>110.34</v>
      </c>
      <c r="J395" s="18">
        <v>107.14</v>
      </c>
      <c r="K395" s="19">
        <v>108.74000000000001</v>
      </c>
      <c r="L395" s="18">
        <v>197.18</v>
      </c>
      <c r="M395" s="18">
        <v>189.18</v>
      </c>
      <c r="N395" s="18">
        <v>193.18</v>
      </c>
      <c r="O395" s="17">
        <v>173.13</v>
      </c>
      <c r="P395" s="18">
        <v>171.32999999999998</v>
      </c>
      <c r="Q395" s="19">
        <v>172.23</v>
      </c>
      <c r="R395" s="18">
        <v>22.13</v>
      </c>
      <c r="S395" s="18">
        <v>21.529999999999998</v>
      </c>
      <c r="T395" s="18">
        <v>21.83</v>
      </c>
      <c r="U395" s="17">
        <v>14.18</v>
      </c>
      <c r="V395" s="18">
        <v>13.58</v>
      </c>
      <c r="W395" s="19">
        <v>13.879999999999999</v>
      </c>
      <c r="X395" s="17">
        <v>14.62</v>
      </c>
      <c r="Y395" s="18">
        <v>13.819999999999999</v>
      </c>
      <c r="Z395" s="19">
        <v>14.219999999999999</v>
      </c>
      <c r="AA395" s="17">
        <v>100.22</v>
      </c>
      <c r="AB395" s="18">
        <v>96.22</v>
      </c>
      <c r="AC395" s="19">
        <v>98.22</v>
      </c>
      <c r="AD395" s="17">
        <v>90.7</v>
      </c>
      <c r="AE395" s="18">
        <v>86.7</v>
      </c>
      <c r="AF395" s="19">
        <v>88.7</v>
      </c>
      <c r="AG395" s="18">
        <v>20.5</v>
      </c>
      <c r="AH395" s="18">
        <v>19.64</v>
      </c>
      <c r="AI395" s="18">
        <v>20.07</v>
      </c>
      <c r="AJ395" s="20"/>
      <c r="AK395" s="21"/>
      <c r="AL395" s="22"/>
      <c r="AM395" s="18">
        <v>116.14</v>
      </c>
      <c r="AN395" s="18">
        <v>114.48</v>
      </c>
      <c r="AO395" s="18">
        <v>115.31</v>
      </c>
      <c r="AP395" s="17">
        <v>42.54</v>
      </c>
      <c r="AQ395" s="18">
        <v>40.94</v>
      </c>
      <c r="AR395" s="19">
        <v>41.739999999999995</v>
      </c>
      <c r="AS395" s="18">
        <v>43.31</v>
      </c>
      <c r="AT395" s="18">
        <v>41.95</v>
      </c>
      <c r="AU395" s="18">
        <v>42.63</v>
      </c>
      <c r="AV395" s="17">
        <v>21.75</v>
      </c>
      <c r="AW395" s="18">
        <v>21.15</v>
      </c>
      <c r="AX395" s="19">
        <v>21.45</v>
      </c>
      <c r="AY395" s="17">
        <v>4.6900000000000004</v>
      </c>
      <c r="AZ395" s="18">
        <v>4.53</v>
      </c>
      <c r="BA395" s="19">
        <v>4.6100000000000003</v>
      </c>
      <c r="BB395" s="17">
        <v>1.97</v>
      </c>
      <c r="BC395" s="23">
        <v>1.67</v>
      </c>
      <c r="BD395" s="24">
        <v>1.8199999999999998</v>
      </c>
      <c r="BE395" s="18">
        <v>0.71</v>
      </c>
      <c r="BF395" s="23">
        <v>0.41</v>
      </c>
      <c r="BG395" s="23">
        <v>0.55999999999999994</v>
      </c>
      <c r="BH395" s="17">
        <v>514.25</v>
      </c>
      <c r="BI395" s="18">
        <v>498.25</v>
      </c>
      <c r="BJ395" s="19">
        <v>506.25</v>
      </c>
      <c r="BK395" s="18">
        <v>43.64</v>
      </c>
      <c r="BL395" s="18">
        <v>42.28</v>
      </c>
      <c r="BM395" s="18">
        <v>42.96</v>
      </c>
      <c r="BN395" s="25">
        <v>1.0900000000000001</v>
      </c>
      <c r="BO395" s="23">
        <v>0.85000000000000009</v>
      </c>
      <c r="BP395" s="24">
        <v>0.97000000000000008</v>
      </c>
      <c r="BQ395" s="18">
        <v>8.68</v>
      </c>
      <c r="BR395" s="18">
        <v>6.68</v>
      </c>
      <c r="BS395" s="18">
        <v>7.68</v>
      </c>
      <c r="BT395" s="17">
        <v>11.12</v>
      </c>
      <c r="BU395" s="18">
        <v>10.719999999999999</v>
      </c>
      <c r="BV395" s="19">
        <v>10.919999999999998</v>
      </c>
      <c r="BW395" s="17">
        <v>2.82</v>
      </c>
      <c r="BX395" s="23">
        <v>2.54</v>
      </c>
      <c r="BY395" s="24">
        <v>2.6799999999999997</v>
      </c>
      <c r="BZ395" s="17">
        <v>9.94</v>
      </c>
      <c r="CA395" s="18">
        <v>6.9399999999999995</v>
      </c>
      <c r="CB395" s="19">
        <v>8.44</v>
      </c>
      <c r="CC395" s="17">
        <v>6.6</v>
      </c>
      <c r="CD395" s="18">
        <v>6.3599999999999994</v>
      </c>
      <c r="CE395" s="19">
        <v>6.4799999999999995</v>
      </c>
      <c r="CF395" s="17">
        <v>1.82</v>
      </c>
      <c r="CG395" s="18">
        <v>1.32</v>
      </c>
      <c r="CH395" s="19">
        <v>1.57</v>
      </c>
      <c r="CI395" s="17">
        <v>0.42</v>
      </c>
      <c r="CJ395" s="18">
        <v>0.38</v>
      </c>
      <c r="CK395" s="19">
        <v>0.4</v>
      </c>
      <c r="CL395" s="17">
        <v>39.83</v>
      </c>
      <c r="CM395">
        <v>37.43</v>
      </c>
      <c r="CN395">
        <v>38.629999999999995</v>
      </c>
      <c r="CO395">
        <v>6.89</v>
      </c>
      <c r="CP395">
        <v>1.8899999999999997</v>
      </c>
      <c r="CQ395">
        <v>4.3899999999999997</v>
      </c>
    </row>
    <row r="396" spans="1:95">
      <c r="A396" s="223">
        <v>45682</v>
      </c>
      <c r="B396" s="16" t="s">
        <v>307</v>
      </c>
      <c r="C396" s="17"/>
      <c r="D396" s="18"/>
      <c r="E396" s="19"/>
      <c r="F396" s="17"/>
      <c r="G396" s="18"/>
      <c r="H396" s="19"/>
      <c r="I396" s="17"/>
      <c r="J396" s="18"/>
      <c r="K396" s="19"/>
      <c r="L396" s="18"/>
      <c r="M396" s="18"/>
      <c r="N396" s="18"/>
      <c r="O396" s="17"/>
      <c r="P396" s="18"/>
      <c r="Q396" s="19"/>
      <c r="R396" s="18"/>
      <c r="S396" s="18"/>
      <c r="T396" s="18"/>
      <c r="U396" s="17"/>
      <c r="V396" s="18"/>
      <c r="W396" s="19"/>
      <c r="X396" s="17"/>
      <c r="Y396" s="18"/>
      <c r="Z396" s="19"/>
      <c r="AA396" s="17"/>
      <c r="AB396" s="18"/>
      <c r="AC396" s="19"/>
      <c r="AD396" s="17"/>
      <c r="AE396" s="18"/>
      <c r="AF396" s="19"/>
      <c r="AG396" s="18"/>
      <c r="AH396" s="18"/>
      <c r="AI396" s="18"/>
      <c r="AJ396" s="20"/>
      <c r="AK396" s="21"/>
      <c r="AL396" s="22"/>
      <c r="AM396" s="18"/>
      <c r="AN396" s="18"/>
      <c r="AO396" s="18"/>
      <c r="AP396" s="17"/>
      <c r="AQ396" s="18"/>
      <c r="AR396" s="19"/>
      <c r="AS396" s="18"/>
      <c r="AT396" s="18"/>
      <c r="AU396" s="18"/>
      <c r="AV396" s="17"/>
      <c r="AW396" s="18"/>
      <c r="AX396" s="19"/>
      <c r="AY396" s="17"/>
      <c r="AZ396" s="18"/>
      <c r="BA396" s="19"/>
      <c r="BB396" s="17"/>
      <c r="BC396" s="23"/>
      <c r="BD396" s="24"/>
      <c r="BE396" s="18"/>
      <c r="BF396" s="23"/>
      <c r="BG396" s="23"/>
      <c r="BH396" s="17"/>
      <c r="BI396" s="18"/>
      <c r="BJ396" s="19"/>
      <c r="BK396" s="18"/>
      <c r="BL396" s="18"/>
      <c r="BM396" s="18"/>
      <c r="BN396" s="25"/>
      <c r="BO396" s="23"/>
      <c r="BP396" s="24"/>
      <c r="BQ396" s="18"/>
      <c r="BR396" s="18"/>
      <c r="BS396" s="18"/>
      <c r="BT396" s="17"/>
      <c r="BU396" s="18"/>
      <c r="BV396" s="19"/>
      <c r="BW396" s="17"/>
      <c r="BX396" s="23"/>
      <c r="BY396" s="24"/>
      <c r="BZ396" s="17"/>
      <c r="CA396" s="18"/>
      <c r="CB396" s="19"/>
      <c r="CC396" s="17"/>
      <c r="CD396" s="18"/>
      <c r="CE396" s="19"/>
      <c r="CF396" s="17"/>
      <c r="CG396" s="18"/>
      <c r="CH396" s="19"/>
      <c r="CI396" s="17"/>
      <c r="CJ396" s="18"/>
      <c r="CK396" s="19"/>
      <c r="CL396" s="17"/>
    </row>
    <row r="397" spans="1:95">
      <c r="A397" s="223">
        <v>45683</v>
      </c>
      <c r="B397" s="16" t="s">
        <v>308</v>
      </c>
      <c r="C397" s="17"/>
      <c r="D397" s="18"/>
      <c r="E397" s="19"/>
      <c r="F397" s="17"/>
      <c r="G397" s="18"/>
      <c r="H397" s="19"/>
      <c r="I397" s="17"/>
      <c r="J397" s="18"/>
      <c r="K397" s="19"/>
      <c r="L397" s="18"/>
      <c r="M397" s="18"/>
      <c r="N397" s="18"/>
      <c r="O397" s="17"/>
      <c r="P397" s="18"/>
      <c r="Q397" s="19"/>
      <c r="R397" s="18"/>
      <c r="S397" s="18"/>
      <c r="T397" s="18"/>
      <c r="U397" s="17"/>
      <c r="V397" s="18"/>
      <c r="W397" s="19"/>
      <c r="X397" s="17"/>
      <c r="Y397" s="18"/>
      <c r="Z397" s="19"/>
      <c r="AA397" s="17"/>
      <c r="AB397" s="18"/>
      <c r="AC397" s="19"/>
      <c r="AD397" s="17"/>
      <c r="AE397" s="18"/>
      <c r="AF397" s="19"/>
      <c r="AG397" s="18"/>
      <c r="AH397" s="18"/>
      <c r="AI397" s="18"/>
      <c r="AJ397" s="20"/>
      <c r="AK397" s="21"/>
      <c r="AL397" s="22"/>
      <c r="AM397" s="18"/>
      <c r="AN397" s="18"/>
      <c r="AO397" s="18"/>
      <c r="AP397" s="17"/>
      <c r="AQ397" s="18"/>
      <c r="AR397" s="19"/>
      <c r="AS397" s="18"/>
      <c r="AT397" s="18"/>
      <c r="AU397" s="18"/>
      <c r="AV397" s="17"/>
      <c r="AW397" s="18"/>
      <c r="AX397" s="19"/>
      <c r="AY397" s="17"/>
      <c r="AZ397" s="18"/>
      <c r="BA397" s="19"/>
      <c r="BB397" s="17"/>
      <c r="BC397" s="23"/>
      <c r="BD397" s="24"/>
      <c r="BE397" s="18"/>
      <c r="BF397" s="23"/>
      <c r="BG397" s="23"/>
      <c r="BH397" s="17"/>
      <c r="BI397" s="18"/>
      <c r="BJ397" s="19"/>
      <c r="BK397" s="18"/>
      <c r="BL397" s="18"/>
      <c r="BM397" s="18"/>
      <c r="BN397" s="25"/>
      <c r="BO397" s="23"/>
      <c r="BP397" s="24"/>
      <c r="BQ397" s="18"/>
      <c r="BR397" s="18"/>
      <c r="BS397" s="18"/>
      <c r="BT397" s="17"/>
      <c r="BU397" s="18"/>
      <c r="BV397" s="19"/>
      <c r="BW397" s="17"/>
      <c r="BX397" s="23"/>
      <c r="BY397" s="24"/>
      <c r="BZ397" s="17"/>
      <c r="CA397" s="18"/>
      <c r="CB397" s="19"/>
      <c r="CC397" s="17"/>
      <c r="CD397" s="18"/>
      <c r="CE397" s="19"/>
      <c r="CF397" s="17"/>
      <c r="CG397" s="18"/>
      <c r="CH397" s="19"/>
      <c r="CI397" s="17"/>
      <c r="CJ397" s="18"/>
      <c r="CK397" s="19"/>
      <c r="CL397" s="17"/>
    </row>
    <row r="398" spans="1:95">
      <c r="A398" s="223">
        <v>45684</v>
      </c>
      <c r="B398" s="16" t="s">
        <v>96</v>
      </c>
      <c r="C398" s="17">
        <v>156.6</v>
      </c>
      <c r="D398" s="18">
        <v>154.6</v>
      </c>
      <c r="E398" s="19">
        <v>155.6</v>
      </c>
      <c r="F398" s="17">
        <v>164.51</v>
      </c>
      <c r="G398" s="18">
        <v>161.51</v>
      </c>
      <c r="H398" s="19">
        <v>163.01</v>
      </c>
      <c r="I398" s="17">
        <v>109.83</v>
      </c>
      <c r="J398" s="18">
        <v>106.63</v>
      </c>
      <c r="K398" s="19">
        <v>108.22999999999999</v>
      </c>
      <c r="L398" s="18">
        <v>197.92</v>
      </c>
      <c r="M398" s="18">
        <v>189.92</v>
      </c>
      <c r="N398" s="18">
        <v>193.92</v>
      </c>
      <c r="O398" s="17">
        <v>172.59</v>
      </c>
      <c r="P398" s="18">
        <v>170.79</v>
      </c>
      <c r="Q398" s="19">
        <v>171.69</v>
      </c>
      <c r="R398" s="18">
        <v>22.14</v>
      </c>
      <c r="S398" s="18">
        <v>21.54</v>
      </c>
      <c r="T398" s="18">
        <v>21.84</v>
      </c>
      <c r="U398" s="17">
        <v>14.14</v>
      </c>
      <c r="V398" s="18">
        <v>13.540000000000001</v>
      </c>
      <c r="W398" s="19">
        <v>13.84</v>
      </c>
      <c r="X398" s="17">
        <v>14.62</v>
      </c>
      <c r="Y398" s="18">
        <v>13.819999999999999</v>
      </c>
      <c r="Z398" s="19">
        <v>14.219999999999999</v>
      </c>
      <c r="AA398" s="17">
        <v>99.93</v>
      </c>
      <c r="AB398" s="18">
        <v>95.93</v>
      </c>
      <c r="AC398" s="19">
        <v>97.93</v>
      </c>
      <c r="AD398" s="17">
        <v>90.55</v>
      </c>
      <c r="AE398" s="18">
        <v>86.55</v>
      </c>
      <c r="AF398" s="19">
        <v>88.55</v>
      </c>
      <c r="AG398" s="18">
        <v>20.41</v>
      </c>
      <c r="AH398" s="18">
        <v>19.55</v>
      </c>
      <c r="AI398" s="18">
        <v>19.98</v>
      </c>
      <c r="AJ398" s="20"/>
      <c r="AK398" s="21"/>
      <c r="AL398" s="22"/>
      <c r="AM398" s="18">
        <v>116.34</v>
      </c>
      <c r="AN398" s="18">
        <v>114.68</v>
      </c>
      <c r="AO398" s="18">
        <v>115.51</v>
      </c>
      <c r="AP398" s="17">
        <v>42.36</v>
      </c>
      <c r="AQ398" s="18">
        <v>40.76</v>
      </c>
      <c r="AR398" s="19">
        <v>41.56</v>
      </c>
      <c r="AS398" s="18">
        <v>43.11</v>
      </c>
      <c r="AT398" s="18">
        <v>41.75</v>
      </c>
      <c r="AU398" s="18">
        <v>42.43</v>
      </c>
      <c r="AV398" s="17">
        <v>21.75</v>
      </c>
      <c r="AW398" s="18">
        <v>21.15</v>
      </c>
      <c r="AX398" s="19">
        <v>21.45</v>
      </c>
      <c r="AY398" s="17">
        <v>4.71</v>
      </c>
      <c r="AZ398" s="18">
        <v>4.55</v>
      </c>
      <c r="BA398" s="19">
        <v>4.63</v>
      </c>
      <c r="BB398" s="17">
        <v>1.96</v>
      </c>
      <c r="BC398" s="23">
        <v>1.66</v>
      </c>
      <c r="BD398" s="24">
        <v>1.81</v>
      </c>
      <c r="BE398" s="18">
        <v>0.71</v>
      </c>
      <c r="BF398" s="23">
        <v>0.41</v>
      </c>
      <c r="BG398" s="23">
        <v>0.55999999999999994</v>
      </c>
      <c r="BH398" s="17">
        <v>514.02</v>
      </c>
      <c r="BI398" s="18">
        <v>498.02</v>
      </c>
      <c r="BJ398" s="19">
        <v>506.02</v>
      </c>
      <c r="BK398" s="18">
        <v>43.44</v>
      </c>
      <c r="BL398" s="18">
        <v>42.08</v>
      </c>
      <c r="BM398" s="18">
        <v>42.76</v>
      </c>
      <c r="BN398" s="25">
        <v>1.0900000000000001</v>
      </c>
      <c r="BO398" s="23">
        <v>0.85000000000000009</v>
      </c>
      <c r="BP398" s="24">
        <v>0.97000000000000008</v>
      </c>
      <c r="BQ398" s="18">
        <v>8.6300000000000008</v>
      </c>
      <c r="BR398" s="18">
        <v>6.6300000000000008</v>
      </c>
      <c r="BS398" s="18">
        <v>7.6300000000000008</v>
      </c>
      <c r="BT398" s="17">
        <v>11.13</v>
      </c>
      <c r="BU398" s="18">
        <v>10.73</v>
      </c>
      <c r="BV398" s="19">
        <v>10.93</v>
      </c>
      <c r="BW398" s="17">
        <v>2.83</v>
      </c>
      <c r="BX398" s="23">
        <v>2.5499999999999998</v>
      </c>
      <c r="BY398" s="24">
        <v>2.69</v>
      </c>
      <c r="BZ398" s="17">
        <v>9.9</v>
      </c>
      <c r="CA398" s="18">
        <v>6.9</v>
      </c>
      <c r="CB398" s="19">
        <v>8.4</v>
      </c>
      <c r="CC398" s="17">
        <v>6.63</v>
      </c>
      <c r="CD398" s="18">
        <v>6.39</v>
      </c>
      <c r="CE398" s="19">
        <v>6.51</v>
      </c>
      <c r="CF398" s="17">
        <v>1.84</v>
      </c>
      <c r="CG398" s="18">
        <v>1.34</v>
      </c>
      <c r="CH398" s="19">
        <v>1.59</v>
      </c>
      <c r="CI398" s="17">
        <v>0.42</v>
      </c>
      <c r="CJ398" s="18">
        <v>0.38</v>
      </c>
      <c r="CK398" s="19">
        <v>0.4</v>
      </c>
      <c r="CL398" s="17">
        <v>39.909999999999997</v>
      </c>
      <c r="CM398">
        <v>37.51</v>
      </c>
      <c r="CN398">
        <v>38.709999999999994</v>
      </c>
      <c r="CO398">
        <v>6.86</v>
      </c>
      <c r="CP398">
        <v>1.8600000000000003</v>
      </c>
      <c r="CQ398">
        <v>4.3600000000000003</v>
      </c>
    </row>
    <row r="399" spans="1:95">
      <c r="A399" s="223">
        <v>45685</v>
      </c>
      <c r="B399" s="16" t="s">
        <v>97</v>
      </c>
      <c r="C399" s="17">
        <v>156.13</v>
      </c>
      <c r="D399" s="18">
        <v>154.13</v>
      </c>
      <c r="E399" s="19">
        <v>155.13</v>
      </c>
      <c r="F399" s="17">
        <v>163.55000000000001</v>
      </c>
      <c r="G399" s="18">
        <v>160.55000000000001</v>
      </c>
      <c r="H399" s="19">
        <v>162.05000000000001</v>
      </c>
      <c r="I399" s="17">
        <v>109.4</v>
      </c>
      <c r="J399" s="18">
        <v>106.2</v>
      </c>
      <c r="K399" s="19">
        <v>107.80000000000001</v>
      </c>
      <c r="L399" s="18">
        <v>197.26</v>
      </c>
      <c r="M399" s="18">
        <v>189.26</v>
      </c>
      <c r="N399" s="18">
        <v>193.26</v>
      </c>
      <c r="O399" s="17">
        <v>172.43</v>
      </c>
      <c r="P399" s="18">
        <v>170.63</v>
      </c>
      <c r="Q399" s="19">
        <v>171.53</v>
      </c>
      <c r="R399" s="18">
        <v>22.02</v>
      </c>
      <c r="S399" s="18">
        <v>21.419999999999998</v>
      </c>
      <c r="T399" s="18">
        <v>21.72</v>
      </c>
      <c r="U399" s="17">
        <v>14.03</v>
      </c>
      <c r="V399" s="18">
        <v>13.43</v>
      </c>
      <c r="W399" s="19">
        <v>13.73</v>
      </c>
      <c r="X399" s="17">
        <v>14.53</v>
      </c>
      <c r="Y399" s="18">
        <v>13.729999999999999</v>
      </c>
      <c r="Z399" s="19">
        <v>14.129999999999999</v>
      </c>
      <c r="AA399" s="17">
        <v>99.22</v>
      </c>
      <c r="AB399" s="18">
        <v>95.22</v>
      </c>
      <c r="AC399" s="19">
        <v>97.22</v>
      </c>
      <c r="AD399" s="17">
        <v>89.91</v>
      </c>
      <c r="AE399" s="18">
        <v>85.91</v>
      </c>
      <c r="AF399" s="19">
        <v>87.91</v>
      </c>
      <c r="AG399" s="18">
        <v>20.350000000000001</v>
      </c>
      <c r="AH399" s="18">
        <v>19.490000000000002</v>
      </c>
      <c r="AI399" s="18">
        <v>19.920000000000002</v>
      </c>
      <c r="AJ399" s="20"/>
      <c r="AK399" s="21"/>
      <c r="AL399" s="22"/>
      <c r="AM399" s="18">
        <v>115.77</v>
      </c>
      <c r="AN399" s="18">
        <v>114.11</v>
      </c>
      <c r="AO399" s="18">
        <v>114.94</v>
      </c>
      <c r="AP399" s="17">
        <v>42.22</v>
      </c>
      <c r="AQ399" s="18">
        <v>40.619999999999997</v>
      </c>
      <c r="AR399" s="19">
        <v>41.42</v>
      </c>
      <c r="AS399" s="18">
        <v>42.98</v>
      </c>
      <c r="AT399" s="18">
        <v>41.62</v>
      </c>
      <c r="AU399" s="18">
        <v>42.3</v>
      </c>
      <c r="AV399" s="17">
        <v>21.62</v>
      </c>
      <c r="AW399" s="18">
        <v>21.02</v>
      </c>
      <c r="AX399" s="19">
        <v>21.32</v>
      </c>
      <c r="AY399" s="17">
        <v>4.6500000000000004</v>
      </c>
      <c r="AZ399" s="18">
        <v>4.49</v>
      </c>
      <c r="BA399" s="19">
        <v>4.57</v>
      </c>
      <c r="BB399" s="17">
        <v>1.95</v>
      </c>
      <c r="BC399" s="23">
        <v>1.65</v>
      </c>
      <c r="BD399" s="24">
        <v>1.7999999999999998</v>
      </c>
      <c r="BE399" s="18">
        <v>0.71</v>
      </c>
      <c r="BF399" s="23">
        <v>0.41</v>
      </c>
      <c r="BG399" s="23">
        <v>0.55999999999999994</v>
      </c>
      <c r="BH399" s="17">
        <v>512.16</v>
      </c>
      <c r="BI399" s="18">
        <v>496.15999999999997</v>
      </c>
      <c r="BJ399" s="19">
        <v>504.15999999999997</v>
      </c>
      <c r="BK399" s="18">
        <v>43.3</v>
      </c>
      <c r="BL399" s="18">
        <v>41.94</v>
      </c>
      <c r="BM399" s="18">
        <v>42.62</v>
      </c>
      <c r="BN399" s="25">
        <v>1.08</v>
      </c>
      <c r="BO399" s="23">
        <v>0.84000000000000008</v>
      </c>
      <c r="BP399" s="24">
        <v>0.96000000000000008</v>
      </c>
      <c r="BQ399" s="18">
        <v>8.49</v>
      </c>
      <c r="BR399" s="18">
        <v>6.49</v>
      </c>
      <c r="BS399" s="18">
        <v>7.49</v>
      </c>
      <c r="BT399" s="17">
        <v>11.03</v>
      </c>
      <c r="BU399" s="18">
        <v>10.629999999999999</v>
      </c>
      <c r="BV399" s="19">
        <v>10.829999999999998</v>
      </c>
      <c r="BW399" s="17">
        <v>2.81</v>
      </c>
      <c r="BX399" s="23">
        <v>2.5300000000000002</v>
      </c>
      <c r="BY399" s="24">
        <v>2.67</v>
      </c>
      <c r="BZ399" s="17">
        <v>9.75</v>
      </c>
      <c r="CA399" s="18">
        <v>6.75</v>
      </c>
      <c r="CB399" s="19">
        <v>8.25</v>
      </c>
      <c r="CC399" s="17">
        <v>6.58</v>
      </c>
      <c r="CD399" s="18">
        <v>6.34</v>
      </c>
      <c r="CE399" s="19">
        <v>6.46</v>
      </c>
      <c r="CF399" s="17">
        <v>1.84</v>
      </c>
      <c r="CG399" s="18">
        <v>1.34</v>
      </c>
      <c r="CH399" s="19">
        <v>1.59</v>
      </c>
      <c r="CI399" s="17">
        <v>0.42</v>
      </c>
      <c r="CJ399" s="18">
        <v>0.38</v>
      </c>
      <c r="CK399" s="19">
        <v>0.4</v>
      </c>
      <c r="CL399" s="17">
        <v>39.659999999999997</v>
      </c>
      <c r="CM399">
        <v>37.26</v>
      </c>
      <c r="CN399">
        <v>38.459999999999994</v>
      </c>
      <c r="CO399">
        <v>6.84</v>
      </c>
      <c r="CP399">
        <v>1.8399999999999999</v>
      </c>
      <c r="CQ399">
        <v>4.34</v>
      </c>
    </row>
    <row r="400" spans="1:95">
      <c r="A400" s="223">
        <v>45686</v>
      </c>
      <c r="B400" s="16" t="s">
        <v>98</v>
      </c>
      <c r="C400" s="17">
        <v>156.68</v>
      </c>
      <c r="D400" s="18">
        <v>154.68</v>
      </c>
      <c r="E400" s="19">
        <v>155.68</v>
      </c>
      <c r="F400" s="17">
        <v>163.87</v>
      </c>
      <c r="G400" s="18">
        <v>160.87</v>
      </c>
      <c r="H400" s="19">
        <v>162.37</v>
      </c>
      <c r="I400" s="17">
        <v>109.69</v>
      </c>
      <c r="J400" s="18">
        <v>106.49</v>
      </c>
      <c r="K400" s="19">
        <v>108.09</v>
      </c>
      <c r="L400" s="18">
        <v>197.65</v>
      </c>
      <c r="M400" s="18">
        <v>189.65</v>
      </c>
      <c r="N400" s="18">
        <v>193.65</v>
      </c>
      <c r="O400" s="17">
        <v>173.07</v>
      </c>
      <c r="P400" s="18">
        <v>171.26999999999998</v>
      </c>
      <c r="Q400" s="19">
        <v>172.17</v>
      </c>
      <c r="R400" s="18">
        <v>22.06</v>
      </c>
      <c r="S400" s="18">
        <v>21.459999999999997</v>
      </c>
      <c r="T400" s="18">
        <v>21.759999999999998</v>
      </c>
      <c r="U400" s="17">
        <v>14.11</v>
      </c>
      <c r="V400" s="18">
        <v>13.51</v>
      </c>
      <c r="W400" s="19">
        <v>13.809999999999999</v>
      </c>
      <c r="X400" s="17">
        <v>14.56</v>
      </c>
      <c r="Y400" s="18">
        <v>13.76</v>
      </c>
      <c r="Z400" s="19">
        <v>14.16</v>
      </c>
      <c r="AA400" s="17">
        <v>99.05</v>
      </c>
      <c r="AB400" s="18">
        <v>95.05</v>
      </c>
      <c r="AC400" s="19">
        <v>97.05</v>
      </c>
      <c r="AD400" s="17">
        <v>90.13</v>
      </c>
      <c r="AE400" s="18">
        <v>86.13</v>
      </c>
      <c r="AF400" s="19">
        <v>88.13</v>
      </c>
      <c r="AG400" s="18">
        <v>20.41</v>
      </c>
      <c r="AH400" s="18">
        <v>19.55</v>
      </c>
      <c r="AI400" s="18">
        <v>19.98</v>
      </c>
      <c r="AJ400" s="20"/>
      <c r="AK400" s="21"/>
      <c r="AL400" s="22"/>
      <c r="AM400" s="18">
        <v>115.97</v>
      </c>
      <c r="AN400" s="18">
        <v>114.31</v>
      </c>
      <c r="AO400" s="18">
        <v>115.14</v>
      </c>
      <c r="AP400" s="17">
        <v>42.35</v>
      </c>
      <c r="AQ400" s="18">
        <v>40.75</v>
      </c>
      <c r="AR400" s="19">
        <v>41.55</v>
      </c>
      <c r="AS400" s="18">
        <v>43.13</v>
      </c>
      <c r="AT400" s="18">
        <v>41.77</v>
      </c>
      <c r="AU400" s="18">
        <v>42.45</v>
      </c>
      <c r="AV400" s="17">
        <v>21.69</v>
      </c>
      <c r="AW400" s="18">
        <v>21.09</v>
      </c>
      <c r="AX400" s="19">
        <v>21.39</v>
      </c>
      <c r="AY400" s="17">
        <v>4.68</v>
      </c>
      <c r="AZ400" s="18">
        <v>4.5199999999999996</v>
      </c>
      <c r="BA400" s="19">
        <v>4.5999999999999996</v>
      </c>
      <c r="BB400" s="17">
        <v>1.96</v>
      </c>
      <c r="BC400" s="23">
        <v>1.66</v>
      </c>
      <c r="BD400" s="24">
        <v>1.81</v>
      </c>
      <c r="BE400" s="18">
        <v>0.71</v>
      </c>
      <c r="BF400" s="23">
        <v>0.41</v>
      </c>
      <c r="BG400" s="23">
        <v>0.55999999999999994</v>
      </c>
      <c r="BH400" s="17">
        <v>513.78</v>
      </c>
      <c r="BI400" s="18">
        <v>497.78</v>
      </c>
      <c r="BJ400" s="19">
        <v>505.78</v>
      </c>
      <c r="BK400" s="18">
        <v>43.46</v>
      </c>
      <c r="BL400" s="18">
        <v>42.1</v>
      </c>
      <c r="BM400" s="18">
        <v>42.78</v>
      </c>
      <c r="BN400" s="25">
        <v>1.0900000000000001</v>
      </c>
      <c r="BO400" s="23">
        <v>0.85000000000000009</v>
      </c>
      <c r="BP400" s="24">
        <v>0.97000000000000008</v>
      </c>
      <c r="BQ400" s="18">
        <v>8.58</v>
      </c>
      <c r="BR400" s="18">
        <v>6.58</v>
      </c>
      <c r="BS400" s="18">
        <v>7.58</v>
      </c>
      <c r="BT400" s="17">
        <v>10.98</v>
      </c>
      <c r="BU400" s="18">
        <v>10.58</v>
      </c>
      <c r="BV400" s="19">
        <v>10.780000000000001</v>
      </c>
      <c r="BW400" s="17">
        <v>2.82</v>
      </c>
      <c r="BX400" s="23">
        <v>2.54</v>
      </c>
      <c r="BY400" s="24">
        <v>2.6799999999999997</v>
      </c>
      <c r="BZ400" s="17">
        <v>9.82</v>
      </c>
      <c r="CA400" s="18">
        <v>6.82</v>
      </c>
      <c r="CB400" s="19">
        <v>8.32</v>
      </c>
      <c r="CC400" s="17">
        <v>6.6</v>
      </c>
      <c r="CD400" s="18">
        <v>6.3599999999999994</v>
      </c>
      <c r="CE400" s="19">
        <v>6.4799999999999995</v>
      </c>
      <c r="CF400" s="17">
        <v>1.84</v>
      </c>
      <c r="CG400" s="18">
        <v>1.34</v>
      </c>
      <c r="CH400" s="19">
        <v>1.59</v>
      </c>
      <c r="CI400" s="17">
        <v>0.42</v>
      </c>
      <c r="CJ400" s="18">
        <v>0.38</v>
      </c>
      <c r="CK400" s="19">
        <v>0.4</v>
      </c>
      <c r="CL400" s="17">
        <v>39.86</v>
      </c>
      <c r="CM400">
        <v>37.46</v>
      </c>
      <c r="CN400">
        <v>38.659999999999997</v>
      </c>
      <c r="CO400">
        <v>6.86</v>
      </c>
      <c r="CP400">
        <v>1.8600000000000003</v>
      </c>
      <c r="CQ400">
        <v>4.3600000000000003</v>
      </c>
    </row>
    <row r="401" spans="1:95">
      <c r="A401" s="223">
        <v>45687</v>
      </c>
      <c r="B401" s="16" t="s">
        <v>99</v>
      </c>
      <c r="C401" s="17">
        <v>155.76</v>
      </c>
      <c r="D401" s="18">
        <v>153.76</v>
      </c>
      <c r="E401" s="19">
        <v>154.76</v>
      </c>
      <c r="F401" s="17">
        <v>162.84</v>
      </c>
      <c r="G401" s="18">
        <v>159.84</v>
      </c>
      <c r="H401" s="19">
        <v>161.34</v>
      </c>
      <c r="I401" s="17">
        <v>109.01</v>
      </c>
      <c r="J401" s="18">
        <v>105.81</v>
      </c>
      <c r="K401" s="19">
        <v>107.41</v>
      </c>
      <c r="L401" s="18">
        <v>196.71</v>
      </c>
      <c r="M401" s="18">
        <v>188.71</v>
      </c>
      <c r="N401" s="18">
        <v>192.71</v>
      </c>
      <c r="O401" s="17">
        <v>171.66</v>
      </c>
      <c r="P401" s="18">
        <v>169.85999999999999</v>
      </c>
      <c r="Q401" s="19">
        <v>170.76</v>
      </c>
      <c r="R401" s="18">
        <v>21.92</v>
      </c>
      <c r="S401" s="18">
        <v>21.32</v>
      </c>
      <c r="T401" s="18">
        <v>21.62</v>
      </c>
      <c r="U401" s="17">
        <v>14.02</v>
      </c>
      <c r="V401" s="18">
        <v>13.42</v>
      </c>
      <c r="W401" s="19">
        <v>13.719999999999999</v>
      </c>
      <c r="X401" s="17">
        <v>14.48</v>
      </c>
      <c r="Y401" s="18">
        <v>13.68</v>
      </c>
      <c r="Z401" s="19">
        <v>14.08</v>
      </c>
      <c r="AA401" s="17">
        <v>98.52</v>
      </c>
      <c r="AB401" s="18">
        <v>94.52</v>
      </c>
      <c r="AC401" s="19">
        <v>96.52</v>
      </c>
      <c r="AD401" s="17">
        <v>89.64</v>
      </c>
      <c r="AE401" s="18">
        <v>85.64</v>
      </c>
      <c r="AF401" s="19">
        <v>87.64</v>
      </c>
      <c r="AG401" s="18">
        <v>20.29</v>
      </c>
      <c r="AH401" s="18">
        <v>19.43</v>
      </c>
      <c r="AI401" s="18">
        <v>19.86</v>
      </c>
      <c r="AJ401" s="20"/>
      <c r="AK401" s="21"/>
      <c r="AL401" s="22"/>
      <c r="AM401" s="18">
        <v>115.49</v>
      </c>
      <c r="AN401" s="18">
        <v>113.83</v>
      </c>
      <c r="AO401" s="18">
        <v>114.66</v>
      </c>
      <c r="AP401" s="17">
        <v>42.12</v>
      </c>
      <c r="AQ401" s="18">
        <v>40.519999999999996</v>
      </c>
      <c r="AR401" s="19">
        <v>41.319999999999993</v>
      </c>
      <c r="AS401" s="18">
        <v>42.88</v>
      </c>
      <c r="AT401" s="18">
        <v>41.52</v>
      </c>
      <c r="AU401" s="18">
        <v>42.2</v>
      </c>
      <c r="AV401" s="17">
        <v>21.59</v>
      </c>
      <c r="AW401" s="18">
        <v>20.99</v>
      </c>
      <c r="AX401" s="19">
        <v>21.29</v>
      </c>
      <c r="AY401" s="17">
        <v>4.68</v>
      </c>
      <c r="AZ401" s="18">
        <v>4.5199999999999996</v>
      </c>
      <c r="BA401" s="19">
        <v>4.5999999999999996</v>
      </c>
      <c r="BB401" s="17">
        <v>1.95</v>
      </c>
      <c r="BC401" s="23">
        <v>1.65</v>
      </c>
      <c r="BD401" s="24">
        <v>1.7999999999999998</v>
      </c>
      <c r="BE401" s="18">
        <v>0.71</v>
      </c>
      <c r="BF401" s="23">
        <v>0.41</v>
      </c>
      <c r="BG401" s="23">
        <v>0.55999999999999994</v>
      </c>
      <c r="BH401" s="17">
        <v>510.96</v>
      </c>
      <c r="BI401" s="18">
        <v>494.96</v>
      </c>
      <c r="BJ401" s="19">
        <v>502.96</v>
      </c>
      <c r="BK401" s="18">
        <v>43.21</v>
      </c>
      <c r="BL401" s="18">
        <v>41.85</v>
      </c>
      <c r="BM401" s="18">
        <v>42.53</v>
      </c>
      <c r="BN401" s="25">
        <v>1.08</v>
      </c>
      <c r="BO401" s="23">
        <v>0.84000000000000008</v>
      </c>
      <c r="BP401" s="24">
        <v>0.96000000000000008</v>
      </c>
      <c r="BQ401" s="18">
        <v>8.56</v>
      </c>
      <c r="BR401" s="18">
        <v>6.5600000000000005</v>
      </c>
      <c r="BS401" s="18">
        <v>7.5600000000000005</v>
      </c>
      <c r="BT401" s="17">
        <v>10.94</v>
      </c>
      <c r="BU401" s="18">
        <v>10.54</v>
      </c>
      <c r="BV401" s="19">
        <v>10.739999999999998</v>
      </c>
      <c r="BW401" s="17">
        <v>2.81</v>
      </c>
      <c r="BX401" s="23">
        <v>2.5300000000000002</v>
      </c>
      <c r="BY401" s="24">
        <v>2.67</v>
      </c>
      <c r="BZ401" s="17">
        <v>9.84</v>
      </c>
      <c r="CA401" s="18">
        <v>6.84</v>
      </c>
      <c r="CB401" s="19">
        <v>8.34</v>
      </c>
      <c r="CC401" s="17">
        <v>6.55</v>
      </c>
      <c r="CD401" s="18">
        <v>6.31</v>
      </c>
      <c r="CE401" s="19">
        <v>6.43</v>
      </c>
      <c r="CF401" s="17">
        <v>1.81</v>
      </c>
      <c r="CG401" s="18">
        <v>1.31</v>
      </c>
      <c r="CH401" s="19">
        <v>1.56</v>
      </c>
      <c r="CI401" s="17">
        <v>0.42</v>
      </c>
      <c r="CJ401" s="18">
        <v>0.38</v>
      </c>
      <c r="CK401" s="19">
        <v>0.4</v>
      </c>
      <c r="CL401" s="17">
        <v>39.6</v>
      </c>
      <c r="CM401">
        <v>37.200000000000003</v>
      </c>
      <c r="CN401">
        <v>38.400000000000006</v>
      </c>
      <c r="CO401">
        <v>6.83</v>
      </c>
      <c r="CP401">
        <v>1.83</v>
      </c>
      <c r="CQ401">
        <v>4.33</v>
      </c>
    </row>
    <row r="402" spans="1:95">
      <c r="A402" s="223">
        <v>45688</v>
      </c>
      <c r="B402" s="16" t="s">
        <v>100</v>
      </c>
      <c r="C402" s="17">
        <v>155.43</v>
      </c>
      <c r="D402" s="18">
        <v>153.43</v>
      </c>
      <c r="E402" s="19">
        <v>154.43</v>
      </c>
      <c r="F402" s="17">
        <v>161.86000000000001</v>
      </c>
      <c r="G402" s="18">
        <v>158.86000000000001</v>
      </c>
      <c r="H402" s="19">
        <v>160.36000000000001</v>
      </c>
      <c r="I402" s="17">
        <v>108.09</v>
      </c>
      <c r="J402" s="18">
        <v>104.89</v>
      </c>
      <c r="K402" s="19">
        <v>106.49000000000001</v>
      </c>
      <c r="L402" s="18">
        <v>195.69</v>
      </c>
      <c r="M402" s="18">
        <v>187.69</v>
      </c>
      <c r="N402" s="18">
        <v>191.69</v>
      </c>
      <c r="O402" s="17">
        <v>170.49</v>
      </c>
      <c r="P402" s="18">
        <v>168.69</v>
      </c>
      <c r="Q402" s="19">
        <v>169.59</v>
      </c>
      <c r="R402" s="18">
        <v>21.79</v>
      </c>
      <c r="S402" s="18">
        <v>21.189999999999998</v>
      </c>
      <c r="T402" s="18">
        <v>21.49</v>
      </c>
      <c r="U402" s="17">
        <v>13.93</v>
      </c>
      <c r="V402" s="18">
        <v>13.33</v>
      </c>
      <c r="W402" s="19">
        <v>13.629999999999999</v>
      </c>
      <c r="X402" s="17">
        <v>14.35</v>
      </c>
      <c r="Y402" s="18">
        <v>13.549999999999999</v>
      </c>
      <c r="Z402" s="19">
        <v>13.95</v>
      </c>
      <c r="AA402" s="17">
        <v>97.87</v>
      </c>
      <c r="AB402" s="18">
        <v>93.87</v>
      </c>
      <c r="AC402" s="19">
        <v>95.87</v>
      </c>
      <c r="AD402" s="17">
        <v>88.87</v>
      </c>
      <c r="AE402" s="18">
        <v>84.87</v>
      </c>
      <c r="AF402" s="19">
        <v>86.87</v>
      </c>
      <c r="AG402" s="18">
        <v>20.25</v>
      </c>
      <c r="AH402" s="18">
        <v>19.39</v>
      </c>
      <c r="AI402" s="18">
        <v>19.82</v>
      </c>
      <c r="AJ402" s="20"/>
      <c r="AK402" s="21"/>
      <c r="AL402" s="22"/>
      <c r="AM402" s="18">
        <v>114.87</v>
      </c>
      <c r="AN402" s="18">
        <v>113.21000000000001</v>
      </c>
      <c r="AO402" s="18">
        <v>114.04</v>
      </c>
      <c r="AP402" s="17">
        <v>42.04</v>
      </c>
      <c r="AQ402" s="18">
        <v>40.44</v>
      </c>
      <c r="AR402" s="19">
        <v>41.239999999999995</v>
      </c>
      <c r="AS402" s="18">
        <v>42.8</v>
      </c>
      <c r="AT402" s="18">
        <v>41.44</v>
      </c>
      <c r="AU402" s="18">
        <v>42.12</v>
      </c>
      <c r="AV402" s="17">
        <v>21.46</v>
      </c>
      <c r="AW402" s="18">
        <v>20.86</v>
      </c>
      <c r="AX402" s="19">
        <v>21.16</v>
      </c>
      <c r="AY402" s="17">
        <v>4.67</v>
      </c>
      <c r="AZ402" s="18">
        <v>4.51</v>
      </c>
      <c r="BA402" s="19">
        <v>4.59</v>
      </c>
      <c r="BB402" s="17">
        <v>1.94</v>
      </c>
      <c r="BC402" s="23">
        <v>1.64</v>
      </c>
      <c r="BD402" s="24">
        <v>1.79</v>
      </c>
      <c r="BE402" s="18">
        <v>0.71</v>
      </c>
      <c r="BF402" s="23">
        <v>0.41</v>
      </c>
      <c r="BG402" s="23">
        <v>0.55999999999999994</v>
      </c>
      <c r="BH402" s="17">
        <v>509.56</v>
      </c>
      <c r="BI402" s="18">
        <v>493.56</v>
      </c>
      <c r="BJ402" s="19">
        <v>501.56</v>
      </c>
      <c r="BK402" s="18">
        <v>43.12</v>
      </c>
      <c r="BL402" s="18">
        <v>41.76</v>
      </c>
      <c r="BM402" s="18">
        <v>42.44</v>
      </c>
      <c r="BN402" s="25">
        <v>1.07</v>
      </c>
      <c r="BO402" s="23">
        <v>0.83000000000000007</v>
      </c>
      <c r="BP402" s="24">
        <v>0.95000000000000007</v>
      </c>
      <c r="BQ402" s="18">
        <v>8.4700000000000006</v>
      </c>
      <c r="BR402" s="18">
        <v>6.4700000000000006</v>
      </c>
      <c r="BS402" s="18">
        <v>7.4700000000000006</v>
      </c>
      <c r="BT402" s="17">
        <v>10.84</v>
      </c>
      <c r="BU402" s="18">
        <v>10.44</v>
      </c>
      <c r="BV402" s="19">
        <v>10.64</v>
      </c>
      <c r="BW402" s="17">
        <v>2.81</v>
      </c>
      <c r="BX402" s="23">
        <v>2.5300000000000002</v>
      </c>
      <c r="BY402" s="24">
        <v>2.67</v>
      </c>
      <c r="BZ402" s="17">
        <v>9.81</v>
      </c>
      <c r="CA402" s="18">
        <v>6.8100000000000005</v>
      </c>
      <c r="CB402" s="19">
        <v>8.31</v>
      </c>
      <c r="CC402" s="17">
        <v>6.51</v>
      </c>
      <c r="CD402" s="18">
        <v>6.27</v>
      </c>
      <c r="CE402" s="19">
        <v>6.39</v>
      </c>
      <c r="CF402" s="17">
        <v>1.82</v>
      </c>
      <c r="CG402" s="18">
        <v>1.32</v>
      </c>
      <c r="CH402" s="19">
        <v>1.57</v>
      </c>
      <c r="CI402" s="17">
        <v>0.41</v>
      </c>
      <c r="CJ402" s="18">
        <v>0.37</v>
      </c>
      <c r="CK402" s="19">
        <v>0.39</v>
      </c>
      <c r="CL402" s="17">
        <v>39.36</v>
      </c>
      <c r="CM402">
        <v>36.96</v>
      </c>
      <c r="CN402">
        <v>38.159999999999997</v>
      </c>
      <c r="CO402">
        <v>6.81</v>
      </c>
      <c r="CP402">
        <v>1.8099999999999996</v>
      </c>
      <c r="CQ402">
        <v>4.3099999999999996</v>
      </c>
    </row>
    <row r="403" spans="1:95">
      <c r="A403" s="223">
        <v>45689</v>
      </c>
      <c r="B403" s="16" t="s">
        <v>307</v>
      </c>
      <c r="C403" s="17"/>
      <c r="D403" s="18"/>
      <c r="E403" s="19"/>
      <c r="F403" s="17"/>
      <c r="G403" s="18"/>
      <c r="H403" s="19"/>
      <c r="I403" s="17"/>
      <c r="J403" s="18"/>
      <c r="K403" s="19"/>
      <c r="L403" s="18"/>
      <c r="M403" s="18"/>
      <c r="N403" s="18"/>
      <c r="O403" s="17"/>
      <c r="P403" s="18"/>
      <c r="Q403" s="19"/>
      <c r="R403" s="18"/>
      <c r="S403" s="18"/>
      <c r="T403" s="18"/>
      <c r="U403" s="17"/>
      <c r="V403" s="18"/>
      <c r="W403" s="19"/>
      <c r="X403" s="17"/>
      <c r="Y403" s="18"/>
      <c r="Z403" s="19"/>
      <c r="AA403" s="17"/>
      <c r="AB403" s="18"/>
      <c r="AC403" s="19"/>
      <c r="AD403" s="17"/>
      <c r="AE403" s="18"/>
      <c r="AF403" s="19"/>
      <c r="AG403" s="18"/>
      <c r="AH403" s="18"/>
      <c r="AI403" s="18"/>
      <c r="AJ403" s="20"/>
      <c r="AK403" s="21"/>
      <c r="AL403" s="22"/>
      <c r="AM403" s="18"/>
      <c r="AN403" s="18"/>
      <c r="AO403" s="18"/>
      <c r="AP403" s="17"/>
      <c r="AQ403" s="18"/>
      <c r="AR403" s="19"/>
      <c r="AS403" s="18"/>
      <c r="AT403" s="18"/>
      <c r="AU403" s="18"/>
      <c r="AV403" s="17"/>
      <c r="AW403" s="18"/>
      <c r="AX403" s="19"/>
      <c r="AY403" s="17"/>
      <c r="AZ403" s="18"/>
      <c r="BA403" s="19"/>
      <c r="BB403" s="17"/>
      <c r="BC403" s="23"/>
      <c r="BD403" s="24"/>
      <c r="BE403" s="18"/>
      <c r="BF403" s="23"/>
      <c r="BG403" s="23"/>
      <c r="BH403" s="17"/>
      <c r="BI403" s="18"/>
      <c r="BJ403" s="19"/>
      <c r="BK403" s="18"/>
      <c r="BL403" s="18"/>
      <c r="BM403" s="18"/>
      <c r="BN403" s="25"/>
      <c r="BO403" s="23"/>
      <c r="BP403" s="24"/>
      <c r="BQ403" s="18"/>
      <c r="BR403" s="18"/>
      <c r="BS403" s="18"/>
      <c r="BT403" s="17"/>
      <c r="BU403" s="18"/>
      <c r="BV403" s="19"/>
      <c r="BW403" s="17"/>
      <c r="BX403" s="23"/>
      <c r="BY403" s="24"/>
      <c r="BZ403" s="17"/>
      <c r="CA403" s="18"/>
      <c r="CB403" s="19"/>
      <c r="CC403" s="17"/>
      <c r="CD403" s="18"/>
      <c r="CE403" s="19"/>
      <c r="CF403" s="17"/>
      <c r="CG403" s="18"/>
      <c r="CH403" s="19"/>
      <c r="CI403" s="17"/>
      <c r="CJ403" s="18"/>
      <c r="CK403" s="19"/>
      <c r="CL403" s="17"/>
    </row>
    <row r="404" spans="1:95">
      <c r="A404" s="223">
        <v>45690</v>
      </c>
      <c r="B404" s="16" t="s">
        <v>308</v>
      </c>
      <c r="C404" s="17"/>
      <c r="D404" s="18"/>
      <c r="E404" s="19"/>
      <c r="F404" s="17"/>
      <c r="G404" s="18"/>
      <c r="H404" s="19"/>
      <c r="I404" s="17"/>
      <c r="J404" s="18"/>
      <c r="K404" s="19"/>
      <c r="L404" s="18"/>
      <c r="M404" s="18"/>
      <c r="N404" s="18"/>
      <c r="O404" s="17"/>
      <c r="P404" s="18"/>
      <c r="Q404" s="19"/>
      <c r="R404" s="18"/>
      <c r="S404" s="18"/>
      <c r="T404" s="18"/>
      <c r="U404" s="17"/>
      <c r="V404" s="18"/>
      <c r="W404" s="19"/>
      <c r="X404" s="17"/>
      <c r="Y404" s="18"/>
      <c r="Z404" s="19"/>
      <c r="AA404" s="17"/>
      <c r="AB404" s="18"/>
      <c r="AC404" s="19"/>
      <c r="AD404" s="17"/>
      <c r="AE404" s="18"/>
      <c r="AF404" s="19"/>
      <c r="AG404" s="18"/>
      <c r="AH404" s="18"/>
      <c r="AI404" s="18"/>
      <c r="AJ404" s="20"/>
      <c r="AK404" s="21"/>
      <c r="AL404" s="22"/>
      <c r="AM404" s="18"/>
      <c r="AN404" s="18"/>
      <c r="AO404" s="18"/>
      <c r="AP404" s="17"/>
      <c r="AQ404" s="18"/>
      <c r="AR404" s="19"/>
      <c r="AS404" s="18"/>
      <c r="AT404" s="18"/>
      <c r="AU404" s="18"/>
      <c r="AV404" s="17"/>
      <c r="AW404" s="18"/>
      <c r="AX404" s="19"/>
      <c r="AY404" s="17"/>
      <c r="AZ404" s="18"/>
      <c r="BA404" s="19"/>
      <c r="BB404" s="17"/>
      <c r="BC404" s="23"/>
      <c r="BD404" s="24"/>
      <c r="BE404" s="18"/>
      <c r="BF404" s="23"/>
      <c r="BG404" s="23"/>
      <c r="BH404" s="17"/>
      <c r="BI404" s="18"/>
      <c r="BJ404" s="19"/>
      <c r="BK404" s="18"/>
      <c r="BL404" s="18"/>
      <c r="BM404" s="18"/>
      <c r="BN404" s="25"/>
      <c r="BO404" s="23"/>
      <c r="BP404" s="24"/>
      <c r="BQ404" s="18"/>
      <c r="BR404" s="18"/>
      <c r="BS404" s="18"/>
      <c r="BT404" s="17"/>
      <c r="BU404" s="18"/>
      <c r="BV404" s="19"/>
      <c r="BW404" s="17"/>
      <c r="BX404" s="23"/>
      <c r="BY404" s="24"/>
      <c r="BZ404" s="17"/>
      <c r="CA404" s="18"/>
      <c r="CB404" s="19"/>
      <c r="CC404" s="17"/>
      <c r="CD404" s="18"/>
      <c r="CE404" s="19"/>
      <c r="CF404" s="17"/>
      <c r="CG404" s="18"/>
      <c r="CH404" s="19"/>
      <c r="CI404" s="17"/>
      <c r="CJ404" s="18"/>
      <c r="CK404" s="19"/>
      <c r="CL404" s="17"/>
    </row>
    <row r="405" spans="1:95">
      <c r="A405" s="223">
        <v>45691</v>
      </c>
      <c r="B405" s="16" t="s">
        <v>96</v>
      </c>
      <c r="C405" s="17">
        <v>156.71</v>
      </c>
      <c r="D405" s="18">
        <v>154.71</v>
      </c>
      <c r="E405" s="19">
        <v>155.71</v>
      </c>
      <c r="F405" s="17">
        <v>160.62</v>
      </c>
      <c r="G405" s="18">
        <v>157.62</v>
      </c>
      <c r="H405" s="19">
        <v>159.12</v>
      </c>
      <c r="I405" s="17">
        <v>107.29</v>
      </c>
      <c r="J405" s="18">
        <v>104.09</v>
      </c>
      <c r="K405" s="19">
        <v>105.69</v>
      </c>
      <c r="L405" s="18">
        <v>195.03</v>
      </c>
      <c r="M405" s="18">
        <v>187.03</v>
      </c>
      <c r="N405" s="18">
        <v>191.03</v>
      </c>
      <c r="O405" s="17">
        <v>170.8</v>
      </c>
      <c r="P405" s="18">
        <v>169</v>
      </c>
      <c r="Q405" s="19">
        <v>169.9</v>
      </c>
      <c r="R405" s="18">
        <v>21.62</v>
      </c>
      <c r="S405" s="18">
        <v>21.02</v>
      </c>
      <c r="T405" s="18">
        <v>21.32</v>
      </c>
      <c r="U405" s="17">
        <v>13.87</v>
      </c>
      <c r="V405" s="18">
        <v>13.27</v>
      </c>
      <c r="W405" s="19">
        <v>13.57</v>
      </c>
      <c r="X405" s="17">
        <v>14.23</v>
      </c>
      <c r="Y405" s="18">
        <v>13.43</v>
      </c>
      <c r="Z405" s="19">
        <v>13.83</v>
      </c>
      <c r="AA405" s="17">
        <v>97.19</v>
      </c>
      <c r="AB405" s="18">
        <v>93.19</v>
      </c>
      <c r="AC405" s="19">
        <v>95.19</v>
      </c>
      <c r="AD405" s="17">
        <v>88.28</v>
      </c>
      <c r="AE405" s="18">
        <v>84.28</v>
      </c>
      <c r="AF405" s="19">
        <v>86.28</v>
      </c>
      <c r="AG405" s="18">
        <v>20.41</v>
      </c>
      <c r="AH405" s="18">
        <v>19.55</v>
      </c>
      <c r="AI405" s="18">
        <v>19.98</v>
      </c>
      <c r="AJ405" s="20"/>
      <c r="AK405" s="21"/>
      <c r="AL405" s="22"/>
      <c r="AM405" s="18">
        <v>114.51</v>
      </c>
      <c r="AN405" s="18">
        <v>112.85000000000001</v>
      </c>
      <c r="AO405" s="18">
        <v>113.68</v>
      </c>
      <c r="AP405" s="17">
        <v>42.38</v>
      </c>
      <c r="AQ405" s="18">
        <v>40.78</v>
      </c>
      <c r="AR405" s="19">
        <v>41.58</v>
      </c>
      <c r="AS405" s="18">
        <v>43.14</v>
      </c>
      <c r="AT405" s="18">
        <v>41.78</v>
      </c>
      <c r="AU405" s="18">
        <v>42.46</v>
      </c>
      <c r="AV405" s="17">
        <v>21.47</v>
      </c>
      <c r="AW405" s="18">
        <v>20.869999999999997</v>
      </c>
      <c r="AX405" s="19">
        <v>21.169999999999998</v>
      </c>
      <c r="AY405" s="17">
        <v>4.6500000000000004</v>
      </c>
      <c r="AZ405" s="18">
        <v>4.49</v>
      </c>
      <c r="BA405" s="19">
        <v>4.57</v>
      </c>
      <c r="BB405" s="17">
        <v>1.96</v>
      </c>
      <c r="BC405" s="23">
        <v>1.66</v>
      </c>
      <c r="BD405" s="24">
        <v>1.81</v>
      </c>
      <c r="BE405" s="18">
        <v>0.71</v>
      </c>
      <c r="BF405" s="23">
        <v>0.41</v>
      </c>
      <c r="BG405" s="23">
        <v>0.55999999999999994</v>
      </c>
      <c r="BH405" s="17">
        <v>512.73</v>
      </c>
      <c r="BI405" s="18">
        <v>496.73</v>
      </c>
      <c r="BJ405" s="19">
        <v>504.73</v>
      </c>
      <c r="BK405" s="18">
        <v>43.46</v>
      </c>
      <c r="BL405" s="18">
        <v>42.1</v>
      </c>
      <c r="BM405" s="18">
        <v>42.78</v>
      </c>
      <c r="BN405" s="25">
        <v>1.08</v>
      </c>
      <c r="BO405" s="23">
        <v>0.84000000000000008</v>
      </c>
      <c r="BP405" s="24">
        <v>0.96000000000000008</v>
      </c>
      <c r="BQ405" s="18">
        <v>8.33</v>
      </c>
      <c r="BR405" s="18">
        <v>6.33</v>
      </c>
      <c r="BS405" s="18">
        <v>7.33</v>
      </c>
      <c r="BT405" s="17">
        <v>10.8</v>
      </c>
      <c r="BU405" s="18">
        <v>10.4</v>
      </c>
      <c r="BV405" s="19">
        <v>10.600000000000001</v>
      </c>
      <c r="BW405" s="17">
        <v>2.83</v>
      </c>
      <c r="BX405" s="23">
        <v>2.5499999999999998</v>
      </c>
      <c r="BY405" s="24">
        <v>2.69</v>
      </c>
      <c r="BZ405" s="17">
        <v>9.68</v>
      </c>
      <c r="CA405" s="18">
        <v>6.68</v>
      </c>
      <c r="CB405" s="19">
        <v>8.18</v>
      </c>
      <c r="CC405" s="17">
        <v>6.44</v>
      </c>
      <c r="CD405" s="18">
        <v>6.2</v>
      </c>
      <c r="CE405" s="19">
        <v>6.32</v>
      </c>
      <c r="CF405" s="17">
        <v>1.83</v>
      </c>
      <c r="CG405" s="18">
        <v>1.33</v>
      </c>
      <c r="CH405" s="19">
        <v>1.58</v>
      </c>
      <c r="CI405" s="17">
        <v>0.41</v>
      </c>
      <c r="CJ405" s="18">
        <v>0.37</v>
      </c>
      <c r="CK405" s="19">
        <v>0.39</v>
      </c>
      <c r="CL405" s="17">
        <v>38.909999999999997</v>
      </c>
      <c r="CM405">
        <v>36.51</v>
      </c>
      <c r="CN405">
        <v>37.709999999999994</v>
      </c>
      <c r="CO405">
        <v>6.84</v>
      </c>
      <c r="CP405">
        <v>1.8399999999999999</v>
      </c>
      <c r="CQ405">
        <v>4.34</v>
      </c>
    </row>
    <row r="406" spans="1:95">
      <c r="A406" s="223">
        <v>45692</v>
      </c>
      <c r="B406" s="16" t="s">
        <v>97</v>
      </c>
      <c r="C406" s="17">
        <v>156.35</v>
      </c>
      <c r="D406" s="18">
        <v>154.35</v>
      </c>
      <c r="E406" s="19">
        <v>155.35</v>
      </c>
      <c r="F406" s="17">
        <v>161.81</v>
      </c>
      <c r="G406" s="18">
        <v>158.81</v>
      </c>
      <c r="H406" s="19">
        <v>160.31</v>
      </c>
      <c r="I406" s="17">
        <v>109.18</v>
      </c>
      <c r="J406" s="18">
        <v>105.98</v>
      </c>
      <c r="K406" s="19">
        <v>107.58000000000001</v>
      </c>
      <c r="L406" s="18">
        <v>197.07</v>
      </c>
      <c r="M406" s="18">
        <v>189.07</v>
      </c>
      <c r="N406" s="18">
        <v>193.07</v>
      </c>
      <c r="O406" s="17">
        <v>171.24</v>
      </c>
      <c r="P406" s="18">
        <v>169.44</v>
      </c>
      <c r="Q406" s="19">
        <v>170.34</v>
      </c>
      <c r="R406" s="18">
        <v>21.78</v>
      </c>
      <c r="S406" s="18">
        <v>21.18</v>
      </c>
      <c r="T406" s="18">
        <v>21.48</v>
      </c>
      <c r="U406" s="17">
        <v>13.97</v>
      </c>
      <c r="V406" s="18">
        <v>13.370000000000001</v>
      </c>
      <c r="W406" s="19">
        <v>13.670000000000002</v>
      </c>
      <c r="X406" s="17">
        <v>14.4</v>
      </c>
      <c r="Y406" s="18">
        <v>13.6</v>
      </c>
      <c r="Z406" s="19">
        <v>14</v>
      </c>
      <c r="AA406" s="17">
        <v>98.47</v>
      </c>
      <c r="AB406" s="18">
        <v>94.47</v>
      </c>
      <c r="AC406" s="19">
        <v>96.47</v>
      </c>
      <c r="AD406" s="17">
        <v>89.29</v>
      </c>
      <c r="AE406" s="18">
        <v>85.29</v>
      </c>
      <c r="AF406" s="19">
        <v>87.29</v>
      </c>
      <c r="AG406" s="18">
        <v>20.37</v>
      </c>
      <c r="AH406" s="18">
        <v>19.510000000000002</v>
      </c>
      <c r="AI406" s="18">
        <v>19.940000000000001</v>
      </c>
      <c r="AJ406" s="20"/>
      <c r="AK406" s="21"/>
      <c r="AL406" s="22"/>
      <c r="AM406" s="18">
        <v>115.03</v>
      </c>
      <c r="AN406" s="18">
        <v>113.37</v>
      </c>
      <c r="AO406" s="18">
        <v>114.2</v>
      </c>
      <c r="AP406" s="17">
        <v>42.16</v>
      </c>
      <c r="AQ406" s="18">
        <v>40.559999999999995</v>
      </c>
      <c r="AR406" s="19">
        <v>41.36</v>
      </c>
      <c r="AS406" s="18">
        <v>43.04</v>
      </c>
      <c r="AT406" s="18">
        <v>41.68</v>
      </c>
      <c r="AU406" s="18">
        <v>42.36</v>
      </c>
      <c r="AV406" s="17">
        <v>21.54</v>
      </c>
      <c r="AW406" s="18">
        <v>20.939999999999998</v>
      </c>
      <c r="AX406" s="19">
        <v>21.24</v>
      </c>
      <c r="AY406" s="17">
        <v>4.66</v>
      </c>
      <c r="AZ406" s="18">
        <v>4.5</v>
      </c>
      <c r="BA406" s="19">
        <v>4.58</v>
      </c>
      <c r="BB406" s="17">
        <v>1.94</v>
      </c>
      <c r="BC406" s="23">
        <v>1.64</v>
      </c>
      <c r="BD406" s="24">
        <v>1.79</v>
      </c>
      <c r="BE406" s="18">
        <v>0.71</v>
      </c>
      <c r="BF406" s="23">
        <v>0.41</v>
      </c>
      <c r="BG406" s="23">
        <v>0.55999999999999994</v>
      </c>
      <c r="BH406" s="17">
        <v>511.89</v>
      </c>
      <c r="BI406" s="18">
        <v>495.89</v>
      </c>
      <c r="BJ406" s="19">
        <v>503.89</v>
      </c>
      <c r="BK406" s="18">
        <v>43.37</v>
      </c>
      <c r="BL406" s="18">
        <v>42.01</v>
      </c>
      <c r="BM406" s="18">
        <v>42.69</v>
      </c>
      <c r="BN406" s="25">
        <v>1.07</v>
      </c>
      <c r="BO406" s="23">
        <v>0.83000000000000007</v>
      </c>
      <c r="BP406" s="24">
        <v>0.95000000000000007</v>
      </c>
      <c r="BQ406" s="18">
        <v>8.6199999999999992</v>
      </c>
      <c r="BR406" s="18">
        <v>6.6199999999999992</v>
      </c>
      <c r="BS406" s="18">
        <v>7.6199999999999992</v>
      </c>
      <c r="BT406" s="17">
        <v>10.86</v>
      </c>
      <c r="BU406" s="18">
        <v>10.459999999999999</v>
      </c>
      <c r="BV406" s="19">
        <v>10.66</v>
      </c>
      <c r="BW406" s="17">
        <v>2.81</v>
      </c>
      <c r="BX406" s="23">
        <v>2.5300000000000002</v>
      </c>
      <c r="BY406" s="24">
        <v>2.67</v>
      </c>
      <c r="BZ406" s="17">
        <v>9.7799999999999994</v>
      </c>
      <c r="CA406" s="18">
        <v>6.7799999999999994</v>
      </c>
      <c r="CB406" s="19">
        <v>8.2799999999999994</v>
      </c>
      <c r="CC406" s="17">
        <v>6.48</v>
      </c>
      <c r="CD406" s="18">
        <v>6.24</v>
      </c>
      <c r="CE406" s="19">
        <v>6.36</v>
      </c>
      <c r="CF406" s="17">
        <v>1.81</v>
      </c>
      <c r="CG406" s="18">
        <v>1.31</v>
      </c>
      <c r="CH406" s="19">
        <v>1.56</v>
      </c>
      <c r="CI406" s="17">
        <v>0.41</v>
      </c>
      <c r="CJ406" s="18">
        <v>0.37</v>
      </c>
      <c r="CK406" s="19">
        <v>0.39</v>
      </c>
      <c r="CL406" s="17">
        <v>39.130000000000003</v>
      </c>
      <c r="CM406">
        <v>36.730000000000004</v>
      </c>
      <c r="CN406">
        <v>37.930000000000007</v>
      </c>
      <c r="CO406">
        <v>6.82</v>
      </c>
      <c r="CP406">
        <v>1.8200000000000003</v>
      </c>
      <c r="CQ406">
        <v>4.32</v>
      </c>
    </row>
    <row r="407" spans="1:95">
      <c r="A407" s="223">
        <v>45693</v>
      </c>
      <c r="B407" s="16" t="s">
        <v>98</v>
      </c>
      <c r="C407" s="17">
        <v>155.07</v>
      </c>
      <c r="D407" s="18">
        <v>153.07</v>
      </c>
      <c r="E407" s="19">
        <v>154.07</v>
      </c>
      <c r="F407" s="17">
        <v>161.38999999999999</v>
      </c>
      <c r="G407" s="18">
        <v>158.38999999999999</v>
      </c>
      <c r="H407" s="19">
        <v>159.88999999999999</v>
      </c>
      <c r="I407" s="17">
        <v>109.15</v>
      </c>
      <c r="J407" s="18">
        <v>105.95</v>
      </c>
      <c r="K407" s="19">
        <v>107.55000000000001</v>
      </c>
      <c r="L407" s="18">
        <v>196.29</v>
      </c>
      <c r="M407" s="18">
        <v>188.29</v>
      </c>
      <c r="N407" s="18">
        <v>192.29</v>
      </c>
      <c r="O407" s="17">
        <v>171.05</v>
      </c>
      <c r="P407" s="18">
        <v>169.25</v>
      </c>
      <c r="Q407" s="19">
        <v>170.15</v>
      </c>
      <c r="R407" s="18">
        <v>21.73</v>
      </c>
      <c r="S407" s="18">
        <v>21.13</v>
      </c>
      <c r="T407" s="18">
        <v>21.43</v>
      </c>
      <c r="U407" s="17">
        <v>14.01</v>
      </c>
      <c r="V407" s="18">
        <v>13.41</v>
      </c>
      <c r="W407" s="19">
        <v>13.71</v>
      </c>
      <c r="X407" s="17">
        <v>14.44</v>
      </c>
      <c r="Y407" s="18">
        <v>13.639999999999999</v>
      </c>
      <c r="Z407" s="19">
        <v>14.04</v>
      </c>
      <c r="AA407" s="17">
        <v>98.37</v>
      </c>
      <c r="AB407" s="18">
        <v>94.37</v>
      </c>
      <c r="AC407" s="19">
        <v>96.37</v>
      </c>
      <c r="AD407" s="17">
        <v>89.16</v>
      </c>
      <c r="AE407" s="18">
        <v>85.16</v>
      </c>
      <c r="AF407" s="19">
        <v>87.16</v>
      </c>
      <c r="AG407" s="18">
        <v>20.22</v>
      </c>
      <c r="AH407" s="18">
        <v>19.36</v>
      </c>
      <c r="AI407" s="18">
        <v>19.79</v>
      </c>
      <c r="AJ407" s="20"/>
      <c r="AK407" s="21"/>
      <c r="AL407" s="22"/>
      <c r="AM407" s="18">
        <v>114.81</v>
      </c>
      <c r="AN407" s="18">
        <v>113.15</v>
      </c>
      <c r="AO407" s="18">
        <v>113.98</v>
      </c>
      <c r="AP407" s="17">
        <v>41.95</v>
      </c>
      <c r="AQ407" s="18">
        <v>40.35</v>
      </c>
      <c r="AR407" s="19">
        <v>41.150000000000006</v>
      </c>
      <c r="AS407" s="18">
        <v>42.7</v>
      </c>
      <c r="AT407" s="18">
        <v>41.34</v>
      </c>
      <c r="AU407" s="18">
        <v>42.02</v>
      </c>
      <c r="AV407" s="17">
        <v>21.45</v>
      </c>
      <c r="AW407" s="18">
        <v>20.849999999999998</v>
      </c>
      <c r="AX407" s="19">
        <v>21.15</v>
      </c>
      <c r="AY407" s="17">
        <v>4.66</v>
      </c>
      <c r="AZ407" s="18">
        <v>4.5</v>
      </c>
      <c r="BA407" s="19">
        <v>4.58</v>
      </c>
      <c r="BB407" s="17">
        <v>1.93</v>
      </c>
      <c r="BC407" s="23">
        <v>1.63</v>
      </c>
      <c r="BD407" s="24">
        <v>1.7799999999999998</v>
      </c>
      <c r="BE407" s="18">
        <v>0.71</v>
      </c>
      <c r="BF407" s="23">
        <v>0.41</v>
      </c>
      <c r="BG407" s="23">
        <v>0.55999999999999994</v>
      </c>
      <c r="BH407" s="17">
        <v>508.39</v>
      </c>
      <c r="BI407" s="18">
        <v>492.39</v>
      </c>
      <c r="BJ407" s="19">
        <v>500.39</v>
      </c>
      <c r="BK407" s="18">
        <v>43.02</v>
      </c>
      <c r="BL407" s="18">
        <v>41.660000000000004</v>
      </c>
      <c r="BM407" s="18">
        <v>42.34</v>
      </c>
      <c r="BN407" s="25">
        <v>1.07</v>
      </c>
      <c r="BO407" s="23">
        <v>0.83000000000000007</v>
      </c>
      <c r="BP407" s="24">
        <v>0.95000000000000007</v>
      </c>
      <c r="BQ407" s="18">
        <v>8.52</v>
      </c>
      <c r="BR407" s="18">
        <v>6.52</v>
      </c>
      <c r="BS407" s="18">
        <v>7.52</v>
      </c>
      <c r="BT407" s="17">
        <v>10.82</v>
      </c>
      <c r="BU407" s="18">
        <v>10.42</v>
      </c>
      <c r="BV407" s="19">
        <v>10.620000000000001</v>
      </c>
      <c r="BW407" s="17">
        <v>2.8</v>
      </c>
      <c r="BX407" s="23">
        <v>2.5199999999999996</v>
      </c>
      <c r="BY407" s="24">
        <v>2.6599999999999997</v>
      </c>
      <c r="BZ407" s="17">
        <v>9.74</v>
      </c>
      <c r="CA407" s="18">
        <v>6.74</v>
      </c>
      <c r="CB407" s="19">
        <v>8.24</v>
      </c>
      <c r="CC407" s="17">
        <v>6.48</v>
      </c>
      <c r="CD407" s="18">
        <v>6.24</v>
      </c>
      <c r="CE407" s="19">
        <v>6.36</v>
      </c>
      <c r="CF407" s="17">
        <v>1.78</v>
      </c>
      <c r="CG407" s="18">
        <v>1.28</v>
      </c>
      <c r="CH407" s="19">
        <v>1.53</v>
      </c>
      <c r="CI407" s="17">
        <v>0.41</v>
      </c>
      <c r="CJ407" s="18">
        <v>0.37</v>
      </c>
      <c r="CK407" s="19">
        <v>0.39</v>
      </c>
      <c r="CL407" s="17">
        <v>39.18</v>
      </c>
      <c r="CM407">
        <v>36.78</v>
      </c>
      <c r="CN407">
        <v>37.980000000000004</v>
      </c>
      <c r="CO407">
        <v>6.79</v>
      </c>
      <c r="CP407">
        <v>1.79</v>
      </c>
      <c r="CQ407">
        <v>4.29</v>
      </c>
    </row>
    <row r="408" spans="1:95">
      <c r="A408" s="223">
        <v>45694</v>
      </c>
      <c r="B408" s="16" t="s">
        <v>99</v>
      </c>
      <c r="C408" s="17">
        <v>153.61000000000001</v>
      </c>
      <c r="D408" s="18">
        <v>151.61000000000001</v>
      </c>
      <c r="E408" s="19">
        <v>152.61000000000001</v>
      </c>
      <c r="F408" s="17">
        <v>160.15</v>
      </c>
      <c r="G408" s="18">
        <v>157.15</v>
      </c>
      <c r="H408" s="19">
        <v>158.65</v>
      </c>
      <c r="I408" s="17">
        <v>108.16</v>
      </c>
      <c r="J408" s="18">
        <v>104.96</v>
      </c>
      <c r="K408" s="19">
        <v>106.56</v>
      </c>
      <c r="L408" s="18">
        <v>194.78</v>
      </c>
      <c r="M408" s="18">
        <v>186.78</v>
      </c>
      <c r="N408" s="18">
        <v>190.78</v>
      </c>
      <c r="O408" s="17">
        <v>170.07</v>
      </c>
      <c r="P408" s="18">
        <v>168.26999999999998</v>
      </c>
      <c r="Q408" s="19">
        <v>169.17</v>
      </c>
      <c r="R408" s="18">
        <v>21.56</v>
      </c>
      <c r="S408" s="18">
        <v>20.959999999999997</v>
      </c>
      <c r="T408" s="18">
        <v>21.259999999999998</v>
      </c>
      <c r="U408" s="17">
        <v>13.88</v>
      </c>
      <c r="V408" s="18">
        <v>13.280000000000001</v>
      </c>
      <c r="W408" s="19">
        <v>13.580000000000002</v>
      </c>
      <c r="X408" s="17">
        <v>14.37</v>
      </c>
      <c r="Y408" s="18">
        <v>13.569999999999999</v>
      </c>
      <c r="Z408" s="19">
        <v>13.969999999999999</v>
      </c>
      <c r="AA408" s="17">
        <v>97.84</v>
      </c>
      <c r="AB408" s="18">
        <v>93.84</v>
      </c>
      <c r="AC408" s="19">
        <v>95.84</v>
      </c>
      <c r="AD408" s="17">
        <v>88.74</v>
      </c>
      <c r="AE408" s="18">
        <v>84.74</v>
      </c>
      <c r="AF408" s="19">
        <v>86.74</v>
      </c>
      <c r="AG408" s="18">
        <v>20.03</v>
      </c>
      <c r="AH408" s="18">
        <v>19.170000000000002</v>
      </c>
      <c r="AI408" s="18">
        <v>19.600000000000001</v>
      </c>
      <c r="AJ408" s="20"/>
      <c r="AK408" s="21"/>
      <c r="AL408" s="22"/>
      <c r="AM408" s="18">
        <v>113.96</v>
      </c>
      <c r="AN408" s="18">
        <v>112.3</v>
      </c>
      <c r="AO408" s="18">
        <v>113.13</v>
      </c>
      <c r="AP408" s="17">
        <v>41.55</v>
      </c>
      <c r="AQ408" s="18">
        <v>39.949999999999996</v>
      </c>
      <c r="AR408" s="19">
        <v>40.75</v>
      </c>
      <c r="AS408" s="18">
        <v>42.3</v>
      </c>
      <c r="AT408" s="18">
        <v>40.94</v>
      </c>
      <c r="AU408" s="18">
        <v>41.62</v>
      </c>
      <c r="AV408" s="17">
        <v>21.26</v>
      </c>
      <c r="AW408" s="18">
        <v>20.66</v>
      </c>
      <c r="AX408" s="19">
        <v>20.96</v>
      </c>
      <c r="AY408" s="17">
        <v>4.63</v>
      </c>
      <c r="AZ408" s="18">
        <v>4.47</v>
      </c>
      <c r="BA408" s="19">
        <v>4.55</v>
      </c>
      <c r="BB408" s="17">
        <v>1.91</v>
      </c>
      <c r="BC408" s="23">
        <v>1.6099999999999999</v>
      </c>
      <c r="BD408" s="24">
        <v>1.7599999999999998</v>
      </c>
      <c r="BE408" s="18">
        <v>0.7</v>
      </c>
      <c r="BF408" s="23">
        <v>0.39999999999999997</v>
      </c>
      <c r="BG408" s="23">
        <v>0.54999999999999993</v>
      </c>
      <c r="BH408" s="17">
        <v>503.65</v>
      </c>
      <c r="BI408" s="18">
        <v>487.65</v>
      </c>
      <c r="BJ408" s="19">
        <v>495.65</v>
      </c>
      <c r="BK408" s="18">
        <v>42.62</v>
      </c>
      <c r="BL408" s="18">
        <v>41.26</v>
      </c>
      <c r="BM408" s="18">
        <v>41.94</v>
      </c>
      <c r="BN408" s="25">
        <v>1.06</v>
      </c>
      <c r="BO408" s="23">
        <v>0.82000000000000006</v>
      </c>
      <c r="BP408" s="24">
        <v>0.94000000000000006</v>
      </c>
      <c r="BQ408" s="18">
        <v>8.41</v>
      </c>
      <c r="BR408" s="18">
        <v>6.41</v>
      </c>
      <c r="BS408" s="18">
        <v>7.41</v>
      </c>
      <c r="BT408" s="17">
        <v>10.77</v>
      </c>
      <c r="BU408" s="18">
        <v>10.37</v>
      </c>
      <c r="BV408" s="19">
        <v>10.57</v>
      </c>
      <c r="BW408" s="17">
        <v>2.79</v>
      </c>
      <c r="BX408" s="23">
        <v>2.5099999999999998</v>
      </c>
      <c r="BY408" s="24">
        <v>2.65</v>
      </c>
      <c r="BZ408" s="17">
        <v>9.7200000000000006</v>
      </c>
      <c r="CA408" s="18">
        <v>6.7200000000000006</v>
      </c>
      <c r="CB408" s="19">
        <v>8.2200000000000006</v>
      </c>
      <c r="CC408" s="17">
        <v>6.43</v>
      </c>
      <c r="CD408" s="18">
        <v>6.1899999999999995</v>
      </c>
      <c r="CE408" s="19">
        <v>6.31</v>
      </c>
      <c r="CF408" s="17">
        <v>1.81</v>
      </c>
      <c r="CG408" s="18">
        <v>1.31</v>
      </c>
      <c r="CH408" s="19">
        <v>1.56</v>
      </c>
      <c r="CI408" s="17">
        <v>0.41</v>
      </c>
      <c r="CJ408" s="18">
        <v>0.37</v>
      </c>
      <c r="CK408" s="19">
        <v>0.39</v>
      </c>
      <c r="CL408" s="17">
        <v>38.99</v>
      </c>
      <c r="CM408">
        <v>36.590000000000003</v>
      </c>
      <c r="CN408">
        <v>37.790000000000006</v>
      </c>
      <c r="CO408">
        <v>6.75</v>
      </c>
      <c r="CP408">
        <v>1.75</v>
      </c>
      <c r="CQ408">
        <v>4.25</v>
      </c>
    </row>
    <row r="409" spans="1:95">
      <c r="A409" s="223">
        <v>45695</v>
      </c>
      <c r="B409" s="16" t="s">
        <v>100</v>
      </c>
      <c r="C409" s="17">
        <v>152.30000000000001</v>
      </c>
      <c r="D409" s="18">
        <v>150.30000000000001</v>
      </c>
      <c r="E409" s="19">
        <v>151.30000000000001</v>
      </c>
      <c r="F409" s="17">
        <v>158.55000000000001</v>
      </c>
      <c r="G409" s="18">
        <v>155.55000000000001</v>
      </c>
      <c r="H409" s="19">
        <v>157.05000000000001</v>
      </c>
      <c r="I409" s="17">
        <v>107.29</v>
      </c>
      <c r="J409" s="18">
        <v>104.09</v>
      </c>
      <c r="K409" s="19">
        <v>105.69</v>
      </c>
      <c r="L409" s="18">
        <v>192.01</v>
      </c>
      <c r="M409" s="18">
        <v>184.01</v>
      </c>
      <c r="N409" s="18">
        <v>188.01</v>
      </c>
      <c r="O409" s="17">
        <v>167.93</v>
      </c>
      <c r="P409" s="18">
        <v>166.13</v>
      </c>
      <c r="Q409" s="19">
        <v>167.03</v>
      </c>
      <c r="R409" s="18">
        <v>21.35</v>
      </c>
      <c r="S409" s="18">
        <v>20.75</v>
      </c>
      <c r="T409" s="18">
        <v>21.05</v>
      </c>
      <c r="U409" s="17">
        <v>13.81</v>
      </c>
      <c r="V409" s="18">
        <v>13.21</v>
      </c>
      <c r="W409" s="19">
        <v>13.510000000000002</v>
      </c>
      <c r="X409" s="17">
        <v>14.29</v>
      </c>
      <c r="Y409" s="18">
        <v>13.489999999999998</v>
      </c>
      <c r="Z409" s="19">
        <v>13.889999999999999</v>
      </c>
      <c r="AA409" s="17">
        <v>97.06</v>
      </c>
      <c r="AB409" s="18">
        <v>93.06</v>
      </c>
      <c r="AC409" s="19">
        <v>95.06</v>
      </c>
      <c r="AD409" s="17">
        <v>87.88</v>
      </c>
      <c r="AE409" s="18">
        <v>83.88</v>
      </c>
      <c r="AF409" s="19">
        <v>85.88</v>
      </c>
      <c r="AG409" s="18">
        <v>19.86</v>
      </c>
      <c r="AH409" s="18">
        <v>19</v>
      </c>
      <c r="AI409" s="18">
        <v>19.43</v>
      </c>
      <c r="AJ409" s="20"/>
      <c r="AK409" s="21"/>
      <c r="AL409" s="22"/>
      <c r="AM409" s="18">
        <v>112.86</v>
      </c>
      <c r="AN409" s="18">
        <v>111.2</v>
      </c>
      <c r="AO409" s="18">
        <v>112.03</v>
      </c>
      <c r="AP409" s="17">
        <v>41.22</v>
      </c>
      <c r="AQ409" s="18">
        <v>39.619999999999997</v>
      </c>
      <c r="AR409" s="19">
        <v>40.42</v>
      </c>
      <c r="AS409" s="18">
        <v>41.94</v>
      </c>
      <c r="AT409" s="18">
        <v>40.58</v>
      </c>
      <c r="AU409" s="18">
        <v>41.26</v>
      </c>
      <c r="AV409" s="17">
        <v>21.06</v>
      </c>
      <c r="AW409" s="18">
        <v>20.459999999999997</v>
      </c>
      <c r="AX409" s="19">
        <v>20.759999999999998</v>
      </c>
      <c r="AY409" s="17">
        <v>4.5599999999999996</v>
      </c>
      <c r="AZ409" s="18">
        <v>4.3999999999999995</v>
      </c>
      <c r="BA409" s="19">
        <v>4.4799999999999995</v>
      </c>
      <c r="BB409" s="17">
        <v>1.89</v>
      </c>
      <c r="BC409" s="23">
        <v>1.5899999999999999</v>
      </c>
      <c r="BD409" s="24">
        <v>1.7399999999999998</v>
      </c>
      <c r="BE409" s="18">
        <v>0.7</v>
      </c>
      <c r="BF409" s="23">
        <v>0.39999999999999997</v>
      </c>
      <c r="BG409" s="23">
        <v>0.54999999999999993</v>
      </c>
      <c r="BH409" s="17">
        <v>499.23</v>
      </c>
      <c r="BI409" s="18">
        <v>483.23</v>
      </c>
      <c r="BJ409" s="19">
        <v>491.23</v>
      </c>
      <c r="BK409" s="18">
        <v>42.26</v>
      </c>
      <c r="BL409" s="18">
        <v>40.9</v>
      </c>
      <c r="BM409" s="18">
        <v>41.58</v>
      </c>
      <c r="BN409" s="25">
        <v>1.05</v>
      </c>
      <c r="BO409" s="23">
        <v>0.81</v>
      </c>
      <c r="BP409" s="24">
        <v>0.93</v>
      </c>
      <c r="BQ409" s="18">
        <v>8.39</v>
      </c>
      <c r="BR409" s="18">
        <v>6.3900000000000006</v>
      </c>
      <c r="BS409" s="18">
        <v>7.3900000000000006</v>
      </c>
      <c r="BT409" s="17">
        <v>10.68</v>
      </c>
      <c r="BU409" s="18">
        <v>10.28</v>
      </c>
      <c r="BV409" s="19">
        <v>10.48</v>
      </c>
      <c r="BW409" s="17">
        <v>2.76</v>
      </c>
      <c r="BX409" s="23">
        <v>2.4799999999999995</v>
      </c>
      <c r="BY409" s="24">
        <v>2.6199999999999997</v>
      </c>
      <c r="BZ409" s="17">
        <v>9.7100000000000009</v>
      </c>
      <c r="CA409" s="18">
        <v>6.7100000000000009</v>
      </c>
      <c r="CB409" s="19">
        <v>8.2100000000000009</v>
      </c>
      <c r="CC409" s="17">
        <v>6.39</v>
      </c>
      <c r="CD409" s="18">
        <v>6.1499999999999995</v>
      </c>
      <c r="CE409" s="19">
        <v>6.27</v>
      </c>
      <c r="CF409" s="17">
        <v>1.82</v>
      </c>
      <c r="CG409" s="18">
        <v>1.32</v>
      </c>
      <c r="CH409" s="19">
        <v>1.57</v>
      </c>
      <c r="CI409" s="17">
        <v>0.41</v>
      </c>
      <c r="CJ409" s="18">
        <v>0.37</v>
      </c>
      <c r="CK409" s="19">
        <v>0.39</v>
      </c>
      <c r="CL409" s="17">
        <v>38.71</v>
      </c>
      <c r="CM409">
        <v>36.31</v>
      </c>
      <c r="CN409">
        <v>37.510000000000005</v>
      </c>
      <c r="CO409">
        <v>6.72</v>
      </c>
      <c r="CP409">
        <v>1.7199999999999998</v>
      </c>
      <c r="CQ409">
        <v>4.22</v>
      </c>
    </row>
    <row r="410" spans="1:95">
      <c r="A410" s="223">
        <v>45696</v>
      </c>
      <c r="B410" s="16" t="s">
        <v>307</v>
      </c>
      <c r="C410" s="17"/>
      <c r="D410" s="18"/>
      <c r="E410" s="19"/>
      <c r="F410" s="17"/>
      <c r="G410" s="18"/>
      <c r="H410" s="19"/>
      <c r="I410" s="17"/>
      <c r="J410" s="18"/>
      <c r="K410" s="19"/>
      <c r="L410" s="18"/>
      <c r="M410" s="18"/>
      <c r="N410" s="18"/>
      <c r="O410" s="17"/>
      <c r="P410" s="18"/>
      <c r="Q410" s="19"/>
      <c r="R410" s="18"/>
      <c r="S410" s="18"/>
      <c r="T410" s="18"/>
      <c r="U410" s="17"/>
      <c r="V410" s="18"/>
      <c r="W410" s="19"/>
      <c r="X410" s="17"/>
      <c r="Y410" s="18"/>
      <c r="Z410" s="19"/>
      <c r="AA410" s="17"/>
      <c r="AB410" s="18"/>
      <c r="AC410" s="19"/>
      <c r="AD410" s="17"/>
      <c r="AE410" s="18"/>
      <c r="AF410" s="19"/>
      <c r="AG410" s="18"/>
      <c r="AH410" s="18"/>
      <c r="AI410" s="18"/>
      <c r="AJ410" s="20"/>
      <c r="AK410" s="21"/>
      <c r="AL410" s="22"/>
      <c r="AM410" s="18"/>
      <c r="AN410" s="18"/>
      <c r="AO410" s="18"/>
      <c r="AP410" s="17"/>
      <c r="AQ410" s="18"/>
      <c r="AR410" s="19"/>
      <c r="AS410" s="18"/>
      <c r="AT410" s="18"/>
      <c r="AU410" s="18"/>
      <c r="AV410" s="17"/>
      <c r="AW410" s="18"/>
      <c r="AX410" s="19"/>
      <c r="AY410" s="17"/>
      <c r="AZ410" s="18"/>
      <c r="BA410" s="19"/>
      <c r="BB410" s="17"/>
      <c r="BC410" s="23"/>
      <c r="BD410" s="24"/>
      <c r="BE410" s="18"/>
      <c r="BF410" s="23"/>
      <c r="BG410" s="23"/>
      <c r="BH410" s="17"/>
      <c r="BI410" s="18"/>
      <c r="BJ410" s="19"/>
      <c r="BK410" s="18"/>
      <c r="BL410" s="18"/>
      <c r="BM410" s="18"/>
      <c r="BN410" s="25"/>
      <c r="BO410" s="23"/>
      <c r="BP410" s="24"/>
      <c r="BQ410" s="18"/>
      <c r="BR410" s="18"/>
      <c r="BS410" s="18"/>
      <c r="BT410" s="17"/>
      <c r="BU410" s="18"/>
      <c r="BV410" s="19"/>
      <c r="BW410" s="17"/>
      <c r="BX410" s="23"/>
      <c r="BY410" s="24"/>
      <c r="BZ410" s="17"/>
      <c r="CA410" s="18"/>
      <c r="CB410" s="19"/>
      <c r="CC410" s="17"/>
      <c r="CD410" s="18"/>
      <c r="CE410" s="19"/>
      <c r="CF410" s="17"/>
      <c r="CG410" s="18"/>
      <c r="CH410" s="19"/>
      <c r="CI410" s="17"/>
      <c r="CJ410" s="18"/>
      <c r="CK410" s="19"/>
      <c r="CL410" s="17"/>
    </row>
    <row r="411" spans="1:95">
      <c r="A411" s="223">
        <v>45697</v>
      </c>
      <c r="B411" s="16" t="s">
        <v>308</v>
      </c>
      <c r="C411" s="17"/>
      <c r="D411" s="18"/>
      <c r="E411" s="19"/>
      <c r="F411" s="17"/>
      <c r="G411" s="18"/>
      <c r="H411" s="19"/>
      <c r="I411" s="17"/>
      <c r="J411" s="18"/>
      <c r="K411" s="19"/>
      <c r="L411" s="18"/>
      <c r="M411" s="18"/>
      <c r="N411" s="18"/>
      <c r="O411" s="17"/>
      <c r="P411" s="18"/>
      <c r="Q411" s="19"/>
      <c r="R411" s="18"/>
      <c r="S411" s="18"/>
      <c r="T411" s="18"/>
      <c r="U411" s="17"/>
      <c r="V411" s="18"/>
      <c r="W411" s="19"/>
      <c r="X411" s="17"/>
      <c r="Y411" s="18"/>
      <c r="Z411" s="19"/>
      <c r="AA411" s="17"/>
      <c r="AB411" s="18"/>
      <c r="AC411" s="19"/>
      <c r="AD411" s="17"/>
      <c r="AE411" s="18"/>
      <c r="AF411" s="19"/>
      <c r="AG411" s="18"/>
      <c r="AH411" s="18"/>
      <c r="AI411" s="18"/>
      <c r="AJ411" s="20"/>
      <c r="AK411" s="21"/>
      <c r="AL411" s="22"/>
      <c r="AM411" s="18"/>
      <c r="AN411" s="18"/>
      <c r="AO411" s="18"/>
      <c r="AP411" s="17"/>
      <c r="AQ411" s="18"/>
      <c r="AR411" s="19"/>
      <c r="AS411" s="18"/>
      <c r="AT411" s="18"/>
      <c r="AU411" s="18"/>
      <c r="AV411" s="17"/>
      <c r="AW411" s="18"/>
      <c r="AX411" s="19"/>
      <c r="AY411" s="17"/>
      <c r="AZ411" s="18"/>
      <c r="BA411" s="19"/>
      <c r="BB411" s="17"/>
      <c r="BC411" s="23"/>
      <c r="BD411" s="24"/>
      <c r="BE411" s="18"/>
      <c r="BF411" s="23"/>
      <c r="BG411" s="23"/>
      <c r="BH411" s="17"/>
      <c r="BI411" s="18"/>
      <c r="BJ411" s="19"/>
      <c r="BK411" s="18"/>
      <c r="BL411" s="18"/>
      <c r="BM411" s="18"/>
      <c r="BN411" s="25"/>
      <c r="BO411" s="23"/>
      <c r="BP411" s="24"/>
      <c r="BQ411" s="18"/>
      <c r="BR411" s="18"/>
      <c r="BS411" s="18"/>
      <c r="BT411" s="17"/>
      <c r="BU411" s="18"/>
      <c r="BV411" s="19"/>
      <c r="BW411" s="17"/>
      <c r="BX411" s="23"/>
      <c r="BY411" s="24"/>
      <c r="BZ411" s="17"/>
      <c r="CA411" s="18"/>
      <c r="CB411" s="19"/>
      <c r="CC411" s="17"/>
      <c r="CD411" s="18"/>
      <c r="CE411" s="19"/>
      <c r="CF411" s="17"/>
      <c r="CG411" s="18"/>
      <c r="CH411" s="19"/>
      <c r="CI411" s="17"/>
      <c r="CJ411" s="18"/>
      <c r="CK411" s="19"/>
      <c r="CL411" s="17"/>
    </row>
    <row r="412" spans="1:95">
      <c r="A412" s="223">
        <v>45698</v>
      </c>
      <c r="B412" s="16" t="s">
        <v>96</v>
      </c>
      <c r="C412" s="17">
        <v>152.96</v>
      </c>
      <c r="D412" s="18">
        <v>150.96</v>
      </c>
      <c r="E412" s="19">
        <v>151.96</v>
      </c>
      <c r="F412" s="17">
        <v>158.19</v>
      </c>
      <c r="G412" s="18">
        <v>155.19</v>
      </c>
      <c r="H412" s="19">
        <v>156.69</v>
      </c>
      <c r="I412" s="17">
        <v>107.64</v>
      </c>
      <c r="J412" s="18">
        <v>104.44</v>
      </c>
      <c r="K412" s="19">
        <v>106.03999999999999</v>
      </c>
      <c r="L412" s="18">
        <v>192.35</v>
      </c>
      <c r="M412" s="18">
        <v>184.35</v>
      </c>
      <c r="N412" s="18">
        <v>188.35</v>
      </c>
      <c r="O412" s="17">
        <v>167.71</v>
      </c>
      <c r="P412" s="18">
        <v>165.91</v>
      </c>
      <c r="Q412" s="19">
        <v>166.81</v>
      </c>
      <c r="R412" s="18">
        <v>21.3</v>
      </c>
      <c r="S412" s="18">
        <v>20.7</v>
      </c>
      <c r="T412" s="18">
        <v>21</v>
      </c>
      <c r="U412" s="17">
        <v>13.8</v>
      </c>
      <c r="V412" s="18">
        <v>13.200000000000001</v>
      </c>
      <c r="W412" s="19">
        <v>13.5</v>
      </c>
      <c r="X412" s="17">
        <v>14.25</v>
      </c>
      <c r="Y412" s="18">
        <v>13.45</v>
      </c>
      <c r="Z412" s="19">
        <v>13.85</v>
      </c>
      <c r="AA412" s="17">
        <v>97.19</v>
      </c>
      <c r="AB412" s="18">
        <v>93.19</v>
      </c>
      <c r="AC412" s="19">
        <v>95.19</v>
      </c>
      <c r="AD412" s="17">
        <v>87.84</v>
      </c>
      <c r="AE412" s="18">
        <v>83.84</v>
      </c>
      <c r="AF412" s="19">
        <v>85.84</v>
      </c>
      <c r="AG412" s="18">
        <v>19.940000000000001</v>
      </c>
      <c r="AH412" s="18">
        <v>19.080000000000002</v>
      </c>
      <c r="AI412" s="18">
        <v>19.510000000000002</v>
      </c>
      <c r="AJ412" s="20"/>
      <c r="AK412" s="21"/>
      <c r="AL412" s="22"/>
      <c r="AM412" s="18">
        <v>112.9</v>
      </c>
      <c r="AN412" s="18">
        <v>111.24000000000001</v>
      </c>
      <c r="AO412" s="18">
        <v>112.07000000000001</v>
      </c>
      <c r="AP412" s="17">
        <v>41.38</v>
      </c>
      <c r="AQ412" s="18">
        <v>39.78</v>
      </c>
      <c r="AR412" s="19">
        <v>40.58</v>
      </c>
      <c r="AS412" s="18">
        <v>42.12</v>
      </c>
      <c r="AT412" s="18">
        <v>40.76</v>
      </c>
      <c r="AU412" s="18">
        <v>41.44</v>
      </c>
      <c r="AV412" s="17">
        <v>21.1</v>
      </c>
      <c r="AW412" s="18">
        <v>20.5</v>
      </c>
      <c r="AX412" s="19">
        <v>20.8</v>
      </c>
      <c r="AY412" s="17">
        <v>4.57</v>
      </c>
      <c r="AZ412" s="18">
        <v>4.41</v>
      </c>
      <c r="BA412" s="19">
        <v>4.49</v>
      </c>
      <c r="BB412" s="17">
        <v>1.89</v>
      </c>
      <c r="BC412" s="23">
        <v>1.5899999999999999</v>
      </c>
      <c r="BD412" s="24">
        <v>1.7399999999999998</v>
      </c>
      <c r="BE412" s="18">
        <v>0.7</v>
      </c>
      <c r="BF412" s="23">
        <v>0.39999999999999997</v>
      </c>
      <c r="BG412" s="23">
        <v>0.54999999999999993</v>
      </c>
      <c r="BH412" s="17">
        <v>500.9</v>
      </c>
      <c r="BI412" s="18">
        <v>484.9</v>
      </c>
      <c r="BJ412" s="19">
        <v>492.9</v>
      </c>
      <c r="BK412" s="18">
        <v>42.45</v>
      </c>
      <c r="BL412" s="18">
        <v>41.09</v>
      </c>
      <c r="BM412" s="18">
        <v>41.77</v>
      </c>
      <c r="BN412" s="25">
        <v>1.06</v>
      </c>
      <c r="BO412" s="23">
        <v>0.82000000000000006</v>
      </c>
      <c r="BP412" s="24">
        <v>0.94000000000000006</v>
      </c>
      <c r="BQ412" s="18">
        <v>8.3800000000000008</v>
      </c>
      <c r="BR412" s="18">
        <v>6.3800000000000008</v>
      </c>
      <c r="BS412" s="18">
        <v>7.3800000000000008</v>
      </c>
      <c r="BT412" s="17">
        <v>10.66</v>
      </c>
      <c r="BU412" s="18">
        <v>10.26</v>
      </c>
      <c r="BV412" s="19">
        <v>10.46</v>
      </c>
      <c r="BW412" s="17">
        <v>2.78</v>
      </c>
      <c r="BX412" s="23">
        <v>2.5</v>
      </c>
      <c r="BY412" s="24">
        <v>2.6399999999999997</v>
      </c>
      <c r="BZ412" s="17">
        <v>9.6999999999999993</v>
      </c>
      <c r="CA412" s="18">
        <v>6.6999999999999993</v>
      </c>
      <c r="CB412" s="19">
        <v>8.1999999999999993</v>
      </c>
      <c r="CC412" s="17">
        <v>6.35</v>
      </c>
      <c r="CD412" s="18">
        <v>6.1099999999999994</v>
      </c>
      <c r="CE412" s="19">
        <v>6.2299999999999995</v>
      </c>
      <c r="CF412" s="17">
        <v>1.82</v>
      </c>
      <c r="CG412" s="18">
        <v>1.32</v>
      </c>
      <c r="CH412" s="19">
        <v>1.57</v>
      </c>
      <c r="CI412" s="17">
        <v>0.41</v>
      </c>
      <c r="CJ412" s="18">
        <v>0.37</v>
      </c>
      <c r="CK412" s="19">
        <v>0.39</v>
      </c>
      <c r="CL412" s="17">
        <v>38.6</v>
      </c>
      <c r="CM412">
        <v>36.200000000000003</v>
      </c>
      <c r="CN412">
        <v>37.400000000000006</v>
      </c>
      <c r="CO412">
        <v>6.72</v>
      </c>
      <c r="CP412">
        <v>1.7199999999999998</v>
      </c>
      <c r="CQ412">
        <v>4.22</v>
      </c>
    </row>
    <row r="413" spans="1:95">
      <c r="A413" s="223">
        <v>45699</v>
      </c>
      <c r="B413" s="16" t="s">
        <v>97</v>
      </c>
      <c r="C413" s="17"/>
      <c r="D413" s="18"/>
      <c r="E413" s="19"/>
      <c r="F413" s="17"/>
      <c r="G413" s="18"/>
      <c r="H413" s="19"/>
      <c r="I413" s="17"/>
      <c r="J413" s="18"/>
      <c r="K413" s="19"/>
      <c r="L413" s="18"/>
      <c r="M413" s="18"/>
      <c r="N413" s="18"/>
      <c r="O413" s="17"/>
      <c r="P413" s="18"/>
      <c r="Q413" s="19"/>
      <c r="R413" s="18"/>
      <c r="S413" s="18"/>
      <c r="T413" s="18"/>
      <c r="U413" s="17"/>
      <c r="V413" s="18"/>
      <c r="W413" s="19"/>
      <c r="X413" s="17"/>
      <c r="Y413" s="18"/>
      <c r="Z413" s="19"/>
      <c r="AA413" s="17"/>
      <c r="AB413" s="18"/>
      <c r="AC413" s="19"/>
      <c r="AD413" s="17"/>
      <c r="AE413" s="18"/>
      <c r="AF413" s="19"/>
      <c r="AG413" s="18"/>
      <c r="AH413" s="18"/>
      <c r="AI413" s="18"/>
      <c r="AJ413" s="20"/>
      <c r="AK413" s="21"/>
      <c r="AL413" s="22"/>
      <c r="AM413" s="18"/>
      <c r="AN413" s="18"/>
      <c r="AO413" s="18"/>
      <c r="AP413" s="17"/>
      <c r="AQ413" s="18"/>
      <c r="AR413" s="19"/>
      <c r="AS413" s="18"/>
      <c r="AT413" s="18"/>
      <c r="AU413" s="18"/>
      <c r="AV413" s="17"/>
      <c r="AW413" s="18"/>
      <c r="AX413" s="19"/>
      <c r="AY413" s="17"/>
      <c r="AZ413" s="18"/>
      <c r="BA413" s="19"/>
      <c r="BB413" s="17"/>
      <c r="BC413" s="23"/>
      <c r="BD413" s="24"/>
      <c r="BE413" s="18"/>
      <c r="BF413" s="23"/>
      <c r="BG413" s="23"/>
      <c r="BH413" s="17"/>
      <c r="BI413" s="18"/>
      <c r="BJ413" s="19"/>
      <c r="BK413" s="18"/>
      <c r="BL413" s="18"/>
      <c r="BM413" s="18"/>
      <c r="BN413" s="25"/>
      <c r="BO413" s="23"/>
      <c r="BP413" s="24"/>
      <c r="BQ413" s="18"/>
      <c r="BR413" s="18"/>
      <c r="BS413" s="18"/>
      <c r="BT413" s="17"/>
      <c r="BU413" s="18"/>
      <c r="BV413" s="19"/>
      <c r="BW413" s="17"/>
      <c r="BX413" s="23"/>
      <c r="BY413" s="24"/>
      <c r="BZ413" s="17"/>
      <c r="CA413" s="18"/>
      <c r="CB413" s="19"/>
      <c r="CC413" s="17"/>
      <c r="CD413" s="18"/>
      <c r="CE413" s="19"/>
      <c r="CF413" s="17"/>
      <c r="CG413" s="18"/>
      <c r="CH413" s="19"/>
      <c r="CI413" s="17"/>
      <c r="CJ413" s="18"/>
      <c r="CK413" s="19"/>
      <c r="CL413" s="17"/>
    </row>
    <row r="414" spans="1:95">
      <c r="A414" s="223">
        <v>45700</v>
      </c>
      <c r="B414" s="16" t="s">
        <v>98</v>
      </c>
      <c r="C414" s="17">
        <v>154.26</v>
      </c>
      <c r="D414" s="18">
        <v>152.26</v>
      </c>
      <c r="E414" s="19">
        <v>153.26</v>
      </c>
      <c r="F414" s="17">
        <v>160.25</v>
      </c>
      <c r="G414" s="18">
        <v>157.25</v>
      </c>
      <c r="H414" s="19">
        <v>158.75</v>
      </c>
      <c r="I414" s="17">
        <v>108.83</v>
      </c>
      <c r="J414" s="18">
        <v>105.63</v>
      </c>
      <c r="K414" s="19">
        <v>107.22999999999999</v>
      </c>
      <c r="L414" s="18">
        <v>194.75</v>
      </c>
      <c r="M414" s="18">
        <v>186.75</v>
      </c>
      <c r="N414" s="18">
        <v>190.75</v>
      </c>
      <c r="O414" s="17">
        <v>168.73</v>
      </c>
      <c r="P414" s="18">
        <v>166.92999999999998</v>
      </c>
      <c r="Q414" s="19">
        <v>167.82999999999998</v>
      </c>
      <c r="R414" s="18">
        <v>21.58</v>
      </c>
      <c r="S414" s="18">
        <v>20.979999999999997</v>
      </c>
      <c r="T414" s="18">
        <v>21.279999999999998</v>
      </c>
      <c r="U414" s="17">
        <v>14</v>
      </c>
      <c r="V414" s="18">
        <v>13.4</v>
      </c>
      <c r="W414" s="19">
        <v>13.7</v>
      </c>
      <c r="X414" s="17">
        <v>14.51</v>
      </c>
      <c r="Y414" s="18">
        <v>13.709999999999999</v>
      </c>
      <c r="Z414" s="19">
        <v>14.11</v>
      </c>
      <c r="AA414" s="17">
        <v>98.46</v>
      </c>
      <c r="AB414" s="18">
        <v>94.46</v>
      </c>
      <c r="AC414" s="19">
        <v>96.46</v>
      </c>
      <c r="AD414" s="17">
        <v>88.71</v>
      </c>
      <c r="AE414" s="18">
        <v>84.71</v>
      </c>
      <c r="AF414" s="19">
        <v>86.71</v>
      </c>
      <c r="AG414" s="18">
        <v>20.100000000000001</v>
      </c>
      <c r="AH414" s="18">
        <v>19.240000000000002</v>
      </c>
      <c r="AI414" s="18">
        <v>19.670000000000002</v>
      </c>
      <c r="AJ414" s="20"/>
      <c r="AK414" s="21"/>
      <c r="AL414" s="22"/>
      <c r="AM414" s="18">
        <v>114.05</v>
      </c>
      <c r="AN414" s="18">
        <v>112.39</v>
      </c>
      <c r="AO414" s="18">
        <v>113.22</v>
      </c>
      <c r="AP414" s="17">
        <v>41.73</v>
      </c>
      <c r="AQ414" s="18">
        <v>40.129999999999995</v>
      </c>
      <c r="AR414" s="19">
        <v>40.929999999999993</v>
      </c>
      <c r="AS414" s="18">
        <v>42.47</v>
      </c>
      <c r="AT414" s="18">
        <v>41.11</v>
      </c>
      <c r="AU414" s="18">
        <v>41.79</v>
      </c>
      <c r="AV414" s="17">
        <v>21.26</v>
      </c>
      <c r="AW414" s="18">
        <v>20.66</v>
      </c>
      <c r="AX414" s="19">
        <v>20.96</v>
      </c>
      <c r="AY414" s="17">
        <v>4.57</v>
      </c>
      <c r="AZ414" s="18">
        <v>4.41</v>
      </c>
      <c r="BA414" s="19">
        <v>4.49</v>
      </c>
      <c r="BB414" s="17">
        <v>1.92</v>
      </c>
      <c r="BC414" s="23">
        <v>1.6199999999999999</v>
      </c>
      <c r="BD414" s="24">
        <v>1.77</v>
      </c>
      <c r="BE414" s="18">
        <v>0.7</v>
      </c>
      <c r="BF414" s="23">
        <v>0.39999999999999997</v>
      </c>
      <c r="BG414" s="23">
        <v>0.54999999999999993</v>
      </c>
      <c r="BH414" s="17">
        <v>505.11</v>
      </c>
      <c r="BI414" s="18">
        <v>489.11</v>
      </c>
      <c r="BJ414" s="19">
        <v>497.11</v>
      </c>
      <c r="BK414" s="18">
        <v>42.81</v>
      </c>
      <c r="BL414" s="18">
        <v>41.45</v>
      </c>
      <c r="BM414" s="18">
        <v>42.13</v>
      </c>
      <c r="BN414" s="25">
        <v>1.06</v>
      </c>
      <c r="BO414" s="23">
        <v>0.82000000000000006</v>
      </c>
      <c r="BP414" s="24">
        <v>0.94000000000000006</v>
      </c>
      <c r="BQ414" s="18">
        <v>8.4600000000000009</v>
      </c>
      <c r="BR414" s="18">
        <v>6.4600000000000009</v>
      </c>
      <c r="BS414" s="18">
        <v>7.4600000000000009</v>
      </c>
      <c r="BT414" s="17">
        <v>10.75</v>
      </c>
      <c r="BU414" s="18">
        <v>10.35</v>
      </c>
      <c r="BV414" s="19">
        <v>10.55</v>
      </c>
      <c r="BW414" s="17">
        <v>2.79</v>
      </c>
      <c r="BX414" s="23">
        <v>2.5099999999999998</v>
      </c>
      <c r="BY414" s="24">
        <v>2.65</v>
      </c>
      <c r="BZ414" s="17">
        <v>9.7799999999999994</v>
      </c>
      <c r="CA414" s="18">
        <v>6.7799999999999994</v>
      </c>
      <c r="CB414" s="19">
        <v>8.2799999999999994</v>
      </c>
      <c r="CC414" s="17">
        <v>6.45</v>
      </c>
      <c r="CD414" s="18">
        <v>6.21</v>
      </c>
      <c r="CE414" s="19">
        <v>6.33</v>
      </c>
      <c r="CF414" s="17">
        <v>1.84</v>
      </c>
      <c r="CG414" s="18">
        <v>1.34</v>
      </c>
      <c r="CH414" s="19">
        <v>1.59</v>
      </c>
      <c r="CI414" s="17">
        <v>0.41</v>
      </c>
      <c r="CJ414" s="18">
        <v>0.37</v>
      </c>
      <c r="CK414" s="19">
        <v>0.39</v>
      </c>
      <c r="CL414" s="17">
        <v>39.26</v>
      </c>
      <c r="CM414">
        <v>36.86</v>
      </c>
      <c r="CN414">
        <v>38.06</v>
      </c>
      <c r="CO414">
        <v>6.76</v>
      </c>
      <c r="CP414">
        <v>1.7599999999999998</v>
      </c>
      <c r="CQ414">
        <v>4.26</v>
      </c>
    </row>
    <row r="415" spans="1:95">
      <c r="A415" s="223">
        <v>45701</v>
      </c>
      <c r="B415" s="16" t="s">
        <v>99</v>
      </c>
      <c r="C415" s="17">
        <v>155.51</v>
      </c>
      <c r="D415" s="18">
        <v>153.51</v>
      </c>
      <c r="E415" s="19">
        <v>154.51</v>
      </c>
      <c r="F415" s="17">
        <v>162.08000000000001</v>
      </c>
      <c r="G415" s="18">
        <v>159.08000000000001</v>
      </c>
      <c r="H415" s="19">
        <v>160.58000000000001</v>
      </c>
      <c r="I415" s="17">
        <v>109.68</v>
      </c>
      <c r="J415" s="18">
        <v>106.48</v>
      </c>
      <c r="K415" s="19">
        <v>108.08000000000001</v>
      </c>
      <c r="L415" s="18">
        <v>196.4</v>
      </c>
      <c r="M415" s="18">
        <v>188.4</v>
      </c>
      <c r="N415" s="18">
        <v>192.4</v>
      </c>
      <c r="O415" s="17">
        <v>169.95</v>
      </c>
      <c r="P415" s="18">
        <v>168.14999999999998</v>
      </c>
      <c r="Q415" s="19">
        <v>169.04999999999998</v>
      </c>
      <c r="R415" s="18">
        <v>21.83</v>
      </c>
      <c r="S415" s="18">
        <v>21.229999999999997</v>
      </c>
      <c r="T415" s="18">
        <v>21.529999999999998</v>
      </c>
      <c r="U415" s="17">
        <v>14.01</v>
      </c>
      <c r="V415" s="18">
        <v>13.41</v>
      </c>
      <c r="W415" s="19">
        <v>13.71</v>
      </c>
      <c r="X415" s="17">
        <v>14.62</v>
      </c>
      <c r="Y415" s="18">
        <v>13.819999999999999</v>
      </c>
      <c r="Z415" s="19">
        <v>14.219999999999999</v>
      </c>
      <c r="AA415" s="17">
        <v>99.06</v>
      </c>
      <c r="AB415" s="18">
        <v>95.06</v>
      </c>
      <c r="AC415" s="19">
        <v>97.06</v>
      </c>
      <c r="AD415" s="17">
        <v>89.16</v>
      </c>
      <c r="AE415" s="18">
        <v>85.16</v>
      </c>
      <c r="AF415" s="19">
        <v>87.16</v>
      </c>
      <c r="AG415" s="18">
        <v>20.27</v>
      </c>
      <c r="AH415" s="18">
        <v>19.41</v>
      </c>
      <c r="AI415" s="18">
        <v>19.84</v>
      </c>
      <c r="AJ415" s="20"/>
      <c r="AK415" s="21"/>
      <c r="AL415" s="22"/>
      <c r="AM415" s="18">
        <v>115.03</v>
      </c>
      <c r="AN415" s="18">
        <v>113.37</v>
      </c>
      <c r="AO415" s="18">
        <v>114.2</v>
      </c>
      <c r="AP415" s="17">
        <v>42.07</v>
      </c>
      <c r="AQ415" s="18">
        <v>40.47</v>
      </c>
      <c r="AR415" s="19">
        <v>41.269999999999996</v>
      </c>
      <c r="AS415" s="18">
        <v>42.82</v>
      </c>
      <c r="AT415" s="18">
        <v>41.46</v>
      </c>
      <c r="AU415" s="18">
        <v>42.14</v>
      </c>
      <c r="AV415" s="17">
        <v>21.43</v>
      </c>
      <c r="AW415" s="18">
        <v>20.83</v>
      </c>
      <c r="AX415" s="19">
        <v>21.13</v>
      </c>
      <c r="AY415" s="17">
        <v>4.63</v>
      </c>
      <c r="AZ415" s="18">
        <v>4.47</v>
      </c>
      <c r="BA415" s="19">
        <v>4.55</v>
      </c>
      <c r="BB415" s="17">
        <v>1.94</v>
      </c>
      <c r="BC415" s="23">
        <v>1.64</v>
      </c>
      <c r="BD415" s="24">
        <v>1.79</v>
      </c>
      <c r="BE415" s="18">
        <v>0.71</v>
      </c>
      <c r="BF415" s="23">
        <v>0.41</v>
      </c>
      <c r="BG415" s="23">
        <v>0.55999999999999994</v>
      </c>
      <c r="BH415" s="17">
        <v>509.17</v>
      </c>
      <c r="BI415" s="18">
        <v>493.17</v>
      </c>
      <c r="BJ415" s="19">
        <v>501.17</v>
      </c>
      <c r="BK415" s="18">
        <v>43.14</v>
      </c>
      <c r="BL415" s="18">
        <v>41.78</v>
      </c>
      <c r="BM415" s="18">
        <v>42.46</v>
      </c>
      <c r="BN415" s="25">
        <v>1.07</v>
      </c>
      <c r="BO415" s="23">
        <v>0.83000000000000007</v>
      </c>
      <c r="BP415" s="24">
        <v>0.95000000000000007</v>
      </c>
      <c r="BQ415" s="18">
        <v>8.52</v>
      </c>
      <c r="BR415" s="18">
        <v>6.52</v>
      </c>
      <c r="BS415" s="18">
        <v>7.52</v>
      </c>
      <c r="BT415" s="17">
        <v>10.85</v>
      </c>
      <c r="BU415" s="18">
        <v>10.45</v>
      </c>
      <c r="BV415" s="19">
        <v>10.649999999999999</v>
      </c>
      <c r="BW415" s="17">
        <v>2.81</v>
      </c>
      <c r="BX415" s="23">
        <v>2.5300000000000002</v>
      </c>
      <c r="BY415" s="24">
        <v>2.67</v>
      </c>
      <c r="BZ415" s="17">
        <v>9.84</v>
      </c>
      <c r="CA415" s="18">
        <v>6.84</v>
      </c>
      <c r="CB415" s="19">
        <v>8.34</v>
      </c>
      <c r="CC415" s="17">
        <v>6.54</v>
      </c>
      <c r="CD415" s="18">
        <v>6.3</v>
      </c>
      <c r="CE415" s="19">
        <v>6.42</v>
      </c>
      <c r="CF415" s="17">
        <v>1.89</v>
      </c>
      <c r="CG415" s="18">
        <v>1.39</v>
      </c>
      <c r="CH415" s="19">
        <v>1.64</v>
      </c>
      <c r="CI415" s="17">
        <v>0.42</v>
      </c>
      <c r="CJ415" s="18">
        <v>0.38</v>
      </c>
      <c r="CK415" s="19">
        <v>0.4</v>
      </c>
      <c r="CL415" s="17">
        <v>39.81</v>
      </c>
      <c r="CM415">
        <v>37.410000000000004</v>
      </c>
      <c r="CN415">
        <v>38.61</v>
      </c>
      <c r="CO415">
        <v>6.78</v>
      </c>
      <c r="CP415">
        <v>1.7800000000000002</v>
      </c>
      <c r="CQ415">
        <v>4.28</v>
      </c>
    </row>
    <row r="416" spans="1:95">
      <c r="A416" s="223">
        <v>45702</v>
      </c>
      <c r="B416" s="16" t="s">
        <v>100</v>
      </c>
      <c r="C416" s="26">
        <v>153.81</v>
      </c>
      <c r="D416" s="27">
        <v>151.81</v>
      </c>
      <c r="E416" s="28">
        <v>152.81</v>
      </c>
      <c r="F416" s="26">
        <v>161.35</v>
      </c>
      <c r="G416" s="27">
        <v>158.35</v>
      </c>
      <c r="H416" s="28">
        <v>159.85</v>
      </c>
      <c r="I416" s="26">
        <v>109.21</v>
      </c>
      <c r="J416" s="27">
        <v>106.00999999999999</v>
      </c>
      <c r="K416" s="28">
        <v>107.60999999999999</v>
      </c>
      <c r="L416" s="27">
        <v>195.94</v>
      </c>
      <c r="M416" s="27">
        <v>187.94</v>
      </c>
      <c r="N416" s="27">
        <v>191.94</v>
      </c>
      <c r="O416" s="26">
        <v>170.07</v>
      </c>
      <c r="P416" s="27">
        <v>168.26999999999998</v>
      </c>
      <c r="Q416" s="28">
        <v>169.17</v>
      </c>
      <c r="R416" s="27">
        <v>21.73</v>
      </c>
      <c r="S416" s="27">
        <v>21.13</v>
      </c>
      <c r="T416" s="27">
        <v>21.43</v>
      </c>
      <c r="U416" s="26">
        <v>14.02</v>
      </c>
      <c r="V416" s="27">
        <v>13.42</v>
      </c>
      <c r="W416" s="28">
        <v>13.719999999999999</v>
      </c>
      <c r="X416" s="26">
        <v>14.64</v>
      </c>
      <c r="Y416" s="27">
        <v>13.84</v>
      </c>
      <c r="Z416" s="28">
        <v>14.24</v>
      </c>
      <c r="AA416" s="26">
        <v>98.48</v>
      </c>
      <c r="AB416" s="27">
        <v>94.48</v>
      </c>
      <c r="AC416" s="28">
        <v>96.48</v>
      </c>
      <c r="AD416" s="26">
        <v>88.8</v>
      </c>
      <c r="AE416" s="27">
        <v>84.8</v>
      </c>
      <c r="AF416" s="28">
        <v>86.8</v>
      </c>
      <c r="AG416" s="27">
        <v>20.05</v>
      </c>
      <c r="AH416" s="27">
        <v>19.190000000000001</v>
      </c>
      <c r="AI416" s="27">
        <v>19.62</v>
      </c>
      <c r="AJ416" s="29"/>
      <c r="AK416" s="30"/>
      <c r="AL416" s="31"/>
      <c r="AM416" s="27">
        <v>114.54</v>
      </c>
      <c r="AN416" s="27">
        <v>112.88000000000001</v>
      </c>
      <c r="AO416" s="27">
        <v>113.71000000000001</v>
      </c>
      <c r="AP416" s="26">
        <v>41.61</v>
      </c>
      <c r="AQ416" s="27">
        <v>40.01</v>
      </c>
      <c r="AR416" s="28">
        <v>40.81</v>
      </c>
      <c r="AS416" s="27">
        <v>42.35</v>
      </c>
      <c r="AT416" s="27">
        <v>40.99</v>
      </c>
      <c r="AU416" s="27">
        <v>41.67</v>
      </c>
      <c r="AV416" s="26">
        <v>21.29</v>
      </c>
      <c r="AW416" s="27">
        <v>20.689999999999998</v>
      </c>
      <c r="AX416" s="28">
        <v>20.99</v>
      </c>
      <c r="AY416" s="26">
        <v>4.62</v>
      </c>
      <c r="AZ416" s="27">
        <v>4.46</v>
      </c>
      <c r="BA416" s="28">
        <v>4.54</v>
      </c>
      <c r="BB416" s="26">
        <v>1.92</v>
      </c>
      <c r="BC416" s="32">
        <v>1.6199999999999999</v>
      </c>
      <c r="BD416" s="33">
        <v>1.77</v>
      </c>
      <c r="BE416" s="27">
        <v>0.7</v>
      </c>
      <c r="BF416" s="32">
        <v>0.39999999999999997</v>
      </c>
      <c r="BG416" s="32">
        <v>0.54999999999999993</v>
      </c>
      <c r="BH416" s="26">
        <v>504.3</v>
      </c>
      <c r="BI416" s="27">
        <v>488.3</v>
      </c>
      <c r="BJ416" s="28">
        <v>496.3</v>
      </c>
      <c r="BK416" s="27">
        <v>42.68</v>
      </c>
      <c r="BL416" s="27">
        <v>41.32</v>
      </c>
      <c r="BM416" s="27">
        <v>42</v>
      </c>
      <c r="BN416" s="34">
        <v>1.06</v>
      </c>
      <c r="BO416" s="32">
        <v>0.82000000000000006</v>
      </c>
      <c r="BP416" s="33">
        <v>0.94000000000000006</v>
      </c>
      <c r="BQ416" s="27">
        <v>8.49</v>
      </c>
      <c r="BR416" s="27">
        <v>6.49</v>
      </c>
      <c r="BS416" s="27">
        <v>7.49</v>
      </c>
      <c r="BT416" s="26">
        <v>10.8</v>
      </c>
      <c r="BU416" s="27">
        <v>10.4</v>
      </c>
      <c r="BV416" s="28">
        <v>10.600000000000001</v>
      </c>
      <c r="BW416" s="26">
        <v>2.79</v>
      </c>
      <c r="BX416" s="32">
        <v>2.5099999999999998</v>
      </c>
      <c r="BY416" s="33">
        <v>2.65</v>
      </c>
      <c r="BZ416" s="26">
        <v>9.76</v>
      </c>
      <c r="CA416" s="27">
        <v>6.76</v>
      </c>
      <c r="CB416" s="28">
        <v>8.26</v>
      </c>
      <c r="CC416" s="26">
        <v>6.51</v>
      </c>
      <c r="CD416" s="27">
        <v>6.27</v>
      </c>
      <c r="CE416" s="28">
        <v>6.39</v>
      </c>
      <c r="CF416" s="26">
        <v>1.96</v>
      </c>
      <c r="CG416" s="27">
        <v>1.46</v>
      </c>
      <c r="CH416" s="28">
        <v>1.71</v>
      </c>
      <c r="CI416" s="26">
        <v>0.42</v>
      </c>
      <c r="CJ416" s="27">
        <v>0.38</v>
      </c>
      <c r="CK416" s="28">
        <v>0.4</v>
      </c>
      <c r="CL416" s="26">
        <v>39.57</v>
      </c>
      <c r="CM416">
        <v>37.17</v>
      </c>
      <c r="CN416">
        <v>38.370000000000005</v>
      </c>
      <c r="CO416">
        <v>6.74</v>
      </c>
      <c r="CP416">
        <v>1.7400000000000002</v>
      </c>
      <c r="CQ416">
        <v>4.24</v>
      </c>
    </row>
    <row r="417" spans="1:95">
      <c r="A417" s="223">
        <v>45703</v>
      </c>
      <c r="B417" s="16" t="s">
        <v>307</v>
      </c>
      <c r="C417" s="26"/>
      <c r="D417" s="27"/>
      <c r="E417" s="28"/>
      <c r="F417" s="26"/>
      <c r="G417" s="27"/>
      <c r="H417" s="28"/>
      <c r="I417" s="26"/>
      <c r="J417" s="27"/>
      <c r="K417" s="28"/>
      <c r="L417" s="27"/>
      <c r="M417" s="27"/>
      <c r="N417" s="27"/>
      <c r="O417" s="26"/>
      <c r="P417" s="27"/>
      <c r="Q417" s="28"/>
      <c r="R417" s="27"/>
      <c r="S417" s="27"/>
      <c r="T417" s="27"/>
      <c r="U417" s="26"/>
      <c r="V417" s="27"/>
      <c r="W417" s="28"/>
      <c r="X417" s="26"/>
      <c r="Y417" s="27"/>
      <c r="Z417" s="28"/>
      <c r="AA417" s="26"/>
      <c r="AB417" s="27"/>
      <c r="AC417" s="28"/>
      <c r="AD417" s="26"/>
      <c r="AE417" s="27"/>
      <c r="AF417" s="28"/>
      <c r="AG417" s="27"/>
      <c r="AH417" s="27"/>
      <c r="AI417" s="27"/>
      <c r="AJ417" s="29"/>
      <c r="AK417" s="30"/>
      <c r="AL417" s="31"/>
      <c r="AM417" s="27"/>
      <c r="AN417" s="27"/>
      <c r="AO417" s="27"/>
      <c r="AP417" s="26"/>
      <c r="AQ417" s="27"/>
      <c r="AR417" s="28"/>
      <c r="AS417" s="27"/>
      <c r="AT417" s="27"/>
      <c r="AU417" s="27"/>
      <c r="AV417" s="26"/>
      <c r="AW417" s="27"/>
      <c r="AX417" s="28"/>
      <c r="AY417" s="26"/>
      <c r="AZ417" s="27"/>
      <c r="BA417" s="28"/>
      <c r="BB417" s="26"/>
      <c r="BC417" s="32"/>
      <c r="BD417" s="33"/>
      <c r="BE417" s="27"/>
      <c r="BF417" s="32"/>
      <c r="BG417" s="32"/>
      <c r="BH417" s="26"/>
      <c r="BI417" s="27"/>
      <c r="BJ417" s="28"/>
      <c r="BK417" s="27"/>
      <c r="BL417" s="27"/>
      <c r="BM417" s="27"/>
      <c r="BN417" s="34"/>
      <c r="BO417" s="32"/>
      <c r="BP417" s="33"/>
      <c r="BQ417" s="27"/>
      <c r="BR417" s="27"/>
      <c r="BS417" s="27"/>
      <c r="BT417" s="26"/>
      <c r="BU417" s="27"/>
      <c r="BV417" s="28"/>
      <c r="BW417" s="26"/>
      <c r="BX417" s="32"/>
      <c r="BY417" s="33"/>
      <c r="BZ417" s="26"/>
      <c r="CA417" s="27"/>
      <c r="CB417" s="28"/>
      <c r="CC417" s="26"/>
      <c r="CD417" s="27"/>
      <c r="CE417" s="28"/>
      <c r="CF417" s="26"/>
      <c r="CG417" s="27"/>
      <c r="CH417" s="28"/>
      <c r="CI417" s="26"/>
      <c r="CJ417" s="27"/>
      <c r="CK417" s="28"/>
      <c r="CL417" s="26"/>
    </row>
    <row r="418" spans="1:95">
      <c r="A418" s="223">
        <v>45704</v>
      </c>
      <c r="B418" s="16" t="s">
        <v>308</v>
      </c>
      <c r="C418" s="26"/>
      <c r="D418" s="27"/>
      <c r="E418" s="28"/>
      <c r="F418" s="26"/>
      <c r="G418" s="27"/>
      <c r="H418" s="28"/>
      <c r="I418" s="26"/>
      <c r="J418" s="27"/>
      <c r="K418" s="28"/>
      <c r="L418" s="27"/>
      <c r="M418" s="27"/>
      <c r="N418" s="27"/>
      <c r="O418" s="26"/>
      <c r="P418" s="27"/>
      <c r="Q418" s="28"/>
      <c r="R418" s="27"/>
      <c r="S418" s="27"/>
      <c r="T418" s="27"/>
      <c r="U418" s="26"/>
      <c r="V418" s="27"/>
      <c r="W418" s="28"/>
      <c r="X418" s="26"/>
      <c r="Y418" s="27"/>
      <c r="Z418" s="28"/>
      <c r="AA418" s="26"/>
      <c r="AB418" s="27"/>
      <c r="AC418" s="28"/>
      <c r="AD418" s="26"/>
      <c r="AE418" s="27"/>
      <c r="AF418" s="28"/>
      <c r="AG418" s="27"/>
      <c r="AH418" s="27"/>
      <c r="AI418" s="27"/>
      <c r="AJ418" s="29"/>
      <c r="AK418" s="30"/>
      <c r="AL418" s="31"/>
      <c r="AM418" s="27"/>
      <c r="AN418" s="27"/>
      <c r="AO418" s="27"/>
      <c r="AP418" s="26"/>
      <c r="AQ418" s="27"/>
      <c r="AR418" s="28"/>
      <c r="AS418" s="27"/>
      <c r="AT418" s="27"/>
      <c r="AU418" s="27"/>
      <c r="AV418" s="26"/>
      <c r="AW418" s="27"/>
      <c r="AX418" s="28"/>
      <c r="AY418" s="26"/>
      <c r="AZ418" s="27"/>
      <c r="BA418" s="28"/>
      <c r="BB418" s="26"/>
      <c r="BC418" s="32"/>
      <c r="BD418" s="33"/>
      <c r="BE418" s="27"/>
      <c r="BF418" s="32"/>
      <c r="BG418" s="32"/>
      <c r="BH418" s="26"/>
      <c r="BI418" s="27"/>
      <c r="BJ418" s="28"/>
      <c r="BK418" s="27"/>
      <c r="BL418" s="27"/>
      <c r="BM418" s="27"/>
      <c r="BN418" s="34"/>
      <c r="BO418" s="32"/>
      <c r="BP418" s="33"/>
      <c r="BQ418" s="27"/>
      <c r="BR418" s="27"/>
      <c r="BS418" s="27"/>
      <c r="BT418" s="26"/>
      <c r="BU418" s="27"/>
      <c r="BV418" s="28"/>
      <c r="BW418" s="26"/>
      <c r="BX418" s="32"/>
      <c r="BY418" s="33"/>
      <c r="BZ418" s="26"/>
      <c r="CA418" s="27"/>
      <c r="CB418" s="28"/>
      <c r="CC418" s="26"/>
      <c r="CD418" s="27"/>
      <c r="CE418" s="28"/>
      <c r="CF418" s="26"/>
      <c r="CG418" s="27"/>
      <c r="CH418" s="28"/>
      <c r="CI418" s="26"/>
      <c r="CJ418" s="27"/>
      <c r="CK418" s="28"/>
      <c r="CL418" s="26"/>
    </row>
    <row r="419" spans="1:95">
      <c r="A419" s="223">
        <v>45705</v>
      </c>
      <c r="B419" s="16" t="s">
        <v>96</v>
      </c>
      <c r="C419" s="26">
        <v>152.91</v>
      </c>
      <c r="D419" s="27">
        <v>150.91</v>
      </c>
      <c r="E419" s="28">
        <v>151.91</v>
      </c>
      <c r="F419" s="26">
        <v>160.85</v>
      </c>
      <c r="G419" s="27">
        <v>157.85</v>
      </c>
      <c r="H419" s="28">
        <v>159.35</v>
      </c>
      <c r="I419" s="26">
        <v>108.8</v>
      </c>
      <c r="J419" s="27">
        <v>105.6</v>
      </c>
      <c r="K419" s="28">
        <v>107.19999999999999</v>
      </c>
      <c r="L419" s="27">
        <v>195.19</v>
      </c>
      <c r="M419" s="27">
        <v>187.19</v>
      </c>
      <c r="N419" s="27">
        <v>191.19</v>
      </c>
      <c r="O419" s="26">
        <v>169.67</v>
      </c>
      <c r="P419" s="27">
        <v>167.86999999999998</v>
      </c>
      <c r="Q419" s="28">
        <v>168.76999999999998</v>
      </c>
      <c r="R419" s="27">
        <v>21.66</v>
      </c>
      <c r="S419" s="27">
        <v>21.06</v>
      </c>
      <c r="T419" s="27">
        <v>21.36</v>
      </c>
      <c r="U419" s="26">
        <v>13.95</v>
      </c>
      <c r="V419" s="27">
        <v>13.35</v>
      </c>
      <c r="W419" s="28">
        <v>13.649999999999999</v>
      </c>
      <c r="X419" s="26">
        <v>14.61</v>
      </c>
      <c r="Y419" s="27">
        <v>13.809999999999999</v>
      </c>
      <c r="Z419" s="28">
        <v>14.209999999999999</v>
      </c>
      <c r="AA419" s="26">
        <v>98.54</v>
      </c>
      <c r="AB419" s="27">
        <v>94.54</v>
      </c>
      <c r="AC419" s="28">
        <v>96.54</v>
      </c>
      <c r="AD419" s="26">
        <v>89.12</v>
      </c>
      <c r="AE419" s="27">
        <v>85.12</v>
      </c>
      <c r="AF419" s="28">
        <v>87.12</v>
      </c>
      <c r="AG419" s="27">
        <v>19.95</v>
      </c>
      <c r="AH419" s="27">
        <v>19.09</v>
      </c>
      <c r="AI419" s="27">
        <v>19.52</v>
      </c>
      <c r="AJ419" s="29"/>
      <c r="AK419" s="30"/>
      <c r="AL419" s="31"/>
      <c r="AM419" s="27">
        <v>114.25</v>
      </c>
      <c r="AN419" s="27">
        <v>112.59</v>
      </c>
      <c r="AO419" s="27">
        <v>113.42</v>
      </c>
      <c r="AP419" s="26">
        <v>41.37</v>
      </c>
      <c r="AQ419" s="27">
        <v>39.769999999999996</v>
      </c>
      <c r="AR419" s="28">
        <v>40.569999999999993</v>
      </c>
      <c r="AS419" s="27">
        <v>42.11</v>
      </c>
      <c r="AT419" s="27">
        <v>40.75</v>
      </c>
      <c r="AU419" s="27">
        <v>41.43</v>
      </c>
      <c r="AV419" s="26">
        <v>21.24</v>
      </c>
      <c r="AW419" s="27">
        <v>20.639999999999997</v>
      </c>
      <c r="AX419" s="28">
        <v>20.939999999999998</v>
      </c>
      <c r="AY419" s="26">
        <v>4.57</v>
      </c>
      <c r="AZ419" s="27">
        <v>4.41</v>
      </c>
      <c r="BA419" s="28">
        <v>4.49</v>
      </c>
      <c r="BB419" s="26">
        <v>1.91</v>
      </c>
      <c r="BC419" s="32">
        <v>1.6099999999999999</v>
      </c>
      <c r="BD419" s="33">
        <v>1.7599999999999998</v>
      </c>
      <c r="BE419" s="27">
        <v>0.7</v>
      </c>
      <c r="BF419" s="32">
        <v>0.39999999999999997</v>
      </c>
      <c r="BG419" s="32">
        <v>0.54999999999999993</v>
      </c>
      <c r="BH419" s="26">
        <v>501.21</v>
      </c>
      <c r="BI419" s="27">
        <v>485.21</v>
      </c>
      <c r="BJ419" s="28">
        <v>493.21</v>
      </c>
      <c r="BK419" s="27">
        <v>42.42</v>
      </c>
      <c r="BL419" s="27">
        <v>41.06</v>
      </c>
      <c r="BM419" s="27">
        <v>41.74</v>
      </c>
      <c r="BN419" s="34">
        <v>1.06</v>
      </c>
      <c r="BO419" s="32">
        <v>0.82000000000000006</v>
      </c>
      <c r="BP419" s="33">
        <v>0.94000000000000006</v>
      </c>
      <c r="BQ419" s="27">
        <v>8.48</v>
      </c>
      <c r="BR419" s="27">
        <v>6.48</v>
      </c>
      <c r="BS419" s="27">
        <v>7.48</v>
      </c>
      <c r="BT419" s="26">
        <v>10.74</v>
      </c>
      <c r="BU419" s="27">
        <v>10.34</v>
      </c>
      <c r="BV419" s="28">
        <v>10.54</v>
      </c>
      <c r="BW419" s="26">
        <v>2.79</v>
      </c>
      <c r="BX419" s="32">
        <v>2.5099999999999998</v>
      </c>
      <c r="BY419" s="33">
        <v>2.65</v>
      </c>
      <c r="BZ419" s="26">
        <v>9.77</v>
      </c>
      <c r="CA419" s="27">
        <v>6.77</v>
      </c>
      <c r="CB419" s="28">
        <v>8.27</v>
      </c>
      <c r="CC419" s="26">
        <v>6.49</v>
      </c>
      <c r="CD419" s="27">
        <v>6.25</v>
      </c>
      <c r="CE419" s="28">
        <v>6.37</v>
      </c>
      <c r="CF419" s="26">
        <v>1.92</v>
      </c>
      <c r="CG419" s="27">
        <v>1.42</v>
      </c>
      <c r="CH419" s="28">
        <v>1.67</v>
      </c>
      <c r="CI419" s="26">
        <v>0.42</v>
      </c>
      <c r="CJ419" s="27">
        <v>0.38</v>
      </c>
      <c r="CK419" s="28">
        <v>0.4</v>
      </c>
      <c r="CL419" s="26">
        <v>39.53</v>
      </c>
      <c r="CM419">
        <v>37.130000000000003</v>
      </c>
      <c r="CN419">
        <v>38.33</v>
      </c>
      <c r="CO419">
        <v>6.7</v>
      </c>
      <c r="CP419">
        <v>1.7000000000000002</v>
      </c>
      <c r="CQ419">
        <v>4.2</v>
      </c>
    </row>
    <row r="420" spans="1:95">
      <c r="A420" s="223">
        <v>45706</v>
      </c>
      <c r="B420" s="16" t="s">
        <v>97</v>
      </c>
      <c r="C420" s="26">
        <v>152.66999999999999</v>
      </c>
      <c r="D420" s="27">
        <v>150.66999999999999</v>
      </c>
      <c r="E420" s="28">
        <v>151.66999999999999</v>
      </c>
      <c r="F420" s="26">
        <v>160.37</v>
      </c>
      <c r="G420" s="27">
        <v>157.37</v>
      </c>
      <c r="H420" s="28">
        <v>158.87</v>
      </c>
      <c r="I420" s="26">
        <v>108.46</v>
      </c>
      <c r="J420" s="27">
        <v>105.25999999999999</v>
      </c>
      <c r="K420" s="28">
        <v>106.85999999999999</v>
      </c>
      <c r="L420" s="27">
        <v>195.3</v>
      </c>
      <c r="M420" s="27">
        <v>187.3</v>
      </c>
      <c r="N420" s="27">
        <v>191.3</v>
      </c>
      <c r="O420" s="26">
        <v>169.14</v>
      </c>
      <c r="P420" s="27">
        <v>167.33999999999997</v>
      </c>
      <c r="Q420" s="28">
        <v>168.23999999999998</v>
      </c>
      <c r="R420" s="27">
        <v>21.6</v>
      </c>
      <c r="S420" s="27">
        <v>21</v>
      </c>
      <c r="T420" s="27">
        <v>21.3</v>
      </c>
      <c r="U420" s="26">
        <v>13.95</v>
      </c>
      <c r="V420" s="27">
        <v>13.35</v>
      </c>
      <c r="W420" s="28">
        <v>13.649999999999999</v>
      </c>
      <c r="X420" s="26">
        <v>14.58</v>
      </c>
      <c r="Y420" s="27">
        <v>13.78</v>
      </c>
      <c r="Z420" s="28">
        <v>14.18</v>
      </c>
      <c r="AA420" s="26">
        <v>98.28</v>
      </c>
      <c r="AB420" s="27">
        <v>94.28</v>
      </c>
      <c r="AC420" s="28">
        <v>96.28</v>
      </c>
      <c r="AD420" s="26">
        <v>88.85</v>
      </c>
      <c r="AE420" s="27">
        <v>84.85</v>
      </c>
      <c r="AF420" s="28">
        <v>86.85</v>
      </c>
      <c r="AG420" s="27">
        <v>19.920000000000002</v>
      </c>
      <c r="AH420" s="27">
        <v>19.060000000000002</v>
      </c>
      <c r="AI420" s="27">
        <v>19.490000000000002</v>
      </c>
      <c r="AJ420" s="29"/>
      <c r="AK420" s="30"/>
      <c r="AL420" s="31"/>
      <c r="AM420" s="27">
        <v>113.85</v>
      </c>
      <c r="AN420" s="27">
        <v>112.19</v>
      </c>
      <c r="AO420" s="27">
        <v>113.02</v>
      </c>
      <c r="AP420" s="26">
        <v>41.3</v>
      </c>
      <c r="AQ420" s="27">
        <v>39.699999999999996</v>
      </c>
      <c r="AR420" s="28">
        <v>40.5</v>
      </c>
      <c r="AS420" s="27">
        <v>42.04</v>
      </c>
      <c r="AT420" s="27">
        <v>40.68</v>
      </c>
      <c r="AU420" s="27">
        <v>41.36</v>
      </c>
      <c r="AV420" s="26">
        <v>21.17</v>
      </c>
      <c r="AW420" s="27">
        <v>20.57</v>
      </c>
      <c r="AX420" s="28">
        <v>20.87</v>
      </c>
      <c r="AY420" s="26">
        <v>4.58</v>
      </c>
      <c r="AZ420" s="27">
        <v>4.42</v>
      </c>
      <c r="BA420" s="28">
        <v>4.5</v>
      </c>
      <c r="BB420" s="26">
        <v>1.91</v>
      </c>
      <c r="BC420" s="32">
        <v>1.6099999999999999</v>
      </c>
      <c r="BD420" s="33">
        <v>1.7599999999999998</v>
      </c>
      <c r="BE420" s="27">
        <v>0.7</v>
      </c>
      <c r="BF420" s="32">
        <v>0.39999999999999997</v>
      </c>
      <c r="BG420" s="32">
        <v>0.54999999999999993</v>
      </c>
      <c r="BH420" s="26">
        <v>500.44</v>
      </c>
      <c r="BI420" s="27">
        <v>484.44</v>
      </c>
      <c r="BJ420" s="28">
        <v>492.44</v>
      </c>
      <c r="BK420" s="27">
        <v>42.36</v>
      </c>
      <c r="BL420" s="27">
        <v>41</v>
      </c>
      <c r="BM420" s="27">
        <v>41.68</v>
      </c>
      <c r="BN420" s="34">
        <v>1.06</v>
      </c>
      <c r="BO420" s="32">
        <v>0.82000000000000006</v>
      </c>
      <c r="BP420" s="33">
        <v>0.94000000000000006</v>
      </c>
      <c r="BQ420" s="27">
        <v>8.4600000000000009</v>
      </c>
      <c r="BR420" s="27">
        <v>6.4600000000000009</v>
      </c>
      <c r="BS420" s="27">
        <v>7.4600000000000009</v>
      </c>
      <c r="BT420" s="26">
        <v>10.72</v>
      </c>
      <c r="BU420" s="27">
        <v>10.32</v>
      </c>
      <c r="BV420" s="28">
        <v>10.52</v>
      </c>
      <c r="BW420" s="26">
        <v>2.77</v>
      </c>
      <c r="BX420" s="32">
        <v>2.4900000000000002</v>
      </c>
      <c r="BY420" s="33">
        <v>2.63</v>
      </c>
      <c r="BZ420" s="26">
        <v>9.7200000000000006</v>
      </c>
      <c r="CA420" s="27">
        <v>6.7200000000000006</v>
      </c>
      <c r="CB420" s="28">
        <v>8.2200000000000006</v>
      </c>
      <c r="CC420" s="26">
        <v>6.47</v>
      </c>
      <c r="CD420" s="27">
        <v>6.2299999999999995</v>
      </c>
      <c r="CE420" s="28">
        <v>6.35</v>
      </c>
      <c r="CF420" s="26">
        <v>1.91</v>
      </c>
      <c r="CG420" s="27">
        <v>1.41</v>
      </c>
      <c r="CH420" s="28">
        <v>1.66</v>
      </c>
      <c r="CI420" s="26">
        <v>0.42</v>
      </c>
      <c r="CJ420" s="27">
        <v>0.38</v>
      </c>
      <c r="CK420" s="28">
        <v>0.4</v>
      </c>
      <c r="CL420" s="26">
        <v>39.43</v>
      </c>
      <c r="CM420">
        <v>37.03</v>
      </c>
      <c r="CN420">
        <v>38.230000000000004</v>
      </c>
      <c r="CO420">
        <v>6.69</v>
      </c>
      <c r="CP420">
        <v>1.6900000000000004</v>
      </c>
      <c r="CQ420">
        <v>4.1900000000000004</v>
      </c>
    </row>
    <row r="421" spans="1:95">
      <c r="A421" s="223">
        <v>45707</v>
      </c>
      <c r="B421" s="16" t="s">
        <v>98</v>
      </c>
      <c r="C421" s="26">
        <v>153.13999999999999</v>
      </c>
      <c r="D421" s="27">
        <v>151.13999999999999</v>
      </c>
      <c r="E421" s="28">
        <v>152.13999999999999</v>
      </c>
      <c r="F421" s="26">
        <v>160.41</v>
      </c>
      <c r="G421" s="27">
        <v>157.41</v>
      </c>
      <c r="H421" s="28">
        <v>158.91</v>
      </c>
      <c r="I421" s="26">
        <v>108.76</v>
      </c>
      <c r="J421" s="27">
        <v>105.56</v>
      </c>
      <c r="K421" s="28">
        <v>107.16</v>
      </c>
      <c r="L421" s="27">
        <v>195.99</v>
      </c>
      <c r="M421" s="27">
        <v>187.99</v>
      </c>
      <c r="N421" s="27">
        <v>191.99</v>
      </c>
      <c r="O421" s="26">
        <v>169.12</v>
      </c>
      <c r="P421" s="27">
        <v>167.32</v>
      </c>
      <c r="Q421" s="28">
        <v>168.22</v>
      </c>
      <c r="R421" s="27">
        <v>21.6</v>
      </c>
      <c r="S421" s="27">
        <v>21</v>
      </c>
      <c r="T421" s="27">
        <v>21.3</v>
      </c>
      <c r="U421" s="26">
        <v>13.92</v>
      </c>
      <c r="V421" s="27">
        <v>13.32</v>
      </c>
      <c r="W421" s="28">
        <v>13.620000000000001</v>
      </c>
      <c r="X421" s="26">
        <v>14.58</v>
      </c>
      <c r="Y421" s="27">
        <v>13.78</v>
      </c>
      <c r="Z421" s="28">
        <v>14.18</v>
      </c>
      <c r="AA421" s="26">
        <v>98.61</v>
      </c>
      <c r="AB421" s="27">
        <v>94.61</v>
      </c>
      <c r="AC421" s="28">
        <v>96.61</v>
      </c>
      <c r="AD421" s="26">
        <v>88.72</v>
      </c>
      <c r="AE421" s="27">
        <v>84.72</v>
      </c>
      <c r="AF421" s="28">
        <v>86.72</v>
      </c>
      <c r="AG421" s="27">
        <v>20</v>
      </c>
      <c r="AH421" s="27">
        <v>19.14</v>
      </c>
      <c r="AI421" s="27">
        <v>19.57</v>
      </c>
      <c r="AJ421" s="29"/>
      <c r="AK421" s="30"/>
      <c r="AL421" s="31"/>
      <c r="AM421" s="27">
        <v>114.14</v>
      </c>
      <c r="AN421" s="27">
        <v>112.48</v>
      </c>
      <c r="AO421" s="27">
        <v>113.31</v>
      </c>
      <c r="AP421" s="26">
        <v>41.44</v>
      </c>
      <c r="AQ421" s="27">
        <v>39.839999999999996</v>
      </c>
      <c r="AR421" s="28">
        <v>40.64</v>
      </c>
      <c r="AS421" s="27">
        <v>42.17</v>
      </c>
      <c r="AT421" s="27">
        <v>40.81</v>
      </c>
      <c r="AU421" s="27">
        <v>41.49</v>
      </c>
      <c r="AV421" s="26">
        <v>21.19</v>
      </c>
      <c r="AW421" s="27">
        <v>20.59</v>
      </c>
      <c r="AX421" s="28">
        <v>20.89</v>
      </c>
      <c r="AY421" s="26">
        <v>4.5999999999999996</v>
      </c>
      <c r="AZ421" s="27">
        <v>4.4399999999999995</v>
      </c>
      <c r="BA421" s="28">
        <v>4.5199999999999996</v>
      </c>
      <c r="BB421" s="26">
        <v>1.91</v>
      </c>
      <c r="BC421" s="32">
        <v>1.6099999999999999</v>
      </c>
      <c r="BD421" s="33">
        <v>1.7599999999999998</v>
      </c>
      <c r="BE421" s="27">
        <v>0.7</v>
      </c>
      <c r="BF421" s="32">
        <v>0.39999999999999997</v>
      </c>
      <c r="BG421" s="32">
        <v>0.54999999999999993</v>
      </c>
      <c r="BH421" s="26">
        <v>501.64</v>
      </c>
      <c r="BI421" s="27">
        <v>485.64</v>
      </c>
      <c r="BJ421" s="28">
        <v>493.64</v>
      </c>
      <c r="BK421" s="27">
        <v>42.49</v>
      </c>
      <c r="BL421" s="27">
        <v>41.13</v>
      </c>
      <c r="BM421" s="27">
        <v>41.81</v>
      </c>
      <c r="BN421" s="34">
        <v>1.06</v>
      </c>
      <c r="BO421" s="32">
        <v>0.82000000000000006</v>
      </c>
      <c r="BP421" s="33">
        <v>0.94000000000000006</v>
      </c>
      <c r="BQ421" s="27">
        <v>8.51</v>
      </c>
      <c r="BR421" s="27">
        <v>6.51</v>
      </c>
      <c r="BS421" s="27">
        <v>7.51</v>
      </c>
      <c r="BT421" s="26">
        <v>10.77</v>
      </c>
      <c r="BU421" s="27">
        <v>10.37</v>
      </c>
      <c r="BV421" s="28">
        <v>10.57</v>
      </c>
      <c r="BW421" s="26">
        <v>2.77</v>
      </c>
      <c r="BX421" s="32">
        <v>2.4900000000000002</v>
      </c>
      <c r="BY421" s="33">
        <v>2.63</v>
      </c>
      <c r="BZ421" s="26">
        <v>9.76</v>
      </c>
      <c r="CA421" s="27">
        <v>6.76</v>
      </c>
      <c r="CB421" s="28">
        <v>8.26</v>
      </c>
      <c r="CC421" s="26">
        <v>6.47</v>
      </c>
      <c r="CD421" s="27">
        <v>6.2299999999999995</v>
      </c>
      <c r="CE421" s="28">
        <v>6.35</v>
      </c>
      <c r="CF421" s="26">
        <v>1.91</v>
      </c>
      <c r="CG421" s="27">
        <v>1.41</v>
      </c>
      <c r="CH421" s="28">
        <v>1.66</v>
      </c>
      <c r="CI421" s="26">
        <v>0.42</v>
      </c>
      <c r="CJ421" s="27">
        <v>0.38</v>
      </c>
      <c r="CK421" s="28">
        <v>0.4</v>
      </c>
      <c r="CL421" s="26">
        <v>39.49</v>
      </c>
      <c r="CM421">
        <v>37.090000000000003</v>
      </c>
      <c r="CN421">
        <v>38.290000000000006</v>
      </c>
      <c r="CO421">
        <v>6.7</v>
      </c>
      <c r="CP421">
        <v>1.7000000000000002</v>
      </c>
      <c r="CQ421">
        <v>4.2</v>
      </c>
    </row>
    <row r="422" spans="1:95">
      <c r="A422" s="223">
        <v>45708</v>
      </c>
      <c r="B422" s="16" t="s">
        <v>99</v>
      </c>
      <c r="C422" s="26">
        <v>152.13</v>
      </c>
      <c r="D422" s="27">
        <v>150.13</v>
      </c>
      <c r="E422" s="28">
        <v>151.13</v>
      </c>
      <c r="F422" s="26">
        <v>159.1</v>
      </c>
      <c r="G422" s="27">
        <v>156.1</v>
      </c>
      <c r="H422" s="28">
        <v>157.6</v>
      </c>
      <c r="I422" s="26">
        <v>107.82</v>
      </c>
      <c r="J422" s="27">
        <v>104.61999999999999</v>
      </c>
      <c r="K422" s="28">
        <v>106.22</v>
      </c>
      <c r="L422" s="27">
        <v>194.3</v>
      </c>
      <c r="M422" s="27">
        <v>186.3</v>
      </c>
      <c r="N422" s="27">
        <v>190.3</v>
      </c>
      <c r="O422" s="26">
        <v>168.08</v>
      </c>
      <c r="P422" s="27">
        <v>166.28</v>
      </c>
      <c r="Q422" s="28">
        <v>167.18</v>
      </c>
      <c r="R422" s="27">
        <v>21.43</v>
      </c>
      <c r="S422" s="27">
        <v>20.83</v>
      </c>
      <c r="T422" s="27">
        <v>21.13</v>
      </c>
      <c r="U422" s="26">
        <v>13.89</v>
      </c>
      <c r="V422" s="27">
        <v>13.290000000000001</v>
      </c>
      <c r="W422" s="28">
        <v>13.59</v>
      </c>
      <c r="X422" s="26">
        <v>14.5</v>
      </c>
      <c r="Y422" s="27">
        <v>13.7</v>
      </c>
      <c r="Z422" s="28">
        <v>14.1</v>
      </c>
      <c r="AA422" s="26">
        <v>97.97</v>
      </c>
      <c r="AB422" s="27">
        <v>93.97</v>
      </c>
      <c r="AC422" s="28">
        <v>95.97</v>
      </c>
      <c r="AD422" s="26">
        <v>88.22</v>
      </c>
      <c r="AE422" s="27">
        <v>84.22</v>
      </c>
      <c r="AF422" s="28">
        <v>86.22</v>
      </c>
      <c r="AG422" s="27">
        <v>19.86</v>
      </c>
      <c r="AH422" s="27">
        <v>19</v>
      </c>
      <c r="AI422" s="27">
        <v>19.43</v>
      </c>
      <c r="AJ422" s="29"/>
      <c r="AK422" s="30"/>
      <c r="AL422" s="31"/>
      <c r="AM422" s="27">
        <v>113.47</v>
      </c>
      <c r="AN422" s="27">
        <v>111.81</v>
      </c>
      <c r="AO422" s="27">
        <v>112.64</v>
      </c>
      <c r="AP422" s="26">
        <v>41.17</v>
      </c>
      <c r="AQ422" s="27">
        <v>39.57</v>
      </c>
      <c r="AR422" s="28">
        <v>40.370000000000005</v>
      </c>
      <c r="AS422" s="27">
        <v>41.89</v>
      </c>
      <c r="AT422" s="27">
        <v>40.53</v>
      </c>
      <c r="AU422" s="27">
        <v>41.21</v>
      </c>
      <c r="AV422" s="26">
        <v>21.06</v>
      </c>
      <c r="AW422" s="27">
        <v>20.459999999999997</v>
      </c>
      <c r="AX422" s="28">
        <v>20.759999999999998</v>
      </c>
      <c r="AY422" s="26">
        <v>4.57</v>
      </c>
      <c r="AZ422" s="27">
        <v>4.41</v>
      </c>
      <c r="BA422" s="28">
        <v>4.49</v>
      </c>
      <c r="BB422" s="26">
        <v>1.9</v>
      </c>
      <c r="BC422" s="32">
        <v>1.5999999999999999</v>
      </c>
      <c r="BD422" s="33">
        <v>1.75</v>
      </c>
      <c r="BE422" s="27">
        <v>0.69</v>
      </c>
      <c r="BF422" s="32">
        <v>0.38999999999999996</v>
      </c>
      <c r="BG422" s="32">
        <v>0.53999999999999992</v>
      </c>
      <c r="BH422" s="26">
        <v>498.52</v>
      </c>
      <c r="BI422" s="27">
        <v>482.52</v>
      </c>
      <c r="BJ422" s="28">
        <v>490.52</v>
      </c>
      <c r="BK422" s="27">
        <v>42.21</v>
      </c>
      <c r="BL422" s="27">
        <v>40.85</v>
      </c>
      <c r="BM422" s="27">
        <v>41.53</v>
      </c>
      <c r="BN422" s="34">
        <v>1.05</v>
      </c>
      <c r="BO422" s="32">
        <v>0.81</v>
      </c>
      <c r="BP422" s="33">
        <v>0.93</v>
      </c>
      <c r="BQ422" s="27">
        <v>8.39</v>
      </c>
      <c r="BR422" s="27">
        <v>6.3900000000000006</v>
      </c>
      <c r="BS422" s="27">
        <v>7.3900000000000006</v>
      </c>
      <c r="BT422" s="26">
        <v>10.71</v>
      </c>
      <c r="BU422" s="27">
        <v>10.31</v>
      </c>
      <c r="BV422" s="28">
        <v>10.510000000000002</v>
      </c>
      <c r="BW422" s="26">
        <v>2.76</v>
      </c>
      <c r="BX422" s="32">
        <v>2.4799999999999995</v>
      </c>
      <c r="BY422" s="33">
        <v>2.6199999999999997</v>
      </c>
      <c r="BZ422" s="26">
        <v>9.65</v>
      </c>
      <c r="CA422" s="27">
        <v>6.65</v>
      </c>
      <c r="CB422" s="28">
        <v>8.15</v>
      </c>
      <c r="CC422" s="26">
        <v>6.4</v>
      </c>
      <c r="CD422" s="27">
        <v>6.16</v>
      </c>
      <c r="CE422" s="28">
        <v>6.28</v>
      </c>
      <c r="CF422" s="26">
        <v>1.94</v>
      </c>
      <c r="CG422" s="27">
        <v>1.44</v>
      </c>
      <c r="CH422" s="28">
        <v>1.69</v>
      </c>
      <c r="CI422" s="26">
        <v>0.41</v>
      </c>
      <c r="CJ422" s="27">
        <v>0.37</v>
      </c>
      <c r="CK422" s="28">
        <v>0.39</v>
      </c>
      <c r="CL422" s="26">
        <v>38.96</v>
      </c>
      <c r="CM422">
        <v>36.56</v>
      </c>
      <c r="CN422">
        <v>37.760000000000005</v>
      </c>
      <c r="CO422">
        <v>6.67</v>
      </c>
      <c r="CP422">
        <v>1.67</v>
      </c>
      <c r="CQ422">
        <v>4.17</v>
      </c>
    </row>
    <row r="423" spans="1:95">
      <c r="A423" s="223">
        <v>45709</v>
      </c>
      <c r="B423" s="16" t="s">
        <v>100</v>
      </c>
      <c r="C423" s="26">
        <v>150.86000000000001</v>
      </c>
      <c r="D423" s="27">
        <v>148.86000000000001</v>
      </c>
      <c r="E423" s="28">
        <v>149.86000000000001</v>
      </c>
      <c r="F423" s="26">
        <v>158.69</v>
      </c>
      <c r="G423" s="27">
        <v>155.69</v>
      </c>
      <c r="H423" s="28">
        <v>157.19</v>
      </c>
      <c r="I423" s="26">
        <v>107.27</v>
      </c>
      <c r="J423" s="27">
        <v>104.07</v>
      </c>
      <c r="K423" s="28">
        <v>105.66999999999999</v>
      </c>
      <c r="L423" s="27">
        <v>193.74</v>
      </c>
      <c r="M423" s="27">
        <v>185.74</v>
      </c>
      <c r="N423" s="27">
        <v>189.74</v>
      </c>
      <c r="O423" s="26">
        <v>167.6</v>
      </c>
      <c r="P423" s="27">
        <v>165.79999999999998</v>
      </c>
      <c r="Q423" s="28">
        <v>166.7</v>
      </c>
      <c r="R423" s="27">
        <v>21.37</v>
      </c>
      <c r="S423" s="27">
        <v>20.77</v>
      </c>
      <c r="T423" s="27">
        <v>21.07</v>
      </c>
      <c r="U423" s="26">
        <v>13.78</v>
      </c>
      <c r="V423" s="27">
        <v>13.18</v>
      </c>
      <c r="W423" s="28">
        <v>13.48</v>
      </c>
      <c r="X423" s="26">
        <v>14.48</v>
      </c>
      <c r="Y423" s="27">
        <v>13.68</v>
      </c>
      <c r="Z423" s="28">
        <v>14.08</v>
      </c>
      <c r="AA423" s="26">
        <v>97.85</v>
      </c>
      <c r="AB423" s="27">
        <v>93.85</v>
      </c>
      <c r="AC423" s="28">
        <v>95.85</v>
      </c>
      <c r="AD423" s="26">
        <v>88.33</v>
      </c>
      <c r="AE423" s="27">
        <v>84.33</v>
      </c>
      <c r="AF423" s="28">
        <v>86.33</v>
      </c>
      <c r="AG423" s="27">
        <v>19.7</v>
      </c>
      <c r="AH423" s="27">
        <v>18.84</v>
      </c>
      <c r="AI423" s="27">
        <v>19.27</v>
      </c>
      <c r="AJ423" s="29"/>
      <c r="AK423" s="30"/>
      <c r="AL423" s="31"/>
      <c r="AM423" s="27">
        <v>113.15</v>
      </c>
      <c r="AN423" s="27">
        <v>111.49000000000001</v>
      </c>
      <c r="AO423" s="27">
        <v>112.32000000000001</v>
      </c>
      <c r="AP423" s="26">
        <v>40.83</v>
      </c>
      <c r="AQ423" s="27">
        <v>39.229999999999997</v>
      </c>
      <c r="AR423" s="28">
        <v>40.03</v>
      </c>
      <c r="AS423" s="27">
        <v>41.55</v>
      </c>
      <c r="AT423" s="27">
        <v>40.19</v>
      </c>
      <c r="AU423" s="27">
        <v>40.869999999999997</v>
      </c>
      <c r="AV423" s="26">
        <v>20.98</v>
      </c>
      <c r="AW423" s="27">
        <v>20.38</v>
      </c>
      <c r="AX423" s="28">
        <v>20.68</v>
      </c>
      <c r="AY423" s="26">
        <v>4.55</v>
      </c>
      <c r="AZ423" s="27">
        <v>4.3899999999999997</v>
      </c>
      <c r="BA423" s="28">
        <v>4.47</v>
      </c>
      <c r="BB423" s="26">
        <v>1.89</v>
      </c>
      <c r="BC423" s="32">
        <v>1.5899999999999999</v>
      </c>
      <c r="BD423" s="33">
        <v>1.7399999999999998</v>
      </c>
      <c r="BE423" s="27">
        <v>0.69</v>
      </c>
      <c r="BF423" s="32">
        <v>0.38999999999999996</v>
      </c>
      <c r="BG423" s="32">
        <v>0.53999999999999992</v>
      </c>
      <c r="BH423" s="26">
        <v>493.14</v>
      </c>
      <c r="BI423" s="27">
        <v>477.14</v>
      </c>
      <c r="BJ423" s="28">
        <v>485.14</v>
      </c>
      <c r="BK423" s="27">
        <v>41.87</v>
      </c>
      <c r="BL423" s="27">
        <v>40.51</v>
      </c>
      <c r="BM423" s="27">
        <v>41.19</v>
      </c>
      <c r="BN423" s="34">
        <v>1.04</v>
      </c>
      <c r="BO423" s="32">
        <v>0.8</v>
      </c>
      <c r="BP423" s="33">
        <v>0.92</v>
      </c>
      <c r="BQ423" s="27">
        <v>8.3800000000000008</v>
      </c>
      <c r="BR423" s="27">
        <v>6.3800000000000008</v>
      </c>
      <c r="BS423" s="27">
        <v>7.3800000000000008</v>
      </c>
      <c r="BT423" s="26">
        <v>10.66</v>
      </c>
      <c r="BU423" s="27">
        <v>10.26</v>
      </c>
      <c r="BV423" s="28">
        <v>10.46</v>
      </c>
      <c r="BW423" s="26">
        <v>2.75</v>
      </c>
      <c r="BX423" s="32">
        <v>2.4699999999999998</v>
      </c>
      <c r="BY423" s="33">
        <v>2.61</v>
      </c>
      <c r="BZ423" s="26">
        <v>9.67</v>
      </c>
      <c r="CA423" s="27">
        <v>6.67</v>
      </c>
      <c r="CB423" s="28">
        <v>8.17</v>
      </c>
      <c r="CC423" s="26">
        <v>6.4</v>
      </c>
      <c r="CD423" s="27">
        <v>6.16</v>
      </c>
      <c r="CE423" s="28">
        <v>6.28</v>
      </c>
      <c r="CF423" s="26">
        <v>1.94</v>
      </c>
      <c r="CG423" s="27">
        <v>1.44</v>
      </c>
      <c r="CH423" s="28">
        <v>1.69</v>
      </c>
      <c r="CI423" s="26">
        <v>0.41</v>
      </c>
      <c r="CJ423" s="27">
        <v>0.37</v>
      </c>
      <c r="CK423" s="28">
        <v>0.39</v>
      </c>
      <c r="CL423" s="26">
        <v>39</v>
      </c>
      <c r="CM423">
        <v>36.6</v>
      </c>
      <c r="CN423">
        <v>37.799999999999997</v>
      </c>
      <c r="CO423">
        <v>6.63</v>
      </c>
      <c r="CP423">
        <v>1.63</v>
      </c>
      <c r="CQ423">
        <v>4.13</v>
      </c>
    </row>
    <row r="424" spans="1:95">
      <c r="A424" s="223">
        <v>45710</v>
      </c>
      <c r="B424" s="16" t="s">
        <v>307</v>
      </c>
      <c r="C424" s="26"/>
      <c r="D424" s="27"/>
      <c r="E424" s="28"/>
      <c r="F424" s="26"/>
      <c r="G424" s="27"/>
      <c r="H424" s="28"/>
      <c r="I424" s="26"/>
      <c r="J424" s="27"/>
      <c r="K424" s="28"/>
      <c r="L424" s="27"/>
      <c r="M424" s="27"/>
      <c r="N424" s="27"/>
      <c r="O424" s="26"/>
      <c r="P424" s="27"/>
      <c r="Q424" s="28"/>
      <c r="R424" s="27"/>
      <c r="S424" s="27"/>
      <c r="T424" s="27"/>
      <c r="U424" s="26"/>
      <c r="V424" s="27"/>
      <c r="W424" s="28"/>
      <c r="X424" s="26"/>
      <c r="Y424" s="27"/>
      <c r="Z424" s="28"/>
      <c r="AA424" s="26"/>
      <c r="AB424" s="27"/>
      <c r="AC424" s="28"/>
      <c r="AD424" s="26"/>
      <c r="AE424" s="27"/>
      <c r="AF424" s="28"/>
      <c r="AG424" s="27"/>
      <c r="AH424" s="27"/>
      <c r="AI424" s="27"/>
      <c r="AJ424" s="29"/>
      <c r="AK424" s="30"/>
      <c r="AL424" s="31"/>
      <c r="AM424" s="27"/>
      <c r="AN424" s="27"/>
      <c r="AO424" s="27"/>
      <c r="AP424" s="26"/>
      <c r="AQ424" s="27"/>
      <c r="AR424" s="28"/>
      <c r="AS424" s="27"/>
      <c r="AT424" s="27"/>
      <c r="AU424" s="27"/>
      <c r="AV424" s="26"/>
      <c r="AW424" s="27"/>
      <c r="AX424" s="28"/>
      <c r="AY424" s="26"/>
      <c r="AZ424" s="27"/>
      <c r="BA424" s="28"/>
      <c r="BB424" s="26"/>
      <c r="BC424" s="32"/>
      <c r="BD424" s="33"/>
      <c r="BE424" s="27"/>
      <c r="BF424" s="32"/>
      <c r="BG424" s="32"/>
      <c r="BH424" s="26"/>
      <c r="BI424" s="27"/>
      <c r="BJ424" s="28"/>
      <c r="BK424" s="27"/>
      <c r="BL424" s="27"/>
      <c r="BM424" s="27"/>
      <c r="BN424" s="34"/>
      <c r="BO424" s="32"/>
      <c r="BP424" s="33"/>
      <c r="BQ424" s="27"/>
      <c r="BR424" s="27"/>
      <c r="BS424" s="27"/>
      <c r="BT424" s="26"/>
      <c r="BU424" s="27"/>
      <c r="BV424" s="28"/>
      <c r="BW424" s="26"/>
      <c r="BX424" s="32"/>
      <c r="BY424" s="33"/>
      <c r="BZ424" s="26"/>
      <c r="CA424" s="27"/>
      <c r="CB424" s="28"/>
      <c r="CC424" s="26"/>
      <c r="CD424" s="27"/>
      <c r="CE424" s="28"/>
      <c r="CF424" s="26"/>
      <c r="CG424" s="27"/>
      <c r="CH424" s="28"/>
      <c r="CI424" s="26"/>
      <c r="CJ424" s="27"/>
      <c r="CK424" s="28"/>
      <c r="CL424" s="26"/>
    </row>
    <row r="425" spans="1:95">
      <c r="A425" s="223">
        <v>45711</v>
      </c>
      <c r="B425" s="16" t="s">
        <v>308</v>
      </c>
      <c r="C425" s="26"/>
      <c r="D425" s="27"/>
      <c r="E425" s="28"/>
      <c r="F425" s="26"/>
      <c r="G425" s="27"/>
      <c r="H425" s="28"/>
      <c r="I425" s="26"/>
      <c r="J425" s="27"/>
      <c r="K425" s="28"/>
      <c r="L425" s="27"/>
      <c r="M425" s="27"/>
      <c r="N425" s="27"/>
      <c r="O425" s="26"/>
      <c r="P425" s="27"/>
      <c r="Q425" s="28"/>
      <c r="R425" s="27"/>
      <c r="S425" s="27"/>
      <c r="T425" s="27"/>
      <c r="U425" s="26"/>
      <c r="V425" s="27"/>
      <c r="W425" s="28"/>
      <c r="X425" s="26"/>
      <c r="Y425" s="27"/>
      <c r="Z425" s="28"/>
      <c r="AA425" s="26"/>
      <c r="AB425" s="27"/>
      <c r="AC425" s="28"/>
      <c r="AD425" s="26"/>
      <c r="AE425" s="27"/>
      <c r="AF425" s="28"/>
      <c r="AG425" s="27"/>
      <c r="AH425" s="27"/>
      <c r="AI425" s="27"/>
      <c r="AJ425" s="29"/>
      <c r="AK425" s="30"/>
      <c r="AL425" s="31"/>
      <c r="AM425" s="27"/>
      <c r="AN425" s="27"/>
      <c r="AO425" s="27"/>
      <c r="AP425" s="26"/>
      <c r="AQ425" s="27"/>
      <c r="AR425" s="28"/>
      <c r="AS425" s="27"/>
      <c r="AT425" s="27"/>
      <c r="AU425" s="27"/>
      <c r="AV425" s="26"/>
      <c r="AW425" s="27"/>
      <c r="AX425" s="28"/>
      <c r="AY425" s="26"/>
      <c r="AZ425" s="27"/>
      <c r="BA425" s="28"/>
      <c r="BB425" s="26"/>
      <c r="BC425" s="32"/>
      <c r="BD425" s="33"/>
      <c r="BE425" s="27"/>
      <c r="BF425" s="32"/>
      <c r="BG425" s="32"/>
      <c r="BH425" s="26"/>
      <c r="BI425" s="27"/>
      <c r="BJ425" s="28"/>
      <c r="BK425" s="27"/>
      <c r="BL425" s="27"/>
      <c r="BM425" s="27"/>
      <c r="BN425" s="34"/>
      <c r="BO425" s="32"/>
      <c r="BP425" s="33"/>
      <c r="BQ425" s="27"/>
      <c r="BR425" s="27"/>
      <c r="BS425" s="27"/>
      <c r="BT425" s="26"/>
      <c r="BU425" s="27"/>
      <c r="BV425" s="28"/>
      <c r="BW425" s="26"/>
      <c r="BX425" s="32"/>
      <c r="BY425" s="33"/>
      <c r="BZ425" s="26"/>
      <c r="CA425" s="27"/>
      <c r="CB425" s="28"/>
      <c r="CC425" s="26"/>
      <c r="CD425" s="27"/>
      <c r="CE425" s="28"/>
      <c r="CF425" s="26"/>
      <c r="CG425" s="27"/>
      <c r="CH425" s="28"/>
      <c r="CI425" s="26"/>
      <c r="CJ425" s="27"/>
      <c r="CK425" s="28"/>
      <c r="CL425" s="26"/>
    </row>
    <row r="426" spans="1:95">
      <c r="A426" s="223">
        <v>45712</v>
      </c>
      <c r="B426" s="16" t="s">
        <v>96</v>
      </c>
      <c r="C426" s="26"/>
      <c r="D426" s="27"/>
      <c r="E426" s="28"/>
      <c r="F426" s="26"/>
      <c r="G426" s="27"/>
      <c r="H426" s="28"/>
      <c r="I426" s="26"/>
      <c r="J426" s="27"/>
      <c r="K426" s="28"/>
      <c r="L426" s="27"/>
      <c r="M426" s="27"/>
      <c r="N426" s="27"/>
      <c r="O426" s="26"/>
      <c r="P426" s="27"/>
      <c r="Q426" s="28"/>
      <c r="R426" s="27"/>
      <c r="S426" s="27"/>
      <c r="T426" s="27"/>
      <c r="U426" s="26"/>
      <c r="V426" s="27"/>
      <c r="W426" s="28"/>
      <c r="X426" s="26"/>
      <c r="Y426" s="27"/>
      <c r="Z426" s="28"/>
      <c r="AA426" s="26"/>
      <c r="AB426" s="27"/>
      <c r="AC426" s="28"/>
      <c r="AD426" s="26"/>
      <c r="AE426" s="27"/>
      <c r="AF426" s="28"/>
      <c r="AG426" s="27"/>
      <c r="AH426" s="27"/>
      <c r="AI426" s="27"/>
      <c r="AJ426" s="29"/>
      <c r="AK426" s="30"/>
      <c r="AL426" s="31"/>
      <c r="AM426" s="27"/>
      <c r="AN426" s="27"/>
      <c r="AO426" s="27"/>
      <c r="AP426" s="26"/>
      <c r="AQ426" s="27"/>
      <c r="AR426" s="28"/>
      <c r="AS426" s="27"/>
      <c r="AT426" s="27"/>
      <c r="AU426" s="27"/>
      <c r="AV426" s="26"/>
      <c r="AW426" s="27"/>
      <c r="AX426" s="28"/>
      <c r="AY426" s="26"/>
      <c r="AZ426" s="27"/>
      <c r="BA426" s="28"/>
      <c r="BB426" s="26"/>
      <c r="BC426" s="32"/>
      <c r="BD426" s="33"/>
      <c r="BE426" s="27"/>
      <c r="BF426" s="32"/>
      <c r="BG426" s="32"/>
      <c r="BH426" s="26"/>
      <c r="BI426" s="27"/>
      <c r="BJ426" s="28"/>
      <c r="BK426" s="27"/>
      <c r="BL426" s="27"/>
      <c r="BM426" s="27"/>
      <c r="BN426" s="34"/>
      <c r="BO426" s="32"/>
      <c r="BP426" s="33"/>
      <c r="BQ426" s="27"/>
      <c r="BR426" s="27"/>
      <c r="BS426" s="27"/>
      <c r="BT426" s="26"/>
      <c r="BU426" s="27"/>
      <c r="BV426" s="28"/>
      <c r="BW426" s="26"/>
      <c r="BX426" s="32"/>
      <c r="BY426" s="33"/>
      <c r="BZ426" s="26"/>
      <c r="CA426" s="27"/>
      <c r="CB426" s="28"/>
      <c r="CC426" s="26"/>
      <c r="CD426" s="27"/>
      <c r="CE426" s="28"/>
      <c r="CF426" s="26"/>
      <c r="CG426" s="27"/>
      <c r="CH426" s="28"/>
      <c r="CI426" s="26"/>
      <c r="CJ426" s="27"/>
      <c r="CK426" s="28"/>
      <c r="CL426" s="26"/>
    </row>
    <row r="427" spans="1:95">
      <c r="A427" s="223">
        <v>45713</v>
      </c>
      <c r="B427" s="16" t="s">
        <v>97</v>
      </c>
      <c r="C427" s="26">
        <v>151.22999999999999</v>
      </c>
      <c r="D427" s="27">
        <v>149.22999999999999</v>
      </c>
      <c r="E427" s="28">
        <v>150.22999999999999</v>
      </c>
      <c r="F427" s="26">
        <v>158.69</v>
      </c>
      <c r="G427" s="27">
        <v>155.69</v>
      </c>
      <c r="H427" s="28">
        <v>157.19</v>
      </c>
      <c r="I427" s="26">
        <v>106.86</v>
      </c>
      <c r="J427" s="27">
        <v>103.66</v>
      </c>
      <c r="K427" s="28">
        <v>105.25999999999999</v>
      </c>
      <c r="L427" s="27">
        <v>193.59</v>
      </c>
      <c r="M427" s="27">
        <v>185.59</v>
      </c>
      <c r="N427" s="27">
        <v>189.59</v>
      </c>
      <c r="O427" s="26">
        <v>168.27</v>
      </c>
      <c r="P427" s="27">
        <v>166.47</v>
      </c>
      <c r="Q427" s="28">
        <v>167.37</v>
      </c>
      <c r="R427" s="27">
        <v>21.37</v>
      </c>
      <c r="S427" s="27">
        <v>20.77</v>
      </c>
      <c r="T427" s="27">
        <v>21.07</v>
      </c>
      <c r="U427" s="26">
        <v>13.8</v>
      </c>
      <c r="V427" s="27">
        <v>13.200000000000001</v>
      </c>
      <c r="W427" s="28">
        <v>13.5</v>
      </c>
      <c r="X427" s="26">
        <v>14.49</v>
      </c>
      <c r="Y427" s="27">
        <v>13.69</v>
      </c>
      <c r="Z427" s="28">
        <v>14.09</v>
      </c>
      <c r="AA427" s="26">
        <v>97.25</v>
      </c>
      <c r="AB427" s="27">
        <v>93.25</v>
      </c>
      <c r="AC427" s="28">
        <v>95.25</v>
      </c>
      <c r="AD427" s="26">
        <v>87.99</v>
      </c>
      <c r="AE427" s="27">
        <v>83.99</v>
      </c>
      <c r="AF427" s="28">
        <v>85.99</v>
      </c>
      <c r="AG427" s="27">
        <v>19.75</v>
      </c>
      <c r="AH427" s="27">
        <v>18.89</v>
      </c>
      <c r="AI427" s="27">
        <v>19.32</v>
      </c>
      <c r="AJ427" s="29"/>
      <c r="AK427" s="30"/>
      <c r="AL427" s="31"/>
      <c r="AM427" s="27">
        <v>112.98</v>
      </c>
      <c r="AN427" s="27">
        <v>111.32000000000001</v>
      </c>
      <c r="AO427" s="27">
        <v>112.15</v>
      </c>
      <c r="AP427" s="26">
        <v>40.93</v>
      </c>
      <c r="AQ427" s="27">
        <v>39.33</v>
      </c>
      <c r="AR427" s="28">
        <v>40.129999999999995</v>
      </c>
      <c r="AS427" s="27">
        <v>41.65</v>
      </c>
      <c r="AT427" s="27">
        <v>40.29</v>
      </c>
      <c r="AU427" s="27">
        <v>40.97</v>
      </c>
      <c r="AV427" s="26">
        <v>21</v>
      </c>
      <c r="AW427" s="27">
        <v>20.399999999999999</v>
      </c>
      <c r="AX427" s="28">
        <v>20.7</v>
      </c>
      <c r="AY427" s="26">
        <v>4.57</v>
      </c>
      <c r="AZ427" s="27">
        <v>4.41</v>
      </c>
      <c r="BA427" s="28">
        <v>4.49</v>
      </c>
      <c r="BB427" s="26">
        <v>1.89</v>
      </c>
      <c r="BC427" s="32">
        <v>1.5899999999999999</v>
      </c>
      <c r="BD427" s="33">
        <v>1.7399999999999998</v>
      </c>
      <c r="BE427" s="27">
        <v>0.69</v>
      </c>
      <c r="BF427" s="32">
        <v>0.38999999999999996</v>
      </c>
      <c r="BG427" s="32">
        <v>0.53999999999999992</v>
      </c>
      <c r="BH427" s="26">
        <v>494.02</v>
      </c>
      <c r="BI427" s="27">
        <v>478.02</v>
      </c>
      <c r="BJ427" s="28">
        <v>486.02</v>
      </c>
      <c r="BK427" s="27">
        <v>41.96</v>
      </c>
      <c r="BL427" s="27">
        <v>40.6</v>
      </c>
      <c r="BM427" s="27">
        <v>41.28</v>
      </c>
      <c r="BN427" s="34">
        <v>1.05</v>
      </c>
      <c r="BO427" s="32">
        <v>0.81</v>
      </c>
      <c r="BP427" s="33">
        <v>0.93</v>
      </c>
      <c r="BQ427" s="27">
        <v>8.33</v>
      </c>
      <c r="BR427" s="27">
        <v>6.33</v>
      </c>
      <c r="BS427" s="27">
        <v>7.33</v>
      </c>
      <c r="BT427" s="26">
        <v>10.7</v>
      </c>
      <c r="BU427" s="27">
        <v>10.299999999999999</v>
      </c>
      <c r="BV427" s="28">
        <v>10.5</v>
      </c>
      <c r="BW427" s="26">
        <v>2.76</v>
      </c>
      <c r="BX427" s="32">
        <v>2.4799999999999995</v>
      </c>
      <c r="BY427" s="33">
        <v>2.6199999999999997</v>
      </c>
      <c r="BZ427" s="26">
        <v>9.66</v>
      </c>
      <c r="CA427" s="27">
        <v>6.66</v>
      </c>
      <c r="CB427" s="28">
        <v>8.16</v>
      </c>
      <c r="CC427" s="26">
        <v>6.42</v>
      </c>
      <c r="CD427" s="27">
        <v>6.18</v>
      </c>
      <c r="CE427" s="28">
        <v>6.3</v>
      </c>
      <c r="CF427" s="26">
        <v>1.96</v>
      </c>
      <c r="CG427" s="27">
        <v>1.46</v>
      </c>
      <c r="CH427" s="28">
        <v>1.71</v>
      </c>
      <c r="CI427" s="26">
        <v>0.41</v>
      </c>
      <c r="CJ427" s="27">
        <v>0.37</v>
      </c>
      <c r="CK427" s="28">
        <v>0.39</v>
      </c>
      <c r="CL427" s="26">
        <v>39.159999999999997</v>
      </c>
      <c r="CM427">
        <v>36.76</v>
      </c>
      <c r="CN427">
        <v>37.959999999999994</v>
      </c>
      <c r="CO427">
        <v>6.62</v>
      </c>
      <c r="CP427">
        <v>1.62</v>
      </c>
      <c r="CQ427">
        <v>4.12</v>
      </c>
    </row>
    <row r="428" spans="1:95">
      <c r="A428" s="223">
        <v>45714</v>
      </c>
      <c r="B428" s="16" t="s">
        <v>98</v>
      </c>
      <c r="C428" s="26">
        <v>149.91999999999999</v>
      </c>
      <c r="D428" s="27">
        <v>147.91999999999999</v>
      </c>
      <c r="E428" s="28">
        <v>148.91999999999999</v>
      </c>
      <c r="F428" s="26">
        <v>158.21</v>
      </c>
      <c r="G428" s="27">
        <v>155.21</v>
      </c>
      <c r="H428" s="28">
        <v>156.71</v>
      </c>
      <c r="I428" s="26">
        <v>105.74</v>
      </c>
      <c r="J428" s="27">
        <v>102.53999999999999</v>
      </c>
      <c r="K428" s="28">
        <v>104.13999999999999</v>
      </c>
      <c r="L428" s="27">
        <v>192.83</v>
      </c>
      <c r="M428" s="27">
        <v>184.83</v>
      </c>
      <c r="N428" s="27">
        <v>188.83</v>
      </c>
      <c r="O428" s="26">
        <v>167.91</v>
      </c>
      <c r="P428" s="27">
        <v>166.10999999999999</v>
      </c>
      <c r="Q428" s="28">
        <v>167.01</v>
      </c>
      <c r="R428" s="27">
        <v>21.31</v>
      </c>
      <c r="S428" s="27">
        <v>20.709999999999997</v>
      </c>
      <c r="T428" s="27">
        <v>21.009999999999998</v>
      </c>
      <c r="U428" s="26">
        <v>13.7</v>
      </c>
      <c r="V428" s="27">
        <v>13.1</v>
      </c>
      <c r="W428" s="28">
        <v>13.399999999999999</v>
      </c>
      <c r="X428" s="26">
        <v>14.47</v>
      </c>
      <c r="Y428" s="27">
        <v>13.67</v>
      </c>
      <c r="Z428" s="28">
        <v>14.07</v>
      </c>
      <c r="AA428" s="26">
        <v>96.46</v>
      </c>
      <c r="AB428" s="27">
        <v>92.46</v>
      </c>
      <c r="AC428" s="28">
        <v>94.46</v>
      </c>
      <c r="AD428" s="26">
        <v>87.27</v>
      </c>
      <c r="AE428" s="27">
        <v>83.27</v>
      </c>
      <c r="AF428" s="28">
        <v>85.27</v>
      </c>
      <c r="AG428" s="27">
        <v>19.59</v>
      </c>
      <c r="AH428" s="27">
        <v>18.73</v>
      </c>
      <c r="AI428" s="27">
        <v>19.16</v>
      </c>
      <c r="AJ428" s="29"/>
      <c r="AK428" s="30"/>
      <c r="AL428" s="31"/>
      <c r="AM428" s="27">
        <v>112.32</v>
      </c>
      <c r="AN428" s="27">
        <v>110.66</v>
      </c>
      <c r="AO428" s="27">
        <v>111.49</v>
      </c>
      <c r="AP428" s="26">
        <v>40.58</v>
      </c>
      <c r="AQ428" s="27">
        <v>38.979999999999997</v>
      </c>
      <c r="AR428" s="28">
        <v>39.78</v>
      </c>
      <c r="AS428" s="27">
        <v>41.29</v>
      </c>
      <c r="AT428" s="27">
        <v>39.93</v>
      </c>
      <c r="AU428" s="27">
        <v>40.61</v>
      </c>
      <c r="AV428" s="26">
        <v>20.84</v>
      </c>
      <c r="AW428" s="27">
        <v>20.239999999999998</v>
      </c>
      <c r="AX428" s="28">
        <v>20.54</v>
      </c>
      <c r="AY428" s="26">
        <v>4.5</v>
      </c>
      <c r="AZ428" s="27">
        <v>4.34</v>
      </c>
      <c r="BA428" s="28">
        <v>4.42</v>
      </c>
      <c r="BB428" s="26">
        <v>1.87</v>
      </c>
      <c r="BC428" s="32">
        <v>1.57</v>
      </c>
      <c r="BD428" s="33">
        <v>1.7200000000000002</v>
      </c>
      <c r="BE428" s="27">
        <v>0.69</v>
      </c>
      <c r="BF428" s="32">
        <v>0.38999999999999996</v>
      </c>
      <c r="BG428" s="32">
        <v>0.53999999999999992</v>
      </c>
      <c r="BH428" s="26">
        <v>492.14</v>
      </c>
      <c r="BI428" s="27">
        <v>476.14</v>
      </c>
      <c r="BJ428" s="28">
        <v>484.14</v>
      </c>
      <c r="BK428" s="27">
        <v>41.6</v>
      </c>
      <c r="BL428" s="27">
        <v>40.24</v>
      </c>
      <c r="BM428" s="27">
        <v>40.92</v>
      </c>
      <c r="BN428" s="34">
        <v>1.03</v>
      </c>
      <c r="BO428" s="32">
        <v>0.79</v>
      </c>
      <c r="BP428" s="33">
        <v>0.91</v>
      </c>
      <c r="BQ428" s="27">
        <v>8.27</v>
      </c>
      <c r="BR428" s="27">
        <v>6.27</v>
      </c>
      <c r="BS428" s="27">
        <v>7.27</v>
      </c>
      <c r="BT428" s="26">
        <v>10.63</v>
      </c>
      <c r="BU428" s="27">
        <v>10.23</v>
      </c>
      <c r="BV428" s="28">
        <v>10.43</v>
      </c>
      <c r="BW428" s="26">
        <v>2.73</v>
      </c>
      <c r="BX428" s="32">
        <v>2.4500000000000002</v>
      </c>
      <c r="BY428" s="33">
        <v>2.59</v>
      </c>
      <c r="BZ428" s="26">
        <v>9.58</v>
      </c>
      <c r="CA428" s="27">
        <v>6.58</v>
      </c>
      <c r="CB428" s="28">
        <v>8.08</v>
      </c>
      <c r="CC428" s="26">
        <v>6.42</v>
      </c>
      <c r="CD428" s="27">
        <v>6.18</v>
      </c>
      <c r="CE428" s="28">
        <v>6.3</v>
      </c>
      <c r="CF428" s="26">
        <v>1.97</v>
      </c>
      <c r="CG428" s="27">
        <v>1.47</v>
      </c>
      <c r="CH428" s="28">
        <v>1.72</v>
      </c>
      <c r="CI428" s="26">
        <v>0.41</v>
      </c>
      <c r="CJ428" s="27">
        <v>0.37</v>
      </c>
      <c r="CK428" s="28">
        <v>0.39</v>
      </c>
      <c r="CL428" s="26">
        <v>39.04</v>
      </c>
      <c r="CM428">
        <v>36.64</v>
      </c>
      <c r="CN428">
        <v>37.840000000000003</v>
      </c>
      <c r="CO428">
        <v>6.59</v>
      </c>
      <c r="CP428">
        <v>1.5899999999999999</v>
      </c>
      <c r="CQ428">
        <v>4.09</v>
      </c>
    </row>
    <row r="429" spans="1:95">
      <c r="A429" s="223">
        <v>45715</v>
      </c>
      <c r="B429" s="16" t="s">
        <v>99</v>
      </c>
      <c r="C429" s="26">
        <v>150.24</v>
      </c>
      <c r="D429" s="27">
        <v>148.24</v>
      </c>
      <c r="E429" s="28">
        <v>149.24</v>
      </c>
      <c r="F429" s="26">
        <v>157.87</v>
      </c>
      <c r="G429" s="27">
        <v>154.87</v>
      </c>
      <c r="H429" s="28">
        <v>156.37</v>
      </c>
      <c r="I429" s="26">
        <v>105.61</v>
      </c>
      <c r="J429" s="27">
        <v>102.41</v>
      </c>
      <c r="K429" s="28">
        <v>104.00999999999999</v>
      </c>
      <c r="L429" s="27">
        <v>193.07</v>
      </c>
      <c r="M429" s="27">
        <v>185.07</v>
      </c>
      <c r="N429" s="27">
        <v>189.07</v>
      </c>
      <c r="O429" s="26">
        <v>167.61</v>
      </c>
      <c r="P429" s="27">
        <v>165.81</v>
      </c>
      <c r="Q429" s="28">
        <v>166.71</v>
      </c>
      <c r="R429" s="27">
        <v>21.27</v>
      </c>
      <c r="S429" s="27">
        <v>20.669999999999998</v>
      </c>
      <c r="T429" s="27">
        <v>20.97</v>
      </c>
      <c r="U429" s="26">
        <v>13.67</v>
      </c>
      <c r="V429" s="27">
        <v>13.07</v>
      </c>
      <c r="W429" s="28">
        <v>13.370000000000001</v>
      </c>
      <c r="X429" s="26">
        <v>14.41</v>
      </c>
      <c r="Y429" s="27">
        <v>13.61</v>
      </c>
      <c r="Z429" s="28">
        <v>14.01</v>
      </c>
      <c r="AA429" s="26">
        <v>96.05</v>
      </c>
      <c r="AB429" s="27">
        <v>92.05</v>
      </c>
      <c r="AC429" s="28">
        <v>94.05</v>
      </c>
      <c r="AD429" s="26">
        <v>86.98</v>
      </c>
      <c r="AE429" s="27">
        <v>82.98</v>
      </c>
      <c r="AF429" s="28">
        <v>84.98</v>
      </c>
      <c r="AG429" s="27">
        <v>19.63</v>
      </c>
      <c r="AH429" s="27">
        <v>18.77</v>
      </c>
      <c r="AI429" s="27">
        <v>19.2</v>
      </c>
      <c r="AJ429" s="29"/>
      <c r="AK429" s="30"/>
      <c r="AL429" s="31"/>
      <c r="AM429" s="27">
        <v>112.31</v>
      </c>
      <c r="AN429" s="27">
        <v>110.65</v>
      </c>
      <c r="AO429" s="27">
        <v>111.48</v>
      </c>
      <c r="AP429" s="26">
        <v>40.659999999999997</v>
      </c>
      <c r="AQ429" s="27">
        <v>39.059999999999995</v>
      </c>
      <c r="AR429" s="28">
        <v>39.86</v>
      </c>
      <c r="AS429" s="27">
        <v>41.39</v>
      </c>
      <c r="AT429" s="27">
        <v>40.03</v>
      </c>
      <c r="AU429" s="27">
        <v>40.71</v>
      </c>
      <c r="AV429" s="26">
        <v>20.83</v>
      </c>
      <c r="AW429" s="27">
        <v>20.229999999999997</v>
      </c>
      <c r="AX429" s="28">
        <v>20.529999999999998</v>
      </c>
      <c r="AY429" s="26">
        <v>4.5</v>
      </c>
      <c r="AZ429" s="27">
        <v>4.34</v>
      </c>
      <c r="BA429" s="28">
        <v>4.42</v>
      </c>
      <c r="BB429" s="26">
        <v>1.87</v>
      </c>
      <c r="BC429" s="32">
        <v>1.57</v>
      </c>
      <c r="BD429" s="33">
        <v>1.7200000000000002</v>
      </c>
      <c r="BE429" s="27">
        <v>0.69</v>
      </c>
      <c r="BF429" s="32">
        <v>0.38999999999999996</v>
      </c>
      <c r="BG429" s="32">
        <v>0.53999999999999992</v>
      </c>
      <c r="BH429" s="26">
        <v>492.86</v>
      </c>
      <c r="BI429" s="27">
        <v>476.86</v>
      </c>
      <c r="BJ429" s="28">
        <v>484.86</v>
      </c>
      <c r="BK429" s="27">
        <v>41.7</v>
      </c>
      <c r="BL429" s="27">
        <v>40.340000000000003</v>
      </c>
      <c r="BM429" s="27">
        <v>41.02</v>
      </c>
      <c r="BN429" s="34">
        <v>1.04</v>
      </c>
      <c r="BO429" s="32">
        <v>0.8</v>
      </c>
      <c r="BP429" s="33">
        <v>0.92</v>
      </c>
      <c r="BQ429" s="27">
        <v>8.32</v>
      </c>
      <c r="BR429" s="27">
        <v>6.32</v>
      </c>
      <c r="BS429" s="27">
        <v>7.32</v>
      </c>
      <c r="BT429" s="26">
        <v>10.61</v>
      </c>
      <c r="BU429" s="27">
        <v>10.209999999999999</v>
      </c>
      <c r="BV429" s="28">
        <v>10.41</v>
      </c>
      <c r="BW429" s="26">
        <v>2.74</v>
      </c>
      <c r="BX429" s="32">
        <v>2.46</v>
      </c>
      <c r="BY429" s="33">
        <v>2.6</v>
      </c>
      <c r="BZ429" s="26">
        <v>9.6</v>
      </c>
      <c r="CA429" s="27">
        <v>6.6</v>
      </c>
      <c r="CB429" s="28">
        <v>8.1</v>
      </c>
      <c r="CC429" s="26">
        <v>6.4</v>
      </c>
      <c r="CD429" s="27">
        <v>6.16</v>
      </c>
      <c r="CE429" s="28">
        <v>6.28</v>
      </c>
      <c r="CF429" s="26">
        <v>1.97</v>
      </c>
      <c r="CG429" s="27">
        <v>1.47</v>
      </c>
      <c r="CH429" s="28">
        <v>1.72</v>
      </c>
      <c r="CI429" s="26">
        <v>0.41</v>
      </c>
      <c r="CJ429" s="27">
        <v>0.37</v>
      </c>
      <c r="CK429" s="28">
        <v>0.39</v>
      </c>
      <c r="CL429" s="26">
        <v>39.020000000000003</v>
      </c>
      <c r="CM429">
        <v>36.620000000000005</v>
      </c>
      <c r="CN429">
        <v>37.820000000000007</v>
      </c>
      <c r="CO429">
        <v>6.6</v>
      </c>
      <c r="CP429">
        <v>1.5999999999999996</v>
      </c>
      <c r="CQ429">
        <v>4.0999999999999996</v>
      </c>
    </row>
    <row r="430" spans="1:95">
      <c r="A430" s="223">
        <v>45716</v>
      </c>
      <c r="B430" s="16" t="s">
        <v>100</v>
      </c>
      <c r="C430" s="26">
        <v>150.66999999999999</v>
      </c>
      <c r="D430" s="27">
        <v>148.66999999999999</v>
      </c>
      <c r="E430" s="28">
        <v>149.66999999999999</v>
      </c>
      <c r="F430" s="26">
        <v>157.1</v>
      </c>
      <c r="G430" s="27">
        <v>154.1</v>
      </c>
      <c r="H430" s="28">
        <v>155.6</v>
      </c>
      <c r="I430" s="26">
        <v>105.2</v>
      </c>
      <c r="J430" s="27">
        <v>102</v>
      </c>
      <c r="K430" s="28">
        <v>103.6</v>
      </c>
      <c r="L430" s="27">
        <v>192.66</v>
      </c>
      <c r="M430" s="27">
        <v>184.66</v>
      </c>
      <c r="N430" s="27">
        <v>188.66</v>
      </c>
      <c r="O430" s="26">
        <v>167.31</v>
      </c>
      <c r="P430" s="27">
        <v>165.51</v>
      </c>
      <c r="Q430" s="28">
        <v>166.41</v>
      </c>
      <c r="R430" s="27">
        <v>21.16</v>
      </c>
      <c r="S430" s="27">
        <v>20.56</v>
      </c>
      <c r="T430" s="27">
        <v>20.86</v>
      </c>
      <c r="U430" s="26">
        <v>13.6</v>
      </c>
      <c r="V430" s="27">
        <v>13</v>
      </c>
      <c r="W430" s="28">
        <v>13.3</v>
      </c>
      <c r="X430" s="26">
        <v>14.33</v>
      </c>
      <c r="Y430" s="27">
        <v>13.53</v>
      </c>
      <c r="Z430" s="28">
        <v>13.93</v>
      </c>
      <c r="AA430" s="26">
        <v>95.23</v>
      </c>
      <c r="AB430" s="27">
        <v>91.23</v>
      </c>
      <c r="AC430" s="28">
        <v>93.23</v>
      </c>
      <c r="AD430" s="26">
        <v>86.14</v>
      </c>
      <c r="AE430" s="27">
        <v>82.14</v>
      </c>
      <c r="AF430" s="28">
        <v>84.14</v>
      </c>
      <c r="AG430" s="27">
        <v>19.68</v>
      </c>
      <c r="AH430" s="27">
        <v>18.82</v>
      </c>
      <c r="AI430" s="27">
        <v>19.25</v>
      </c>
      <c r="AJ430" s="29"/>
      <c r="AK430" s="30"/>
      <c r="AL430" s="31"/>
      <c r="AM430" s="27">
        <v>111.87</v>
      </c>
      <c r="AN430" s="27">
        <v>110.21000000000001</v>
      </c>
      <c r="AO430" s="27">
        <v>111.04</v>
      </c>
      <c r="AP430" s="26">
        <v>40.78</v>
      </c>
      <c r="AQ430" s="27">
        <v>39.18</v>
      </c>
      <c r="AR430" s="28">
        <v>39.980000000000004</v>
      </c>
      <c r="AS430" s="27">
        <v>41.37</v>
      </c>
      <c r="AT430" s="27">
        <v>40.01</v>
      </c>
      <c r="AU430" s="27">
        <v>40.69</v>
      </c>
      <c r="AV430" s="26">
        <v>20.8</v>
      </c>
      <c r="AW430" s="27">
        <v>20.2</v>
      </c>
      <c r="AX430" s="28">
        <v>20.5</v>
      </c>
      <c r="AY430" s="26">
        <v>4.47</v>
      </c>
      <c r="AZ430" s="27">
        <v>4.3099999999999996</v>
      </c>
      <c r="BA430" s="28">
        <v>4.3899999999999997</v>
      </c>
      <c r="BB430" s="26">
        <v>1.87</v>
      </c>
      <c r="BC430" s="32">
        <v>1.57</v>
      </c>
      <c r="BD430" s="33">
        <v>1.7200000000000002</v>
      </c>
      <c r="BE430" s="27">
        <v>0.69</v>
      </c>
      <c r="BF430" s="32">
        <v>0.38999999999999996</v>
      </c>
      <c r="BG430" s="32">
        <v>0.53999999999999992</v>
      </c>
      <c r="BH430" s="26">
        <v>493.78</v>
      </c>
      <c r="BI430" s="27">
        <v>477.78</v>
      </c>
      <c r="BJ430" s="28">
        <v>485.78</v>
      </c>
      <c r="BK430" s="27">
        <v>41.82</v>
      </c>
      <c r="BL430" s="27">
        <v>40.46</v>
      </c>
      <c r="BM430" s="27">
        <v>41.14</v>
      </c>
      <c r="BN430" s="34">
        <v>1.03</v>
      </c>
      <c r="BO430" s="32">
        <v>0.79</v>
      </c>
      <c r="BP430" s="33">
        <v>0.91</v>
      </c>
      <c r="BQ430" s="27">
        <v>8.31</v>
      </c>
      <c r="BR430" s="27">
        <v>6.3100000000000005</v>
      </c>
      <c r="BS430" s="27">
        <v>7.3100000000000005</v>
      </c>
      <c r="BT430" s="26">
        <v>10.52</v>
      </c>
      <c r="BU430" s="27">
        <v>10.119999999999999</v>
      </c>
      <c r="BV430" s="28">
        <v>10.32</v>
      </c>
      <c r="BW430" s="26">
        <v>2.74</v>
      </c>
      <c r="BX430" s="32">
        <v>2.46</v>
      </c>
      <c r="BY430" s="33">
        <v>2.6</v>
      </c>
      <c r="BZ430" s="26">
        <v>9.61</v>
      </c>
      <c r="CA430" s="27">
        <v>6.6099999999999994</v>
      </c>
      <c r="CB430" s="28">
        <v>8.11</v>
      </c>
      <c r="CC430" s="26">
        <v>6.35</v>
      </c>
      <c r="CD430" s="27">
        <v>6.1099999999999994</v>
      </c>
      <c r="CE430" s="28">
        <v>6.2299999999999995</v>
      </c>
      <c r="CF430" s="26">
        <v>1.96</v>
      </c>
      <c r="CG430" s="27">
        <v>1.46</v>
      </c>
      <c r="CH430" s="28">
        <v>1.71</v>
      </c>
      <c r="CI430" s="26">
        <v>0.41</v>
      </c>
      <c r="CJ430" s="27">
        <v>0.37</v>
      </c>
      <c r="CK430" s="28">
        <v>0.39</v>
      </c>
      <c r="CL430" s="26">
        <v>38.6</v>
      </c>
      <c r="CM430">
        <v>36.200000000000003</v>
      </c>
      <c r="CN430">
        <v>37.400000000000006</v>
      </c>
      <c r="CO430">
        <v>6.61</v>
      </c>
      <c r="CP430">
        <v>1.6100000000000003</v>
      </c>
      <c r="CQ430">
        <v>4.1100000000000003</v>
      </c>
    </row>
    <row r="431" spans="1:95">
      <c r="A431" s="223">
        <v>45717</v>
      </c>
      <c r="B431" s="16" t="s">
        <v>307</v>
      </c>
      <c r="C431" s="26"/>
      <c r="D431" s="27"/>
      <c r="E431" s="28"/>
      <c r="F431" s="26"/>
      <c r="G431" s="27"/>
      <c r="H431" s="28"/>
      <c r="I431" s="26"/>
      <c r="J431" s="27"/>
      <c r="K431" s="28"/>
      <c r="L431" s="27"/>
      <c r="M431" s="27"/>
      <c r="N431" s="27"/>
      <c r="O431" s="26"/>
      <c r="P431" s="27"/>
      <c r="Q431" s="28"/>
      <c r="R431" s="27"/>
      <c r="S431" s="27"/>
      <c r="T431" s="27"/>
      <c r="U431" s="26"/>
      <c r="V431" s="27"/>
      <c r="W431" s="28"/>
      <c r="X431" s="26"/>
      <c r="Y431" s="27"/>
      <c r="Z431" s="28"/>
      <c r="AA431" s="26"/>
      <c r="AB431" s="27"/>
      <c r="AC431" s="28"/>
      <c r="AD431" s="26"/>
      <c r="AE431" s="27"/>
      <c r="AF431" s="28"/>
      <c r="AG431" s="27"/>
      <c r="AH431" s="27"/>
      <c r="AI431" s="27"/>
      <c r="AJ431" s="29"/>
      <c r="AK431" s="30"/>
      <c r="AL431" s="31"/>
      <c r="AM431" s="27"/>
      <c r="AN431" s="27"/>
      <c r="AO431" s="27"/>
      <c r="AP431" s="26"/>
      <c r="AQ431" s="27"/>
      <c r="AR431" s="28"/>
      <c r="AS431" s="27"/>
      <c r="AT431" s="27"/>
      <c r="AU431" s="27"/>
      <c r="AV431" s="26"/>
      <c r="AW431" s="27"/>
      <c r="AX431" s="28"/>
      <c r="AY431" s="26"/>
      <c r="AZ431" s="27"/>
      <c r="BA431" s="28"/>
      <c r="BB431" s="26"/>
      <c r="BC431" s="32"/>
      <c r="BD431" s="33"/>
      <c r="BE431" s="27"/>
      <c r="BF431" s="32"/>
      <c r="BG431" s="32"/>
      <c r="BH431" s="26"/>
      <c r="BI431" s="27"/>
      <c r="BJ431" s="28"/>
      <c r="BK431" s="27"/>
      <c r="BL431" s="27"/>
      <c r="BM431" s="27"/>
      <c r="BN431" s="34"/>
      <c r="BO431" s="32"/>
      <c r="BP431" s="33"/>
      <c r="BQ431" s="27"/>
      <c r="BR431" s="27"/>
      <c r="BS431" s="27"/>
      <c r="BT431" s="26"/>
      <c r="BU431" s="27"/>
      <c r="BV431" s="28"/>
      <c r="BW431" s="26"/>
      <c r="BX431" s="32"/>
      <c r="BY431" s="33"/>
      <c r="BZ431" s="26"/>
      <c r="CA431" s="27"/>
      <c r="CB431" s="28"/>
      <c r="CC431" s="26"/>
      <c r="CD431" s="27"/>
      <c r="CE431" s="28"/>
      <c r="CF431" s="26"/>
      <c r="CG431" s="27"/>
      <c r="CH431" s="28"/>
      <c r="CI431" s="26"/>
      <c r="CJ431" s="27"/>
      <c r="CK431" s="28"/>
      <c r="CL431" s="26"/>
    </row>
    <row r="432" spans="1:95">
      <c r="A432" s="223">
        <v>45718</v>
      </c>
      <c r="B432" s="16" t="s">
        <v>308</v>
      </c>
      <c r="C432" s="26"/>
      <c r="D432" s="27"/>
      <c r="E432" s="28"/>
      <c r="F432" s="26"/>
      <c r="G432" s="27"/>
      <c r="H432" s="28"/>
      <c r="I432" s="26"/>
      <c r="J432" s="27"/>
      <c r="K432" s="28"/>
      <c r="L432" s="27"/>
      <c r="M432" s="27"/>
      <c r="N432" s="27"/>
      <c r="O432" s="26"/>
      <c r="P432" s="27"/>
      <c r="Q432" s="28"/>
      <c r="R432" s="27"/>
      <c r="S432" s="27"/>
      <c r="T432" s="27"/>
      <c r="U432" s="26"/>
      <c r="V432" s="27"/>
      <c r="W432" s="28"/>
      <c r="X432" s="26"/>
      <c r="Y432" s="27"/>
      <c r="Z432" s="28"/>
      <c r="AA432" s="26"/>
      <c r="AB432" s="27"/>
      <c r="AC432" s="28"/>
      <c r="AD432" s="26"/>
      <c r="AE432" s="27"/>
      <c r="AF432" s="28"/>
      <c r="AG432" s="27"/>
      <c r="AH432" s="27"/>
      <c r="AI432" s="27"/>
      <c r="AJ432" s="29"/>
      <c r="AK432" s="30"/>
      <c r="AL432" s="31"/>
      <c r="AM432" s="27"/>
      <c r="AN432" s="27"/>
      <c r="AO432" s="27"/>
      <c r="AP432" s="26"/>
      <c r="AQ432" s="27"/>
      <c r="AR432" s="28"/>
      <c r="AS432" s="27"/>
      <c r="AT432" s="27"/>
      <c r="AU432" s="27"/>
      <c r="AV432" s="26"/>
      <c r="AW432" s="27"/>
      <c r="AX432" s="28"/>
      <c r="AY432" s="26"/>
      <c r="AZ432" s="27"/>
      <c r="BA432" s="28"/>
      <c r="BB432" s="26"/>
      <c r="BC432" s="32"/>
      <c r="BD432" s="33"/>
      <c r="BE432" s="27"/>
      <c r="BF432" s="32"/>
      <c r="BG432" s="32"/>
      <c r="BH432" s="26"/>
      <c r="BI432" s="27"/>
      <c r="BJ432" s="28"/>
      <c r="BK432" s="27"/>
      <c r="BL432" s="27"/>
      <c r="BM432" s="27"/>
      <c r="BN432" s="34"/>
      <c r="BO432" s="32"/>
      <c r="BP432" s="33"/>
      <c r="BQ432" s="27"/>
      <c r="BR432" s="27"/>
      <c r="BS432" s="27"/>
      <c r="BT432" s="26"/>
      <c r="BU432" s="27"/>
      <c r="BV432" s="28"/>
      <c r="BW432" s="26"/>
      <c r="BX432" s="32"/>
      <c r="BY432" s="33"/>
      <c r="BZ432" s="26"/>
      <c r="CA432" s="27"/>
      <c r="CB432" s="28"/>
      <c r="CC432" s="26"/>
      <c r="CD432" s="27"/>
      <c r="CE432" s="28"/>
      <c r="CF432" s="26"/>
      <c r="CG432" s="27"/>
      <c r="CH432" s="28"/>
      <c r="CI432" s="26"/>
      <c r="CJ432" s="27"/>
      <c r="CK432" s="28"/>
      <c r="CL432" s="26"/>
    </row>
    <row r="433" spans="1:95">
      <c r="A433" s="223">
        <v>45719</v>
      </c>
      <c r="B433" s="16" t="s">
        <v>96</v>
      </c>
      <c r="C433" s="26">
        <v>151.56</v>
      </c>
      <c r="D433" s="27">
        <v>149.56</v>
      </c>
      <c r="E433" s="28">
        <v>150.56</v>
      </c>
      <c r="F433" s="26">
        <v>158.22999999999999</v>
      </c>
      <c r="G433" s="27">
        <v>155.22999999999999</v>
      </c>
      <c r="H433" s="28">
        <v>156.72999999999999</v>
      </c>
      <c r="I433" s="26">
        <v>105.85</v>
      </c>
      <c r="J433" s="27">
        <v>102.64999999999999</v>
      </c>
      <c r="K433" s="28">
        <v>104.25</v>
      </c>
      <c r="L433" s="27">
        <v>193.78</v>
      </c>
      <c r="M433" s="27">
        <v>185.78</v>
      </c>
      <c r="N433" s="27">
        <v>189.78</v>
      </c>
      <c r="O433" s="26">
        <v>167.74</v>
      </c>
      <c r="P433" s="27">
        <v>165.94</v>
      </c>
      <c r="Q433" s="28">
        <v>166.84</v>
      </c>
      <c r="R433" s="27">
        <v>21.32</v>
      </c>
      <c r="S433" s="27">
        <v>20.72</v>
      </c>
      <c r="T433" s="27">
        <v>21.02</v>
      </c>
      <c r="U433" s="26">
        <v>13.7</v>
      </c>
      <c r="V433" s="27">
        <v>13.1</v>
      </c>
      <c r="W433" s="28">
        <v>13.399999999999999</v>
      </c>
      <c r="X433" s="26">
        <v>14.42</v>
      </c>
      <c r="Y433" s="27">
        <v>13.62</v>
      </c>
      <c r="Z433" s="28">
        <v>14.02</v>
      </c>
      <c r="AA433" s="26">
        <v>95.63</v>
      </c>
      <c r="AB433" s="27">
        <v>91.63</v>
      </c>
      <c r="AC433" s="28">
        <v>93.63</v>
      </c>
      <c r="AD433" s="26">
        <v>86.42</v>
      </c>
      <c r="AE433" s="27">
        <v>82.42</v>
      </c>
      <c r="AF433" s="28">
        <v>84.42</v>
      </c>
      <c r="AG433" s="27">
        <v>19.79</v>
      </c>
      <c r="AH433" s="27">
        <v>18.93</v>
      </c>
      <c r="AI433" s="27">
        <v>19.36</v>
      </c>
      <c r="AJ433" s="29"/>
      <c r="AK433" s="30"/>
      <c r="AL433" s="31"/>
      <c r="AM433" s="27">
        <v>112.41</v>
      </c>
      <c r="AN433" s="27">
        <v>110.75</v>
      </c>
      <c r="AO433" s="27">
        <v>111.58</v>
      </c>
      <c r="AP433" s="26">
        <v>40.89</v>
      </c>
      <c r="AQ433" s="27">
        <v>39.29</v>
      </c>
      <c r="AR433" s="28">
        <v>40.090000000000003</v>
      </c>
      <c r="AS433" s="27">
        <v>41.6</v>
      </c>
      <c r="AT433" s="27">
        <v>40.24</v>
      </c>
      <c r="AU433" s="27">
        <v>40.92</v>
      </c>
      <c r="AV433" s="26">
        <v>20.96</v>
      </c>
      <c r="AW433" s="27">
        <v>20.36</v>
      </c>
      <c r="AX433" s="28">
        <v>20.66</v>
      </c>
      <c r="AY433" s="26">
        <v>4.4800000000000004</v>
      </c>
      <c r="AZ433" s="27">
        <v>4.32</v>
      </c>
      <c r="BA433" s="28">
        <v>4.4000000000000004</v>
      </c>
      <c r="BB433" s="26">
        <v>1.88</v>
      </c>
      <c r="BC433" s="32">
        <v>1.5799999999999998</v>
      </c>
      <c r="BD433" s="33">
        <v>1.73</v>
      </c>
      <c r="BE433" s="27">
        <v>0.69</v>
      </c>
      <c r="BF433" s="32">
        <v>0.38999999999999996</v>
      </c>
      <c r="BG433" s="32">
        <v>0.53999999999999992</v>
      </c>
      <c r="BH433" s="26">
        <v>496.36</v>
      </c>
      <c r="BI433" s="27">
        <v>480.36</v>
      </c>
      <c r="BJ433" s="28">
        <v>488.36</v>
      </c>
      <c r="BK433" s="27">
        <v>42.04</v>
      </c>
      <c r="BL433" s="27">
        <v>40.68</v>
      </c>
      <c r="BM433" s="27">
        <v>41.36</v>
      </c>
      <c r="BN433" s="34">
        <v>1.03</v>
      </c>
      <c r="BO433" s="32">
        <v>0.79</v>
      </c>
      <c r="BP433" s="33">
        <v>0.91</v>
      </c>
      <c r="BQ433" s="27">
        <v>8.35</v>
      </c>
      <c r="BR433" s="27">
        <v>6.35</v>
      </c>
      <c r="BS433" s="27">
        <v>7.35</v>
      </c>
      <c r="BT433" s="26">
        <v>10.52</v>
      </c>
      <c r="BU433" s="27">
        <v>10.119999999999999</v>
      </c>
      <c r="BV433" s="28">
        <v>10.32</v>
      </c>
      <c r="BW433" s="26">
        <v>2.75</v>
      </c>
      <c r="BX433" s="32">
        <v>2.4699999999999998</v>
      </c>
      <c r="BY433" s="33">
        <v>2.61</v>
      </c>
      <c r="BZ433" s="26">
        <v>9.58</v>
      </c>
      <c r="CA433" s="27">
        <v>6.58</v>
      </c>
      <c r="CB433" s="28">
        <v>8.08</v>
      </c>
      <c r="CC433" s="26">
        <v>6.38</v>
      </c>
      <c r="CD433" s="27">
        <v>6.14</v>
      </c>
      <c r="CE433" s="28">
        <v>6.26</v>
      </c>
      <c r="CF433" s="26">
        <v>1.94</v>
      </c>
      <c r="CG433" s="27">
        <v>1.44</v>
      </c>
      <c r="CH433" s="28">
        <v>1.69</v>
      </c>
      <c r="CI433" s="26">
        <v>0.41</v>
      </c>
      <c r="CJ433" s="27">
        <v>0.37</v>
      </c>
      <c r="CK433" s="28">
        <v>0.39</v>
      </c>
      <c r="CL433" s="26">
        <v>38.75</v>
      </c>
      <c r="CM433">
        <v>36.35</v>
      </c>
      <c r="CN433">
        <v>37.549999999999997</v>
      </c>
      <c r="CO433">
        <v>6.63</v>
      </c>
      <c r="CP433">
        <v>1.63</v>
      </c>
      <c r="CQ433">
        <v>4.13</v>
      </c>
    </row>
    <row r="434" spans="1:95">
      <c r="A434" s="223">
        <v>45720</v>
      </c>
      <c r="B434" s="16" t="s">
        <v>97</v>
      </c>
      <c r="C434" s="26">
        <v>150.26</v>
      </c>
      <c r="D434" s="27">
        <v>148.26</v>
      </c>
      <c r="E434" s="28">
        <v>149.26</v>
      </c>
      <c r="F434" s="26">
        <v>158</v>
      </c>
      <c r="G434" s="27">
        <v>155</v>
      </c>
      <c r="H434" s="28">
        <v>156.5</v>
      </c>
      <c r="I434" s="26">
        <v>104.59</v>
      </c>
      <c r="J434" s="27">
        <v>101.39</v>
      </c>
      <c r="K434" s="28">
        <v>102.99000000000001</v>
      </c>
      <c r="L434" s="27">
        <v>193.52</v>
      </c>
      <c r="M434" s="27">
        <v>185.52</v>
      </c>
      <c r="N434" s="27">
        <v>189.52</v>
      </c>
      <c r="O434" s="26">
        <v>167.35</v>
      </c>
      <c r="P434" s="27">
        <v>165.54999999999998</v>
      </c>
      <c r="Q434" s="28">
        <v>166.45</v>
      </c>
      <c r="R434" s="27">
        <v>21.28</v>
      </c>
      <c r="S434" s="27">
        <v>20.68</v>
      </c>
      <c r="T434" s="27">
        <v>20.98</v>
      </c>
      <c r="U434" s="26">
        <v>13.65</v>
      </c>
      <c r="V434" s="27">
        <v>13.05</v>
      </c>
      <c r="W434" s="28">
        <v>13.350000000000001</v>
      </c>
      <c r="X434" s="26">
        <v>14.61</v>
      </c>
      <c r="Y434" s="27">
        <v>13.809999999999999</v>
      </c>
      <c r="Z434" s="28">
        <v>14.209999999999999</v>
      </c>
      <c r="AA434" s="26">
        <v>94.69</v>
      </c>
      <c r="AB434" s="27">
        <v>90.69</v>
      </c>
      <c r="AC434" s="28">
        <v>92.69</v>
      </c>
      <c r="AD434" s="26">
        <v>85.69</v>
      </c>
      <c r="AE434" s="27">
        <v>81.69</v>
      </c>
      <c r="AF434" s="28">
        <v>83.69</v>
      </c>
      <c r="AG434" s="27">
        <v>19.62</v>
      </c>
      <c r="AH434" s="27">
        <v>18.760000000000002</v>
      </c>
      <c r="AI434" s="27">
        <v>19.190000000000001</v>
      </c>
      <c r="AJ434" s="29"/>
      <c r="AK434" s="30"/>
      <c r="AL434" s="31"/>
      <c r="AM434" s="27">
        <v>111.71</v>
      </c>
      <c r="AN434" s="27">
        <v>110.05</v>
      </c>
      <c r="AO434" s="27">
        <v>110.88</v>
      </c>
      <c r="AP434" s="26">
        <v>40.659999999999997</v>
      </c>
      <c r="AQ434" s="27">
        <v>39.059999999999995</v>
      </c>
      <c r="AR434" s="28">
        <v>39.86</v>
      </c>
      <c r="AS434" s="27">
        <v>41.39</v>
      </c>
      <c r="AT434" s="27">
        <v>40.03</v>
      </c>
      <c r="AU434" s="27">
        <v>40.71</v>
      </c>
      <c r="AV434" s="26">
        <v>20.74</v>
      </c>
      <c r="AW434" s="27">
        <v>20.139999999999997</v>
      </c>
      <c r="AX434" s="28">
        <v>20.439999999999998</v>
      </c>
      <c r="AY434" s="26">
        <v>4.46</v>
      </c>
      <c r="AZ434" s="27">
        <v>4.3</v>
      </c>
      <c r="BA434" s="28">
        <v>4.38</v>
      </c>
      <c r="BB434" s="26">
        <v>1.87</v>
      </c>
      <c r="BC434" s="32">
        <v>1.57</v>
      </c>
      <c r="BD434" s="33">
        <v>1.7200000000000002</v>
      </c>
      <c r="BE434" s="27">
        <v>0.69</v>
      </c>
      <c r="BF434" s="32">
        <v>0.38999999999999996</v>
      </c>
      <c r="BG434" s="32">
        <v>0.53999999999999992</v>
      </c>
      <c r="BH434" s="26">
        <v>492.93</v>
      </c>
      <c r="BI434" s="27">
        <v>476.93</v>
      </c>
      <c r="BJ434" s="28">
        <v>484.93</v>
      </c>
      <c r="BK434" s="27">
        <v>41.7</v>
      </c>
      <c r="BL434" s="27">
        <v>40.340000000000003</v>
      </c>
      <c r="BM434" s="27">
        <v>41.02</v>
      </c>
      <c r="BN434" s="34">
        <v>1.03</v>
      </c>
      <c r="BO434" s="32">
        <v>0.79</v>
      </c>
      <c r="BP434" s="33">
        <v>0.91</v>
      </c>
      <c r="BQ434" s="27">
        <v>8.1999999999999993</v>
      </c>
      <c r="BR434" s="27">
        <v>6.1999999999999993</v>
      </c>
      <c r="BS434" s="27">
        <v>7.1999999999999993</v>
      </c>
      <c r="BT434" s="26">
        <v>10.45</v>
      </c>
      <c r="BU434" s="27">
        <v>10.049999999999999</v>
      </c>
      <c r="BV434" s="28">
        <v>10.25</v>
      </c>
      <c r="BW434" s="26">
        <v>2.74</v>
      </c>
      <c r="BX434" s="32">
        <v>2.46</v>
      </c>
      <c r="BY434" s="33">
        <v>2.6</v>
      </c>
      <c r="BZ434" s="26">
        <v>9.52</v>
      </c>
      <c r="CA434" s="27">
        <v>6.52</v>
      </c>
      <c r="CB434" s="28">
        <v>8.02</v>
      </c>
      <c r="CC434" s="26">
        <v>6.38</v>
      </c>
      <c r="CD434" s="27">
        <v>6.14</v>
      </c>
      <c r="CE434" s="28">
        <v>6.26</v>
      </c>
      <c r="CF434" s="26">
        <v>1.92</v>
      </c>
      <c r="CG434" s="27">
        <v>1.42</v>
      </c>
      <c r="CH434" s="28">
        <v>1.67</v>
      </c>
      <c r="CI434" s="26">
        <v>0.41</v>
      </c>
      <c r="CJ434" s="27">
        <v>0.37</v>
      </c>
      <c r="CK434" s="28">
        <v>0.39</v>
      </c>
      <c r="CL434" s="26">
        <v>38.83</v>
      </c>
      <c r="CM434">
        <v>36.43</v>
      </c>
      <c r="CN434">
        <v>37.629999999999995</v>
      </c>
      <c r="CO434">
        <v>6.6</v>
      </c>
      <c r="CP434">
        <v>1.5999999999999996</v>
      </c>
      <c r="CQ434">
        <v>4.0999999999999996</v>
      </c>
    </row>
    <row r="435" spans="1:95">
      <c r="A435" s="223">
        <v>45721</v>
      </c>
      <c r="B435" s="16" t="s">
        <v>98</v>
      </c>
      <c r="C435" s="35">
        <v>150.87</v>
      </c>
      <c r="D435" s="36">
        <v>148.87</v>
      </c>
      <c r="E435" s="37">
        <v>149.87</v>
      </c>
      <c r="F435" s="35">
        <v>160.77000000000001</v>
      </c>
      <c r="G435" s="36">
        <v>157.77000000000001</v>
      </c>
      <c r="H435" s="37">
        <v>159.27000000000001</v>
      </c>
      <c r="I435" s="35">
        <v>105.6</v>
      </c>
      <c r="J435" s="36">
        <v>102.39999999999999</v>
      </c>
      <c r="K435" s="37">
        <v>104</v>
      </c>
      <c r="L435" s="36">
        <v>195.79</v>
      </c>
      <c r="M435" s="36">
        <v>187.79</v>
      </c>
      <c r="N435" s="36">
        <v>191.79</v>
      </c>
      <c r="O435" s="35">
        <v>169.33</v>
      </c>
      <c r="P435" s="36">
        <v>167.53</v>
      </c>
      <c r="Q435" s="37">
        <v>168.43</v>
      </c>
      <c r="R435" s="36">
        <v>21.65</v>
      </c>
      <c r="S435" s="36">
        <v>21.049999999999997</v>
      </c>
      <c r="T435" s="36">
        <v>21.349999999999998</v>
      </c>
      <c r="U435" s="35">
        <v>13.8</v>
      </c>
      <c r="V435" s="36">
        <v>13.200000000000001</v>
      </c>
      <c r="W435" s="37">
        <v>13.5</v>
      </c>
      <c r="X435" s="35">
        <v>14.79</v>
      </c>
      <c r="Y435" s="36">
        <v>13.989999999999998</v>
      </c>
      <c r="Z435" s="37">
        <v>14.389999999999999</v>
      </c>
      <c r="AA435" s="35">
        <v>95.82</v>
      </c>
      <c r="AB435" s="36">
        <v>91.82</v>
      </c>
      <c r="AC435" s="37">
        <v>93.82</v>
      </c>
      <c r="AD435" s="35">
        <v>86.77</v>
      </c>
      <c r="AE435" s="36">
        <v>82.77</v>
      </c>
      <c r="AF435" s="37">
        <v>84.77</v>
      </c>
      <c r="AG435" s="36">
        <v>19.71</v>
      </c>
      <c r="AH435" s="36">
        <v>18.850000000000001</v>
      </c>
      <c r="AI435" s="36">
        <v>19.28</v>
      </c>
      <c r="AJ435" s="38"/>
      <c r="AK435" s="39"/>
      <c r="AL435" s="40"/>
      <c r="AM435" s="36">
        <v>112.79</v>
      </c>
      <c r="AN435" s="36">
        <v>111.13000000000001</v>
      </c>
      <c r="AO435" s="36">
        <v>111.96000000000001</v>
      </c>
      <c r="AP435" s="35">
        <v>40.83</v>
      </c>
      <c r="AQ435" s="36">
        <v>39.229999999999997</v>
      </c>
      <c r="AR435" s="37">
        <v>40.03</v>
      </c>
      <c r="AS435" s="36">
        <v>41.42</v>
      </c>
      <c r="AT435" s="36">
        <v>40.06</v>
      </c>
      <c r="AU435" s="36">
        <v>40.74</v>
      </c>
      <c r="AV435" s="35">
        <v>20.94</v>
      </c>
      <c r="AW435" s="36">
        <v>20.34</v>
      </c>
      <c r="AX435" s="37">
        <v>20.64</v>
      </c>
      <c r="AY435" s="35">
        <v>4.53</v>
      </c>
      <c r="AZ435" s="36">
        <v>4.37</v>
      </c>
      <c r="BA435" s="37">
        <v>4.45</v>
      </c>
      <c r="BB435" s="35">
        <v>1.88</v>
      </c>
      <c r="BC435" s="41">
        <v>1.5799999999999998</v>
      </c>
      <c r="BD435" s="42">
        <v>1.73</v>
      </c>
      <c r="BE435" s="36">
        <v>0.69</v>
      </c>
      <c r="BF435" s="41">
        <v>0.38999999999999996</v>
      </c>
      <c r="BG435" s="41">
        <v>0.53999999999999992</v>
      </c>
      <c r="BH435" s="35">
        <v>494.59</v>
      </c>
      <c r="BI435" s="36">
        <v>478.59</v>
      </c>
      <c r="BJ435" s="37">
        <v>486.59</v>
      </c>
      <c r="BK435" s="36">
        <v>41.86</v>
      </c>
      <c r="BL435" s="36">
        <v>40.5</v>
      </c>
      <c r="BM435" s="36">
        <v>41.18</v>
      </c>
      <c r="BN435" s="43">
        <v>1.03</v>
      </c>
      <c r="BO435" s="41">
        <v>0.79</v>
      </c>
      <c r="BP435" s="42">
        <v>0.91</v>
      </c>
      <c r="BQ435" s="36">
        <v>8.2899999999999991</v>
      </c>
      <c r="BR435" s="36">
        <v>6.2899999999999991</v>
      </c>
      <c r="BS435" s="36">
        <v>7.2899999999999991</v>
      </c>
      <c r="BT435" s="35">
        <v>10.51</v>
      </c>
      <c r="BU435" s="36">
        <v>10.11</v>
      </c>
      <c r="BV435" s="37">
        <v>10.309999999999999</v>
      </c>
      <c r="BW435" s="35">
        <v>2.75</v>
      </c>
      <c r="BX435" s="41">
        <v>2.4699999999999998</v>
      </c>
      <c r="BY435" s="42">
        <v>2.61</v>
      </c>
      <c r="BZ435" s="35">
        <v>9.6</v>
      </c>
      <c r="CA435" s="36">
        <v>6.6</v>
      </c>
      <c r="CB435" s="37">
        <v>8.1</v>
      </c>
      <c r="CC435" s="35">
        <v>6.47</v>
      </c>
      <c r="CD435" s="36">
        <v>6.2299999999999995</v>
      </c>
      <c r="CE435" s="37">
        <v>6.35</v>
      </c>
      <c r="CF435" s="35">
        <v>1.92</v>
      </c>
      <c r="CG435" s="36">
        <v>1.42</v>
      </c>
      <c r="CH435" s="37">
        <v>1.67</v>
      </c>
      <c r="CI435" s="35">
        <v>0.42</v>
      </c>
      <c r="CJ435" s="36">
        <v>0.38</v>
      </c>
      <c r="CK435" s="37">
        <v>0.4</v>
      </c>
      <c r="CL435" s="35">
        <v>39.4</v>
      </c>
      <c r="CM435">
        <v>37</v>
      </c>
      <c r="CN435">
        <v>38.200000000000003</v>
      </c>
      <c r="CO435">
        <v>6.61</v>
      </c>
      <c r="CP435">
        <v>1.6100000000000003</v>
      </c>
      <c r="CQ435">
        <v>4.1100000000000003</v>
      </c>
    </row>
    <row r="436" spans="1:95">
      <c r="A436" s="223">
        <v>45722</v>
      </c>
      <c r="B436" s="16" t="s">
        <v>99</v>
      </c>
      <c r="C436" s="35">
        <v>150.25</v>
      </c>
      <c r="D436" s="36">
        <v>148.25</v>
      </c>
      <c r="E436" s="37">
        <v>149.25</v>
      </c>
      <c r="F436" s="35">
        <v>162.72</v>
      </c>
      <c r="G436" s="36">
        <v>159.72</v>
      </c>
      <c r="H436" s="37">
        <v>161.22</v>
      </c>
      <c r="I436" s="35">
        <v>105.61</v>
      </c>
      <c r="J436" s="36">
        <v>102.41</v>
      </c>
      <c r="K436" s="37">
        <v>104.00999999999999</v>
      </c>
      <c r="L436" s="36">
        <v>196.52</v>
      </c>
      <c r="M436" s="36">
        <v>188.52</v>
      </c>
      <c r="N436" s="36">
        <v>192.52</v>
      </c>
      <c r="O436" s="35">
        <v>168.41</v>
      </c>
      <c r="P436" s="36">
        <v>166.60999999999999</v>
      </c>
      <c r="Q436" s="37">
        <v>167.51</v>
      </c>
      <c r="R436" s="36">
        <v>21.91</v>
      </c>
      <c r="S436" s="36">
        <v>21.31</v>
      </c>
      <c r="T436" s="36">
        <v>21.61</v>
      </c>
      <c r="U436" s="35">
        <v>13.99</v>
      </c>
      <c r="V436" s="36">
        <v>13.39</v>
      </c>
      <c r="W436" s="37">
        <v>13.690000000000001</v>
      </c>
      <c r="X436" s="35">
        <v>15.05</v>
      </c>
      <c r="Y436" s="36">
        <v>14.25</v>
      </c>
      <c r="Z436" s="37">
        <v>14.65</v>
      </c>
      <c r="AA436" s="35">
        <v>96.52</v>
      </c>
      <c r="AB436" s="36">
        <v>92.52</v>
      </c>
      <c r="AC436" s="37">
        <v>94.52</v>
      </c>
      <c r="AD436" s="35">
        <v>87.43</v>
      </c>
      <c r="AE436" s="36">
        <v>83.43</v>
      </c>
      <c r="AF436" s="37">
        <v>85.43</v>
      </c>
      <c r="AG436" s="36">
        <v>19.63</v>
      </c>
      <c r="AH436" s="36">
        <v>18.77</v>
      </c>
      <c r="AI436" s="36">
        <v>19.2</v>
      </c>
      <c r="AJ436" s="38"/>
      <c r="AK436" s="39"/>
      <c r="AL436" s="40"/>
      <c r="AM436" s="36">
        <v>112.96</v>
      </c>
      <c r="AN436" s="36">
        <v>111.3</v>
      </c>
      <c r="AO436" s="36">
        <v>112.13</v>
      </c>
      <c r="AP436" s="35">
        <v>40.65</v>
      </c>
      <c r="AQ436" s="36">
        <v>39.049999999999997</v>
      </c>
      <c r="AR436" s="37">
        <v>39.849999999999994</v>
      </c>
      <c r="AS436" s="36">
        <v>41.39</v>
      </c>
      <c r="AT436" s="36">
        <v>40.03</v>
      </c>
      <c r="AU436" s="36">
        <v>40.71</v>
      </c>
      <c r="AV436" s="35">
        <v>20.91</v>
      </c>
      <c r="AW436" s="36">
        <v>20.309999999999999</v>
      </c>
      <c r="AX436" s="37">
        <v>20.61</v>
      </c>
      <c r="AY436" s="35">
        <v>4.5199999999999996</v>
      </c>
      <c r="AZ436" s="36">
        <v>4.3599999999999994</v>
      </c>
      <c r="BA436" s="37">
        <v>4.4399999999999995</v>
      </c>
      <c r="BB436" s="35">
        <v>1.88</v>
      </c>
      <c r="BC436" s="41">
        <v>1.5799999999999998</v>
      </c>
      <c r="BD436" s="42">
        <v>1.73</v>
      </c>
      <c r="BE436" s="36">
        <v>0.69</v>
      </c>
      <c r="BF436" s="41">
        <v>0.38999999999999996</v>
      </c>
      <c r="BG436" s="41">
        <v>0.53999999999999992</v>
      </c>
      <c r="BH436" s="35">
        <v>492.58</v>
      </c>
      <c r="BI436" s="36">
        <v>476.58</v>
      </c>
      <c r="BJ436" s="37">
        <v>484.58</v>
      </c>
      <c r="BK436" s="36">
        <v>41.69</v>
      </c>
      <c r="BL436" s="36">
        <v>40.33</v>
      </c>
      <c r="BM436" s="36">
        <v>41.01</v>
      </c>
      <c r="BN436" s="43">
        <v>1.03</v>
      </c>
      <c r="BO436" s="41">
        <v>0.79</v>
      </c>
      <c r="BP436" s="42">
        <v>0.91</v>
      </c>
      <c r="BQ436" s="36">
        <v>8.32</v>
      </c>
      <c r="BR436" s="36">
        <v>6.32</v>
      </c>
      <c r="BS436" s="36">
        <v>7.32</v>
      </c>
      <c r="BT436" s="35">
        <v>10.57</v>
      </c>
      <c r="BU436" s="36">
        <v>10.17</v>
      </c>
      <c r="BV436" s="37">
        <v>10.370000000000001</v>
      </c>
      <c r="BW436" s="35">
        <v>2.76</v>
      </c>
      <c r="BX436" s="41">
        <v>2.4799999999999995</v>
      </c>
      <c r="BY436" s="42">
        <v>2.6199999999999997</v>
      </c>
      <c r="BZ436" s="35">
        <v>9.65</v>
      </c>
      <c r="CA436" s="36">
        <v>6.65</v>
      </c>
      <c r="CB436" s="37">
        <v>8.15</v>
      </c>
      <c r="CC436" s="35">
        <v>6.57</v>
      </c>
      <c r="CD436" s="36">
        <v>6.33</v>
      </c>
      <c r="CE436" s="37">
        <v>6.45</v>
      </c>
      <c r="CF436" s="35">
        <v>1.9</v>
      </c>
      <c r="CG436" s="36">
        <v>1.4</v>
      </c>
      <c r="CH436" s="37">
        <v>1.65</v>
      </c>
      <c r="CI436" s="35">
        <v>0.43</v>
      </c>
      <c r="CJ436" s="36">
        <v>0.39</v>
      </c>
      <c r="CK436" s="37">
        <v>0.41000000000000003</v>
      </c>
      <c r="CL436" s="35">
        <v>40.03</v>
      </c>
      <c r="CM436">
        <v>37.630000000000003</v>
      </c>
      <c r="CN436">
        <v>38.83</v>
      </c>
      <c r="CO436">
        <v>6.59</v>
      </c>
      <c r="CP436">
        <v>1.5899999999999999</v>
      </c>
      <c r="CQ436">
        <v>4.09</v>
      </c>
    </row>
    <row r="437" spans="1:95">
      <c r="A437" s="223">
        <v>45723</v>
      </c>
      <c r="B437" s="16" t="s">
        <v>100</v>
      </c>
      <c r="C437" s="35">
        <v>149.07</v>
      </c>
      <c r="D437" s="36">
        <v>147.07</v>
      </c>
      <c r="E437" s="37">
        <v>148.07</v>
      </c>
      <c r="F437" s="35">
        <v>161.21</v>
      </c>
      <c r="G437" s="36">
        <v>158.21</v>
      </c>
      <c r="H437" s="37">
        <v>159.71</v>
      </c>
      <c r="I437" s="35">
        <v>105.15</v>
      </c>
      <c r="J437" s="36">
        <v>101.95</v>
      </c>
      <c r="K437" s="37">
        <v>103.55000000000001</v>
      </c>
      <c r="L437" s="36">
        <v>194.79</v>
      </c>
      <c r="M437" s="36">
        <v>186.79</v>
      </c>
      <c r="N437" s="36">
        <v>190.79</v>
      </c>
      <c r="O437" s="35">
        <v>168.65</v>
      </c>
      <c r="P437" s="36">
        <v>166.85</v>
      </c>
      <c r="Q437" s="37">
        <v>167.75</v>
      </c>
      <c r="R437" s="36">
        <v>21.71</v>
      </c>
      <c r="S437" s="36">
        <v>21.11</v>
      </c>
      <c r="T437" s="36">
        <v>21.41</v>
      </c>
      <c r="U437" s="35">
        <v>13.91</v>
      </c>
      <c r="V437" s="36">
        <v>13.31</v>
      </c>
      <c r="W437" s="37">
        <v>13.61</v>
      </c>
      <c r="X437" s="35">
        <v>14.96</v>
      </c>
      <c r="Y437" s="36">
        <v>14.16</v>
      </c>
      <c r="Z437" s="37">
        <v>14.56</v>
      </c>
      <c r="AA437" s="35">
        <v>95.67</v>
      </c>
      <c r="AB437" s="36">
        <v>91.67</v>
      </c>
      <c r="AC437" s="37">
        <v>93.67</v>
      </c>
      <c r="AD437" s="35">
        <v>86.9</v>
      </c>
      <c r="AE437" s="36">
        <v>82.9</v>
      </c>
      <c r="AF437" s="37">
        <v>84.9</v>
      </c>
      <c r="AG437" s="36">
        <v>19.48</v>
      </c>
      <c r="AH437" s="36">
        <v>18.62</v>
      </c>
      <c r="AI437" s="36">
        <v>19.05</v>
      </c>
      <c r="AJ437" s="38"/>
      <c r="AK437" s="39"/>
      <c r="AL437" s="40"/>
      <c r="AM437" s="36">
        <v>111.94</v>
      </c>
      <c r="AN437" s="36">
        <v>110.28</v>
      </c>
      <c r="AO437" s="36">
        <v>111.11</v>
      </c>
      <c r="AP437" s="35">
        <v>40.35</v>
      </c>
      <c r="AQ437" s="36">
        <v>38.75</v>
      </c>
      <c r="AR437" s="37">
        <v>39.549999999999997</v>
      </c>
      <c r="AS437" s="36">
        <v>40.93</v>
      </c>
      <c r="AT437" s="36">
        <v>39.57</v>
      </c>
      <c r="AU437" s="36">
        <v>40.25</v>
      </c>
      <c r="AV437" s="35">
        <v>20.73</v>
      </c>
      <c r="AW437" s="36">
        <v>20.13</v>
      </c>
      <c r="AX437" s="37">
        <v>20.43</v>
      </c>
      <c r="AY437" s="35">
        <v>4.46</v>
      </c>
      <c r="AZ437" s="36">
        <v>4.3</v>
      </c>
      <c r="BA437" s="37">
        <v>4.38</v>
      </c>
      <c r="BB437" s="35">
        <v>1.86</v>
      </c>
      <c r="BC437" s="41">
        <v>1.56</v>
      </c>
      <c r="BD437" s="42">
        <v>1.71</v>
      </c>
      <c r="BE437" s="36">
        <v>0.68</v>
      </c>
      <c r="BF437" s="41">
        <v>0.38000000000000006</v>
      </c>
      <c r="BG437" s="41">
        <v>0.53</v>
      </c>
      <c r="BH437" s="35">
        <v>489.37</v>
      </c>
      <c r="BI437" s="36">
        <v>473.37</v>
      </c>
      <c r="BJ437" s="37">
        <v>481.37</v>
      </c>
      <c r="BK437" s="36">
        <v>41.37</v>
      </c>
      <c r="BL437" s="36">
        <v>40.01</v>
      </c>
      <c r="BM437" s="36">
        <v>40.69</v>
      </c>
      <c r="BN437" s="43">
        <v>1.03</v>
      </c>
      <c r="BO437" s="41">
        <v>0.79</v>
      </c>
      <c r="BP437" s="42">
        <v>0.91</v>
      </c>
      <c r="BQ437" s="36">
        <v>8.3000000000000007</v>
      </c>
      <c r="BR437" s="36">
        <v>6.3000000000000007</v>
      </c>
      <c r="BS437" s="36">
        <v>7.3000000000000007</v>
      </c>
      <c r="BT437" s="35">
        <v>10.45</v>
      </c>
      <c r="BU437" s="36">
        <v>10.049999999999999</v>
      </c>
      <c r="BV437" s="37">
        <v>10.25</v>
      </c>
      <c r="BW437" s="35">
        <v>2.74</v>
      </c>
      <c r="BX437" s="41">
        <v>2.46</v>
      </c>
      <c r="BY437" s="42">
        <v>2.6</v>
      </c>
      <c r="BZ437" s="35">
        <v>9.66</v>
      </c>
      <c r="CA437" s="36">
        <v>6.66</v>
      </c>
      <c r="CB437" s="37">
        <v>8.16</v>
      </c>
      <c r="CC437" s="35">
        <v>6.51</v>
      </c>
      <c r="CD437" s="36">
        <v>6.27</v>
      </c>
      <c r="CE437" s="37">
        <v>6.39</v>
      </c>
      <c r="CF437" s="35">
        <v>1.92</v>
      </c>
      <c r="CG437" s="36">
        <v>1.42</v>
      </c>
      <c r="CH437" s="37">
        <v>1.67</v>
      </c>
      <c r="CI437" s="35">
        <v>0.42</v>
      </c>
      <c r="CJ437" s="36">
        <v>0.38</v>
      </c>
      <c r="CK437" s="37">
        <v>0.4</v>
      </c>
      <c r="CL437" s="35">
        <v>39.450000000000003</v>
      </c>
      <c r="CM437">
        <v>37.050000000000004</v>
      </c>
      <c r="CN437">
        <v>38.25</v>
      </c>
      <c r="CO437">
        <v>6.57</v>
      </c>
      <c r="CP437">
        <v>1.5700000000000003</v>
      </c>
      <c r="CQ437">
        <v>4.07</v>
      </c>
    </row>
    <row r="438" spans="1:95">
      <c r="A438" s="223">
        <v>45724</v>
      </c>
      <c r="B438" s="16" t="s">
        <v>307</v>
      </c>
      <c r="C438" s="35"/>
      <c r="D438" s="36"/>
      <c r="E438" s="37"/>
      <c r="F438" s="35"/>
      <c r="G438" s="36"/>
      <c r="H438" s="37"/>
      <c r="I438" s="35"/>
      <c r="J438" s="36"/>
      <c r="K438" s="37"/>
      <c r="L438" s="36"/>
      <c r="M438" s="36"/>
      <c r="N438" s="36"/>
      <c r="O438" s="35"/>
      <c r="P438" s="36"/>
      <c r="Q438" s="37"/>
      <c r="R438" s="36"/>
      <c r="S438" s="36"/>
      <c r="T438" s="36"/>
      <c r="U438" s="35"/>
      <c r="V438" s="36"/>
      <c r="W438" s="37"/>
      <c r="X438" s="35"/>
      <c r="Y438" s="36"/>
      <c r="Z438" s="37"/>
      <c r="AA438" s="35"/>
      <c r="AB438" s="36"/>
      <c r="AC438" s="37"/>
      <c r="AD438" s="35"/>
      <c r="AE438" s="36"/>
      <c r="AF438" s="37"/>
      <c r="AG438" s="36"/>
      <c r="AH438" s="36"/>
      <c r="AI438" s="36"/>
      <c r="AJ438" s="38"/>
      <c r="AK438" s="39"/>
      <c r="AL438" s="40"/>
      <c r="AM438" s="36"/>
      <c r="AN438" s="36"/>
      <c r="AO438" s="36"/>
      <c r="AP438" s="35"/>
      <c r="AQ438" s="36"/>
      <c r="AR438" s="37"/>
      <c r="AS438" s="36"/>
      <c r="AT438" s="36"/>
      <c r="AU438" s="36"/>
      <c r="AV438" s="35"/>
      <c r="AW438" s="36"/>
      <c r="AX438" s="37"/>
      <c r="AY438" s="35"/>
      <c r="AZ438" s="36"/>
      <c r="BA438" s="37"/>
      <c r="BB438" s="35"/>
      <c r="BC438" s="41"/>
      <c r="BD438" s="42"/>
      <c r="BE438" s="36"/>
      <c r="BF438" s="41"/>
      <c r="BG438" s="41"/>
      <c r="BH438" s="35"/>
      <c r="BI438" s="36"/>
      <c r="BJ438" s="37"/>
      <c r="BK438" s="36"/>
      <c r="BL438" s="36"/>
      <c r="BM438" s="36"/>
      <c r="BN438" s="43"/>
      <c r="BO438" s="41"/>
      <c r="BP438" s="42"/>
      <c r="BQ438" s="36"/>
      <c r="BR438" s="36"/>
      <c r="BS438" s="36"/>
      <c r="BT438" s="35"/>
      <c r="BU438" s="36"/>
      <c r="BV438" s="37"/>
      <c r="BW438" s="35"/>
      <c r="BX438" s="41"/>
      <c r="BY438" s="42"/>
      <c r="BZ438" s="35"/>
      <c r="CA438" s="36"/>
      <c r="CB438" s="37"/>
      <c r="CC438" s="35"/>
      <c r="CD438" s="36"/>
      <c r="CE438" s="37"/>
      <c r="CF438" s="35"/>
      <c r="CG438" s="36"/>
      <c r="CH438" s="37"/>
      <c r="CI438" s="35"/>
      <c r="CJ438" s="36"/>
      <c r="CK438" s="37"/>
      <c r="CL438" s="35"/>
    </row>
    <row r="439" spans="1:95">
      <c r="A439" s="223">
        <v>45725</v>
      </c>
      <c r="B439" s="16" t="s">
        <v>308</v>
      </c>
      <c r="C439" s="35"/>
      <c r="D439" s="36"/>
      <c r="E439" s="37"/>
      <c r="F439" s="35"/>
      <c r="G439" s="36"/>
      <c r="H439" s="37"/>
      <c r="I439" s="35"/>
      <c r="J439" s="36"/>
      <c r="K439" s="37"/>
      <c r="L439" s="36"/>
      <c r="M439" s="36"/>
      <c r="N439" s="36"/>
      <c r="O439" s="35"/>
      <c r="P439" s="36"/>
      <c r="Q439" s="37"/>
      <c r="R439" s="36"/>
      <c r="S439" s="36"/>
      <c r="T439" s="36"/>
      <c r="U439" s="35"/>
      <c r="V439" s="36"/>
      <c r="W439" s="37"/>
      <c r="X439" s="35"/>
      <c r="Y439" s="36"/>
      <c r="Z439" s="37"/>
      <c r="AA439" s="35"/>
      <c r="AB439" s="36"/>
      <c r="AC439" s="37"/>
      <c r="AD439" s="35"/>
      <c r="AE439" s="36"/>
      <c r="AF439" s="37"/>
      <c r="AG439" s="36"/>
      <c r="AH439" s="36"/>
      <c r="AI439" s="36"/>
      <c r="AJ439" s="38"/>
      <c r="AK439" s="39"/>
      <c r="AL439" s="40"/>
      <c r="AM439" s="36"/>
      <c r="AN439" s="36"/>
      <c r="AO439" s="36"/>
      <c r="AP439" s="35"/>
      <c r="AQ439" s="36"/>
      <c r="AR439" s="37"/>
      <c r="AS439" s="36"/>
      <c r="AT439" s="36"/>
      <c r="AU439" s="36"/>
      <c r="AV439" s="35"/>
      <c r="AW439" s="36"/>
      <c r="AX439" s="37"/>
      <c r="AY439" s="35"/>
      <c r="AZ439" s="36"/>
      <c r="BA439" s="37"/>
      <c r="BB439" s="35"/>
      <c r="BC439" s="41"/>
      <c r="BD439" s="42"/>
      <c r="BE439" s="36"/>
      <c r="BF439" s="41"/>
      <c r="BG439" s="41"/>
      <c r="BH439" s="35"/>
      <c r="BI439" s="36"/>
      <c r="BJ439" s="37"/>
      <c r="BK439" s="36"/>
      <c r="BL439" s="36"/>
      <c r="BM439" s="36"/>
      <c r="BN439" s="43"/>
      <c r="BO439" s="41"/>
      <c r="BP439" s="42"/>
      <c r="BQ439" s="36"/>
      <c r="BR439" s="36"/>
      <c r="BS439" s="36"/>
      <c r="BT439" s="35"/>
      <c r="BU439" s="36"/>
      <c r="BV439" s="37"/>
      <c r="BW439" s="35"/>
      <c r="BX439" s="41"/>
      <c r="BY439" s="42"/>
      <c r="BZ439" s="35"/>
      <c r="CA439" s="36"/>
      <c r="CB439" s="37"/>
      <c r="CC439" s="35"/>
      <c r="CD439" s="36"/>
      <c r="CE439" s="37"/>
      <c r="CF439" s="35"/>
      <c r="CG439" s="36"/>
      <c r="CH439" s="37"/>
      <c r="CI439" s="35"/>
      <c r="CJ439" s="36"/>
      <c r="CK439" s="37"/>
      <c r="CL439" s="35"/>
    </row>
    <row r="440" spans="1:95">
      <c r="A440" s="223">
        <v>45726</v>
      </c>
      <c r="B440" s="16" t="s">
        <v>96</v>
      </c>
      <c r="C440" s="35">
        <v>148.38</v>
      </c>
      <c r="D440" s="36">
        <v>146.38</v>
      </c>
      <c r="E440" s="37">
        <v>147.38</v>
      </c>
      <c r="F440" s="35">
        <v>161.63999999999999</v>
      </c>
      <c r="G440" s="36">
        <v>158.63999999999999</v>
      </c>
      <c r="H440" s="37">
        <v>160.13999999999999</v>
      </c>
      <c r="I440" s="35">
        <v>104.2</v>
      </c>
      <c r="J440" s="36">
        <v>101</v>
      </c>
      <c r="K440" s="37">
        <v>102.6</v>
      </c>
      <c r="L440" s="36">
        <v>194.69</v>
      </c>
      <c r="M440" s="36">
        <v>186.69</v>
      </c>
      <c r="N440" s="36">
        <v>190.69</v>
      </c>
      <c r="O440" s="35">
        <v>168.99</v>
      </c>
      <c r="P440" s="36">
        <v>167.19</v>
      </c>
      <c r="Q440" s="37">
        <v>168.09</v>
      </c>
      <c r="R440" s="36">
        <v>21.77</v>
      </c>
      <c r="S440" s="36">
        <v>21.169999999999998</v>
      </c>
      <c r="T440" s="36">
        <v>21.47</v>
      </c>
      <c r="U440" s="35">
        <v>13.9</v>
      </c>
      <c r="V440" s="36">
        <v>13.3</v>
      </c>
      <c r="W440" s="37">
        <v>13.600000000000001</v>
      </c>
      <c r="X440" s="35">
        <v>15.03</v>
      </c>
      <c r="Y440" s="36">
        <v>14.229999999999999</v>
      </c>
      <c r="Z440" s="37">
        <v>14.629999999999999</v>
      </c>
      <c r="AA440" s="35">
        <v>95</v>
      </c>
      <c r="AB440" s="36">
        <v>91</v>
      </c>
      <c r="AC440" s="37">
        <v>93</v>
      </c>
      <c r="AD440" s="35">
        <v>86.26</v>
      </c>
      <c r="AE440" s="36">
        <v>82.26</v>
      </c>
      <c r="AF440" s="37">
        <v>84.26</v>
      </c>
      <c r="AG440" s="36">
        <v>19.399999999999999</v>
      </c>
      <c r="AH440" s="36">
        <v>18.54</v>
      </c>
      <c r="AI440" s="36">
        <v>18.97</v>
      </c>
      <c r="AJ440" s="38"/>
      <c r="AK440" s="39"/>
      <c r="AL440" s="40"/>
      <c r="AM440" s="36">
        <v>111.76</v>
      </c>
      <c r="AN440" s="36">
        <v>110.10000000000001</v>
      </c>
      <c r="AO440" s="36">
        <v>110.93</v>
      </c>
      <c r="AP440" s="35">
        <v>40.14</v>
      </c>
      <c r="AQ440" s="36">
        <v>38.54</v>
      </c>
      <c r="AR440" s="37">
        <v>39.340000000000003</v>
      </c>
      <c r="AS440" s="36">
        <v>40.880000000000003</v>
      </c>
      <c r="AT440" s="36">
        <v>39.520000000000003</v>
      </c>
      <c r="AU440" s="36">
        <v>40.200000000000003</v>
      </c>
      <c r="AV440" s="35">
        <v>20.66</v>
      </c>
      <c r="AW440" s="36">
        <v>20.059999999999999</v>
      </c>
      <c r="AX440" s="37">
        <v>20.36</v>
      </c>
      <c r="AY440" s="35">
        <v>4.45</v>
      </c>
      <c r="AZ440" s="36">
        <v>4.29</v>
      </c>
      <c r="BA440" s="37">
        <v>4.37</v>
      </c>
      <c r="BB440" s="35">
        <v>1.85</v>
      </c>
      <c r="BC440" s="41">
        <v>1.55</v>
      </c>
      <c r="BD440" s="42">
        <v>1.7000000000000002</v>
      </c>
      <c r="BE440" s="36">
        <v>0.68</v>
      </c>
      <c r="BF440" s="41">
        <v>0.38000000000000006</v>
      </c>
      <c r="BG440" s="41">
        <v>0.53</v>
      </c>
      <c r="BH440" s="35">
        <v>487.44</v>
      </c>
      <c r="BI440" s="36">
        <v>471.44</v>
      </c>
      <c r="BJ440" s="37">
        <v>479.44</v>
      </c>
      <c r="BK440" s="36">
        <v>41.18</v>
      </c>
      <c r="BL440" s="36">
        <v>39.82</v>
      </c>
      <c r="BM440" s="36">
        <v>40.5</v>
      </c>
      <c r="BN440" s="43">
        <v>1.03</v>
      </c>
      <c r="BO440" s="41">
        <v>0.79</v>
      </c>
      <c r="BP440" s="42">
        <v>0.91</v>
      </c>
      <c r="BQ440" s="36">
        <v>8.2799999999999994</v>
      </c>
      <c r="BR440" s="36">
        <v>6.2799999999999994</v>
      </c>
      <c r="BS440" s="36">
        <v>7.2799999999999994</v>
      </c>
      <c r="BT440" s="35">
        <v>10.4</v>
      </c>
      <c r="BU440" s="36">
        <v>10</v>
      </c>
      <c r="BV440" s="37">
        <v>10.199999999999999</v>
      </c>
      <c r="BW440" s="35">
        <v>2.74</v>
      </c>
      <c r="BX440" s="41">
        <v>2.46</v>
      </c>
      <c r="BY440" s="42">
        <v>2.6</v>
      </c>
      <c r="BZ440" s="35">
        <v>9.56</v>
      </c>
      <c r="CA440" s="36">
        <v>6.5600000000000005</v>
      </c>
      <c r="CB440" s="37">
        <v>8.06</v>
      </c>
      <c r="CC440" s="35">
        <v>6.54</v>
      </c>
      <c r="CD440" s="36">
        <v>6.3</v>
      </c>
      <c r="CE440" s="37">
        <v>6.42</v>
      </c>
      <c r="CF440" s="35">
        <v>1.89</v>
      </c>
      <c r="CG440" s="36">
        <v>1.39</v>
      </c>
      <c r="CH440" s="37">
        <v>1.64</v>
      </c>
      <c r="CI440" s="35">
        <v>0.42</v>
      </c>
      <c r="CJ440" s="36">
        <v>0.38</v>
      </c>
      <c r="CK440" s="37">
        <v>0.4</v>
      </c>
      <c r="CL440" s="35">
        <v>39.58</v>
      </c>
      <c r="CM440">
        <v>37.18</v>
      </c>
      <c r="CN440">
        <v>38.379999999999995</v>
      </c>
      <c r="CO440">
        <v>6.54</v>
      </c>
      <c r="CP440">
        <v>1.54</v>
      </c>
      <c r="CQ440">
        <v>4.04</v>
      </c>
    </row>
    <row r="441" spans="1:95">
      <c r="A441" s="223">
        <v>45727</v>
      </c>
      <c r="B441" s="16" t="s">
        <v>97</v>
      </c>
      <c r="C441" s="35">
        <v>147.68</v>
      </c>
      <c r="D441" s="36">
        <v>145.68</v>
      </c>
      <c r="E441" s="37">
        <v>146.68</v>
      </c>
      <c r="F441" s="35">
        <v>160.59</v>
      </c>
      <c r="G441" s="36">
        <v>157.59</v>
      </c>
      <c r="H441" s="37">
        <v>159.09</v>
      </c>
      <c r="I441" s="35">
        <v>103.22</v>
      </c>
      <c r="J441" s="36">
        <v>100.02</v>
      </c>
      <c r="K441" s="37">
        <v>101.62</v>
      </c>
      <c r="L441" s="36">
        <v>193.03</v>
      </c>
      <c r="M441" s="36">
        <v>185.03</v>
      </c>
      <c r="N441" s="36">
        <v>189.03</v>
      </c>
      <c r="O441" s="35">
        <v>167.94</v>
      </c>
      <c r="P441" s="36">
        <v>166.14</v>
      </c>
      <c r="Q441" s="37">
        <v>167.04</v>
      </c>
      <c r="R441" s="36">
        <v>21.63</v>
      </c>
      <c r="S441" s="36">
        <v>21.029999999999998</v>
      </c>
      <c r="T441" s="36">
        <v>21.33</v>
      </c>
      <c r="U441" s="35">
        <v>13.93</v>
      </c>
      <c r="V441" s="36">
        <v>13.33</v>
      </c>
      <c r="W441" s="37">
        <v>13.629999999999999</v>
      </c>
      <c r="X441" s="35">
        <v>14.9</v>
      </c>
      <c r="Y441" s="36">
        <v>14.1</v>
      </c>
      <c r="Z441" s="37">
        <v>14.5</v>
      </c>
      <c r="AA441" s="35">
        <v>94.07</v>
      </c>
      <c r="AB441" s="36">
        <v>90.07</v>
      </c>
      <c r="AC441" s="37">
        <v>92.07</v>
      </c>
      <c r="AD441" s="35">
        <v>85.49</v>
      </c>
      <c r="AE441" s="36">
        <v>81.489999999999995</v>
      </c>
      <c r="AF441" s="37">
        <v>83.49</v>
      </c>
      <c r="AG441" s="36">
        <v>19.309999999999999</v>
      </c>
      <c r="AH441" s="36">
        <v>18.45</v>
      </c>
      <c r="AI441" s="36">
        <v>18.88</v>
      </c>
      <c r="AJ441" s="38"/>
      <c r="AK441" s="39"/>
      <c r="AL441" s="40"/>
      <c r="AM441" s="36">
        <v>110.94</v>
      </c>
      <c r="AN441" s="36">
        <v>109.28</v>
      </c>
      <c r="AO441" s="36">
        <v>110.11</v>
      </c>
      <c r="AP441" s="35">
        <v>39.96</v>
      </c>
      <c r="AQ441" s="36">
        <v>38.36</v>
      </c>
      <c r="AR441" s="37">
        <v>39.159999999999997</v>
      </c>
      <c r="AS441" s="36">
        <v>40.68</v>
      </c>
      <c r="AT441" s="36">
        <v>39.32</v>
      </c>
      <c r="AU441" s="36">
        <v>40</v>
      </c>
      <c r="AV441" s="35">
        <v>20.52</v>
      </c>
      <c r="AW441" s="36">
        <v>19.919999999999998</v>
      </c>
      <c r="AX441" s="37">
        <v>20.22</v>
      </c>
      <c r="AY441" s="35">
        <v>4.4000000000000004</v>
      </c>
      <c r="AZ441" s="36">
        <v>4.24</v>
      </c>
      <c r="BA441" s="37">
        <v>4.32</v>
      </c>
      <c r="BB441" s="35">
        <v>1.84</v>
      </c>
      <c r="BC441" s="41">
        <v>1.54</v>
      </c>
      <c r="BD441" s="42">
        <v>1.69</v>
      </c>
      <c r="BE441" s="36">
        <v>0.68</v>
      </c>
      <c r="BF441" s="41">
        <v>0.38000000000000006</v>
      </c>
      <c r="BG441" s="41">
        <v>0.53</v>
      </c>
      <c r="BH441" s="35">
        <v>485.01</v>
      </c>
      <c r="BI441" s="36">
        <v>469.01</v>
      </c>
      <c r="BJ441" s="37">
        <v>477.01</v>
      </c>
      <c r="BK441" s="36">
        <v>40.99</v>
      </c>
      <c r="BL441" s="36">
        <v>39.630000000000003</v>
      </c>
      <c r="BM441" s="36">
        <v>40.31</v>
      </c>
      <c r="BN441" s="43">
        <v>1.02</v>
      </c>
      <c r="BO441" s="41">
        <v>0.78</v>
      </c>
      <c r="BP441" s="42">
        <v>0.9</v>
      </c>
      <c r="BQ441" s="36">
        <v>8.2100000000000009</v>
      </c>
      <c r="BR441" s="36">
        <v>6.2100000000000009</v>
      </c>
      <c r="BS441" s="36">
        <v>7.2100000000000009</v>
      </c>
      <c r="BT441" s="35">
        <v>10.28</v>
      </c>
      <c r="BU441" s="36">
        <v>9.879999999999999</v>
      </c>
      <c r="BV441" s="37">
        <v>10.079999999999998</v>
      </c>
      <c r="BW441" s="35">
        <v>2.71</v>
      </c>
      <c r="BX441" s="41">
        <v>2.4299999999999997</v>
      </c>
      <c r="BY441" s="42">
        <v>2.57</v>
      </c>
      <c r="BZ441" s="35">
        <v>9.49</v>
      </c>
      <c r="CA441" s="36">
        <v>6.49</v>
      </c>
      <c r="CB441" s="37">
        <v>7.99</v>
      </c>
      <c r="CC441" s="35">
        <v>6.48</v>
      </c>
      <c r="CD441" s="36">
        <v>6.24</v>
      </c>
      <c r="CE441" s="37">
        <v>6.36</v>
      </c>
      <c r="CF441" s="35">
        <v>1.93</v>
      </c>
      <c r="CG441" s="36">
        <v>1.43</v>
      </c>
      <c r="CH441" s="37">
        <v>1.68</v>
      </c>
      <c r="CI441" s="35">
        <v>0.42</v>
      </c>
      <c r="CJ441" s="36">
        <v>0.38</v>
      </c>
      <c r="CK441" s="37">
        <v>0.4</v>
      </c>
      <c r="CL441" s="35">
        <v>39.1</v>
      </c>
      <c r="CM441">
        <v>36.700000000000003</v>
      </c>
      <c r="CN441">
        <v>37.900000000000006</v>
      </c>
      <c r="CO441">
        <v>6.51</v>
      </c>
      <c r="CP441">
        <v>1.5099999999999998</v>
      </c>
      <c r="CQ441">
        <v>4.01</v>
      </c>
    </row>
    <row r="442" spans="1:95">
      <c r="A442" s="223">
        <v>45728</v>
      </c>
      <c r="B442" s="16" t="s">
        <v>98</v>
      </c>
      <c r="C442" s="35">
        <v>149.08000000000001</v>
      </c>
      <c r="D442" s="36">
        <v>147.08000000000001</v>
      </c>
      <c r="E442" s="37">
        <v>148.08000000000001</v>
      </c>
      <c r="F442" s="35">
        <v>163.03</v>
      </c>
      <c r="G442" s="36">
        <v>160.03</v>
      </c>
      <c r="H442" s="37">
        <v>161.53</v>
      </c>
      <c r="I442" s="35">
        <v>104.18</v>
      </c>
      <c r="J442" s="36">
        <v>100.98</v>
      </c>
      <c r="K442" s="37">
        <v>102.58000000000001</v>
      </c>
      <c r="L442" s="36">
        <v>195.53</v>
      </c>
      <c r="M442" s="36">
        <v>187.53</v>
      </c>
      <c r="N442" s="36">
        <v>191.53</v>
      </c>
      <c r="O442" s="35">
        <v>168.47</v>
      </c>
      <c r="P442" s="36">
        <v>166.67</v>
      </c>
      <c r="Q442" s="37">
        <v>167.57</v>
      </c>
      <c r="R442" s="36">
        <v>21.96</v>
      </c>
      <c r="S442" s="36">
        <v>21.36</v>
      </c>
      <c r="T442" s="36">
        <v>21.66</v>
      </c>
      <c r="U442" s="35">
        <v>14.19</v>
      </c>
      <c r="V442" s="36">
        <v>13.59</v>
      </c>
      <c r="W442" s="37">
        <v>13.89</v>
      </c>
      <c r="X442" s="35">
        <v>15.19</v>
      </c>
      <c r="Y442" s="36">
        <v>14.389999999999999</v>
      </c>
      <c r="Z442" s="37">
        <v>14.79</v>
      </c>
      <c r="AA442" s="35">
        <v>95.16</v>
      </c>
      <c r="AB442" s="36">
        <v>91.16</v>
      </c>
      <c r="AC442" s="37">
        <v>93.16</v>
      </c>
      <c r="AD442" s="35">
        <v>86.49</v>
      </c>
      <c r="AE442" s="36">
        <v>82.49</v>
      </c>
      <c r="AF442" s="37">
        <v>84.49</v>
      </c>
      <c r="AG442" s="36">
        <v>19.489999999999998</v>
      </c>
      <c r="AH442" s="36">
        <v>18.63</v>
      </c>
      <c r="AI442" s="36">
        <v>19.059999999999999</v>
      </c>
      <c r="AJ442" s="38"/>
      <c r="AK442" s="39"/>
      <c r="AL442" s="40"/>
      <c r="AM442" s="36">
        <v>112.03</v>
      </c>
      <c r="AN442" s="36">
        <v>110.37</v>
      </c>
      <c r="AO442" s="36">
        <v>111.2</v>
      </c>
      <c r="AP442" s="35">
        <v>40.35</v>
      </c>
      <c r="AQ442" s="36">
        <v>38.75</v>
      </c>
      <c r="AR442" s="37">
        <v>39.549999999999997</v>
      </c>
      <c r="AS442" s="36">
        <v>41.06</v>
      </c>
      <c r="AT442" s="36">
        <v>39.700000000000003</v>
      </c>
      <c r="AU442" s="36">
        <v>40.380000000000003</v>
      </c>
      <c r="AV442" s="35">
        <v>20.77</v>
      </c>
      <c r="AW442" s="36">
        <v>20.169999999999998</v>
      </c>
      <c r="AX442" s="37">
        <v>20.47</v>
      </c>
      <c r="AY442" s="35">
        <v>4.46</v>
      </c>
      <c r="AZ442" s="36">
        <v>4.3</v>
      </c>
      <c r="BA442" s="37">
        <v>4.38</v>
      </c>
      <c r="BB442" s="35">
        <v>1.86</v>
      </c>
      <c r="BC442" s="41">
        <v>1.56</v>
      </c>
      <c r="BD442" s="42">
        <v>1.71</v>
      </c>
      <c r="BE442" s="36">
        <v>0.68</v>
      </c>
      <c r="BF442" s="41">
        <v>0.38000000000000006</v>
      </c>
      <c r="BG442" s="41">
        <v>0.53</v>
      </c>
      <c r="BH442" s="35">
        <v>489.56</v>
      </c>
      <c r="BI442" s="36">
        <v>473.56</v>
      </c>
      <c r="BJ442" s="37">
        <v>481.56</v>
      </c>
      <c r="BK442" s="36">
        <v>41.37</v>
      </c>
      <c r="BL442" s="36">
        <v>40.01</v>
      </c>
      <c r="BM442" s="36">
        <v>40.69</v>
      </c>
      <c r="BN442" s="43">
        <v>1.03</v>
      </c>
      <c r="BO442" s="41">
        <v>0.79</v>
      </c>
      <c r="BP442" s="42">
        <v>0.91</v>
      </c>
      <c r="BQ442" s="36">
        <v>8.31</v>
      </c>
      <c r="BR442" s="36">
        <v>6.3100000000000005</v>
      </c>
      <c r="BS442" s="36">
        <v>7.3100000000000005</v>
      </c>
      <c r="BT442" s="35">
        <v>10.39</v>
      </c>
      <c r="BU442" s="36">
        <v>9.99</v>
      </c>
      <c r="BV442" s="37">
        <v>10.190000000000001</v>
      </c>
      <c r="BW442" s="35">
        <v>2.75</v>
      </c>
      <c r="BX442" s="41">
        <v>2.4699999999999998</v>
      </c>
      <c r="BY442" s="42">
        <v>2.61</v>
      </c>
      <c r="BZ442" s="35">
        <v>9.6199999999999992</v>
      </c>
      <c r="CA442" s="36">
        <v>6.6199999999999992</v>
      </c>
      <c r="CB442" s="37">
        <v>8.1199999999999992</v>
      </c>
      <c r="CC442" s="35">
        <v>6.59</v>
      </c>
      <c r="CD442" s="36">
        <v>6.35</v>
      </c>
      <c r="CE442" s="37">
        <v>6.47</v>
      </c>
      <c r="CF442" s="35">
        <v>1.98</v>
      </c>
      <c r="CG442" s="36">
        <v>1.48</v>
      </c>
      <c r="CH442" s="37">
        <v>1.73</v>
      </c>
      <c r="CI442" s="35">
        <v>0.42</v>
      </c>
      <c r="CJ442" s="36">
        <v>0.38</v>
      </c>
      <c r="CK442" s="37">
        <v>0.4</v>
      </c>
      <c r="CL442" s="35">
        <v>39.700000000000003</v>
      </c>
      <c r="CM442">
        <v>37.300000000000004</v>
      </c>
      <c r="CN442">
        <v>38.5</v>
      </c>
      <c r="CO442">
        <v>6.55</v>
      </c>
      <c r="CP442">
        <v>1.5499999999999998</v>
      </c>
      <c r="CQ442">
        <v>4.05</v>
      </c>
    </row>
    <row r="443" spans="1:95">
      <c r="A443" s="223">
        <v>45729</v>
      </c>
      <c r="B443" s="16" t="s">
        <v>99</v>
      </c>
      <c r="C443" s="35">
        <v>149.31</v>
      </c>
      <c r="D443" s="36">
        <v>147.31</v>
      </c>
      <c r="E443" s="37">
        <v>148.31</v>
      </c>
      <c r="F443" s="35">
        <v>162.97</v>
      </c>
      <c r="G443" s="36">
        <v>159.97</v>
      </c>
      <c r="H443" s="37">
        <v>161.47</v>
      </c>
      <c r="I443" s="35">
        <v>104.87</v>
      </c>
      <c r="J443" s="36">
        <v>101.67</v>
      </c>
      <c r="K443" s="37">
        <v>103.27000000000001</v>
      </c>
      <c r="L443" s="36">
        <v>196.34</v>
      </c>
      <c r="M443" s="36">
        <v>188.34</v>
      </c>
      <c r="N443" s="36">
        <v>192.34</v>
      </c>
      <c r="O443" s="35">
        <v>169.09</v>
      </c>
      <c r="P443" s="36">
        <v>167.29</v>
      </c>
      <c r="Q443" s="37">
        <v>168.19</v>
      </c>
      <c r="R443" s="36">
        <v>21.94</v>
      </c>
      <c r="S443" s="36">
        <v>21.34</v>
      </c>
      <c r="T443" s="36">
        <v>21.64</v>
      </c>
      <c r="U443" s="35">
        <v>14.26</v>
      </c>
      <c r="V443" s="36">
        <v>13.66</v>
      </c>
      <c r="W443" s="37">
        <v>13.96</v>
      </c>
      <c r="X443" s="35">
        <v>15.12</v>
      </c>
      <c r="Y443" s="36">
        <v>14.319999999999999</v>
      </c>
      <c r="Z443" s="37">
        <v>14.719999999999999</v>
      </c>
      <c r="AA443" s="35">
        <v>95.84</v>
      </c>
      <c r="AB443" s="36">
        <v>91.84</v>
      </c>
      <c r="AC443" s="37">
        <v>93.84</v>
      </c>
      <c r="AD443" s="35">
        <v>87.07</v>
      </c>
      <c r="AE443" s="36">
        <v>83.07</v>
      </c>
      <c r="AF443" s="37">
        <v>85.07</v>
      </c>
      <c r="AG443" s="36">
        <v>19.52</v>
      </c>
      <c r="AH443" s="36">
        <v>18.66</v>
      </c>
      <c r="AI443" s="36">
        <v>19.09</v>
      </c>
      <c r="AJ443" s="38"/>
      <c r="AK443" s="39"/>
      <c r="AL443" s="40"/>
      <c r="AM443" s="36">
        <v>112.15</v>
      </c>
      <c r="AN443" s="36">
        <v>110.49000000000001</v>
      </c>
      <c r="AO443" s="36">
        <v>111.32000000000001</v>
      </c>
      <c r="AP443" s="35">
        <v>40.42</v>
      </c>
      <c r="AQ443" s="36">
        <v>38.82</v>
      </c>
      <c r="AR443" s="37">
        <v>39.620000000000005</v>
      </c>
      <c r="AS443" s="36">
        <v>41.03</v>
      </c>
      <c r="AT443" s="36">
        <v>39.67</v>
      </c>
      <c r="AU443" s="36">
        <v>40.35</v>
      </c>
      <c r="AV443" s="35">
        <v>20.78</v>
      </c>
      <c r="AW443" s="36">
        <v>20.18</v>
      </c>
      <c r="AX443" s="37">
        <v>20.48</v>
      </c>
      <c r="AY443" s="35">
        <v>4.47</v>
      </c>
      <c r="AZ443" s="36">
        <v>4.3099999999999996</v>
      </c>
      <c r="BA443" s="37">
        <v>4.3899999999999997</v>
      </c>
      <c r="BB443" s="35">
        <v>1.86</v>
      </c>
      <c r="BC443" s="41">
        <v>1.56</v>
      </c>
      <c r="BD443" s="42">
        <v>1.71</v>
      </c>
      <c r="BE443" s="36">
        <v>0.68</v>
      </c>
      <c r="BF443" s="41">
        <v>0.38000000000000006</v>
      </c>
      <c r="BG443" s="41">
        <v>0.53</v>
      </c>
      <c r="BH443" s="35">
        <v>490.31</v>
      </c>
      <c r="BI443" s="36">
        <v>474.31</v>
      </c>
      <c r="BJ443" s="37">
        <v>482.31</v>
      </c>
      <c r="BK443" s="36">
        <v>41.45</v>
      </c>
      <c r="BL443" s="36">
        <v>40.090000000000003</v>
      </c>
      <c r="BM443" s="36">
        <v>40.770000000000003</v>
      </c>
      <c r="BN443" s="43">
        <v>1.03</v>
      </c>
      <c r="BO443" s="41">
        <v>0.79</v>
      </c>
      <c r="BP443" s="42">
        <v>0.91</v>
      </c>
      <c r="BQ443" s="36">
        <v>8.36</v>
      </c>
      <c r="BR443" s="36">
        <v>6.3599999999999994</v>
      </c>
      <c r="BS443" s="36">
        <v>7.3599999999999994</v>
      </c>
      <c r="BT443" s="35">
        <v>10.45</v>
      </c>
      <c r="BU443" s="36">
        <v>10.049999999999999</v>
      </c>
      <c r="BV443" s="37">
        <v>10.25</v>
      </c>
      <c r="BW443" s="35">
        <v>2.74</v>
      </c>
      <c r="BX443" s="41">
        <v>2.46</v>
      </c>
      <c r="BY443" s="42">
        <v>2.6</v>
      </c>
      <c r="BZ443" s="35">
        <v>9.59</v>
      </c>
      <c r="CA443" s="36">
        <v>6.59</v>
      </c>
      <c r="CB443" s="37">
        <v>8.09</v>
      </c>
      <c r="CC443" s="35">
        <v>6.58</v>
      </c>
      <c r="CD443" s="36">
        <v>6.34</v>
      </c>
      <c r="CE443" s="37">
        <v>6.46</v>
      </c>
      <c r="CF443" s="35">
        <v>1.95</v>
      </c>
      <c r="CG443" s="36">
        <v>1.45</v>
      </c>
      <c r="CH443" s="37">
        <v>1.7</v>
      </c>
      <c r="CI443" s="35">
        <v>0.43</v>
      </c>
      <c r="CJ443" s="36">
        <v>0.39</v>
      </c>
      <c r="CK443" s="37">
        <v>0.41000000000000003</v>
      </c>
      <c r="CL443" s="35">
        <v>39.72</v>
      </c>
      <c r="CM443">
        <v>37.32</v>
      </c>
      <c r="CN443">
        <v>38.519999999999996</v>
      </c>
      <c r="CO443">
        <v>6.56</v>
      </c>
      <c r="CP443">
        <v>1.5599999999999996</v>
      </c>
      <c r="CQ443">
        <v>4.0599999999999996</v>
      </c>
    </row>
    <row r="444" spans="1:95">
      <c r="A444" s="223">
        <v>45730</v>
      </c>
      <c r="B444" s="16" t="s">
        <v>100</v>
      </c>
      <c r="C444" s="35">
        <v>149.35</v>
      </c>
      <c r="D444" s="36">
        <v>147.35</v>
      </c>
      <c r="E444" s="37">
        <v>148.35</v>
      </c>
      <c r="F444" s="35">
        <v>162.52000000000001</v>
      </c>
      <c r="G444" s="36">
        <v>159.52000000000001</v>
      </c>
      <c r="H444" s="37">
        <v>161.02000000000001</v>
      </c>
      <c r="I444" s="35">
        <v>104.42</v>
      </c>
      <c r="J444" s="36">
        <v>101.22</v>
      </c>
      <c r="K444" s="37">
        <v>102.82</v>
      </c>
      <c r="L444" s="36">
        <v>196.23</v>
      </c>
      <c r="M444" s="36">
        <v>188.23</v>
      </c>
      <c r="N444" s="36">
        <v>192.23</v>
      </c>
      <c r="O444" s="35">
        <v>168.94</v>
      </c>
      <c r="P444" s="36">
        <v>167.14</v>
      </c>
      <c r="Q444" s="37">
        <v>168.04</v>
      </c>
      <c r="R444" s="36">
        <v>21.88</v>
      </c>
      <c r="S444" s="36">
        <v>21.279999999999998</v>
      </c>
      <c r="T444" s="36">
        <v>21.58</v>
      </c>
      <c r="U444" s="35">
        <v>14.19</v>
      </c>
      <c r="V444" s="36">
        <v>13.59</v>
      </c>
      <c r="W444" s="37">
        <v>13.89</v>
      </c>
      <c r="X444" s="35">
        <v>14.95</v>
      </c>
      <c r="Y444" s="36">
        <v>14.149999999999999</v>
      </c>
      <c r="Z444" s="37">
        <v>14.549999999999999</v>
      </c>
      <c r="AA444" s="35">
        <v>95.28</v>
      </c>
      <c r="AB444" s="36">
        <v>91.28</v>
      </c>
      <c r="AC444" s="37">
        <v>93.28</v>
      </c>
      <c r="AD444" s="35">
        <v>86.62</v>
      </c>
      <c r="AE444" s="36">
        <v>82.62</v>
      </c>
      <c r="AF444" s="37">
        <v>84.62</v>
      </c>
      <c r="AG444" s="36">
        <v>19.52</v>
      </c>
      <c r="AH444" s="36">
        <v>18.66</v>
      </c>
      <c r="AI444" s="36">
        <v>19.09</v>
      </c>
      <c r="AJ444" s="38"/>
      <c r="AK444" s="39"/>
      <c r="AL444" s="40"/>
      <c r="AM444" s="36">
        <v>111.88</v>
      </c>
      <c r="AN444" s="36">
        <v>110.22</v>
      </c>
      <c r="AO444" s="36">
        <v>111.05</v>
      </c>
      <c r="AP444" s="35">
        <v>40.43</v>
      </c>
      <c r="AQ444" s="36">
        <v>38.83</v>
      </c>
      <c r="AR444" s="37">
        <v>39.629999999999995</v>
      </c>
      <c r="AS444" s="36">
        <v>41.15</v>
      </c>
      <c r="AT444" s="36">
        <v>39.79</v>
      </c>
      <c r="AU444" s="36">
        <v>40.47</v>
      </c>
      <c r="AV444" s="35">
        <v>20.76</v>
      </c>
      <c r="AW444" s="36">
        <v>20.16</v>
      </c>
      <c r="AX444" s="37">
        <v>20.46</v>
      </c>
      <c r="AY444" s="35">
        <v>4.49</v>
      </c>
      <c r="AZ444" s="36">
        <v>4.33</v>
      </c>
      <c r="BA444" s="37">
        <v>4.41</v>
      </c>
      <c r="BB444" s="35">
        <v>1.87</v>
      </c>
      <c r="BC444" s="41">
        <v>1.57</v>
      </c>
      <c r="BD444" s="42">
        <v>1.7200000000000002</v>
      </c>
      <c r="BE444" s="36">
        <v>0.68</v>
      </c>
      <c r="BF444" s="41">
        <v>0.38000000000000006</v>
      </c>
      <c r="BG444" s="41">
        <v>0.53</v>
      </c>
      <c r="BH444" s="35">
        <v>490.28</v>
      </c>
      <c r="BI444" s="36">
        <v>474.28</v>
      </c>
      <c r="BJ444" s="37">
        <v>482.28</v>
      </c>
      <c r="BK444" s="36">
        <v>41.33</v>
      </c>
      <c r="BL444" s="36">
        <v>39.97</v>
      </c>
      <c r="BM444" s="36">
        <v>40.65</v>
      </c>
      <c r="BN444" s="43">
        <v>1.03</v>
      </c>
      <c r="BO444" s="41">
        <v>0.79</v>
      </c>
      <c r="BP444" s="42">
        <v>0.91</v>
      </c>
      <c r="BQ444" s="36">
        <v>8.39</v>
      </c>
      <c r="BR444" s="36">
        <v>6.3900000000000006</v>
      </c>
      <c r="BS444" s="36">
        <v>7.3900000000000006</v>
      </c>
      <c r="BT444" s="35">
        <v>10.41</v>
      </c>
      <c r="BU444" s="36">
        <v>10.01</v>
      </c>
      <c r="BV444" s="37">
        <v>10.210000000000001</v>
      </c>
      <c r="BW444" s="35">
        <v>2.75</v>
      </c>
      <c r="BX444" s="41">
        <v>2.4699999999999998</v>
      </c>
      <c r="BY444" s="42">
        <v>2.61</v>
      </c>
      <c r="BZ444" s="35">
        <v>9.6</v>
      </c>
      <c r="CA444" s="36">
        <v>6.6</v>
      </c>
      <c r="CB444" s="37">
        <v>8.1</v>
      </c>
      <c r="CC444" s="35">
        <v>6.56</v>
      </c>
      <c r="CD444" s="36">
        <v>6.3199999999999994</v>
      </c>
      <c r="CE444" s="37">
        <v>6.4399999999999995</v>
      </c>
      <c r="CF444" s="35">
        <v>1.98</v>
      </c>
      <c r="CG444" s="36">
        <v>1.48</v>
      </c>
      <c r="CH444" s="37">
        <v>1.73</v>
      </c>
      <c r="CI444" s="35">
        <v>0.42</v>
      </c>
      <c r="CJ444" s="36">
        <v>0.38</v>
      </c>
      <c r="CK444" s="37">
        <v>0.4</v>
      </c>
      <c r="CL444" s="35">
        <v>39.729999999999997</v>
      </c>
      <c r="CM444">
        <v>37.33</v>
      </c>
      <c r="CN444">
        <v>38.53</v>
      </c>
      <c r="CO444">
        <v>6.56</v>
      </c>
      <c r="CP444">
        <v>1.5599999999999996</v>
      </c>
      <c r="CQ444">
        <v>4.0599999999999996</v>
      </c>
    </row>
    <row r="445" spans="1:95">
      <c r="A445" s="223">
        <v>45731</v>
      </c>
      <c r="B445" s="16" t="s">
        <v>307</v>
      </c>
      <c r="C445" s="35"/>
      <c r="D445" s="36"/>
      <c r="E445" s="37"/>
      <c r="F445" s="35"/>
      <c r="G445" s="36"/>
      <c r="H445" s="37"/>
      <c r="I445" s="35"/>
      <c r="J445" s="36"/>
      <c r="K445" s="37"/>
      <c r="L445" s="36"/>
      <c r="M445" s="36"/>
      <c r="N445" s="36"/>
      <c r="O445" s="35"/>
      <c r="P445" s="36"/>
      <c r="Q445" s="37"/>
      <c r="R445" s="36"/>
      <c r="S445" s="36"/>
      <c r="T445" s="36"/>
      <c r="U445" s="35"/>
      <c r="V445" s="36"/>
      <c r="W445" s="37"/>
      <c r="X445" s="35"/>
      <c r="Y445" s="36"/>
      <c r="Z445" s="37"/>
      <c r="AA445" s="35"/>
      <c r="AB445" s="36"/>
      <c r="AC445" s="37"/>
      <c r="AD445" s="35"/>
      <c r="AE445" s="36"/>
      <c r="AF445" s="37"/>
      <c r="AG445" s="36"/>
      <c r="AH445" s="36"/>
      <c r="AI445" s="36"/>
      <c r="AJ445" s="38"/>
      <c r="AK445" s="39"/>
      <c r="AL445" s="40"/>
      <c r="AM445" s="36"/>
      <c r="AN445" s="36"/>
      <c r="AO445" s="36"/>
      <c r="AP445" s="35"/>
      <c r="AQ445" s="36"/>
      <c r="AR445" s="37"/>
      <c r="AS445" s="36"/>
      <c r="AT445" s="36"/>
      <c r="AU445" s="36"/>
      <c r="AV445" s="35"/>
      <c r="AW445" s="36"/>
      <c r="AX445" s="37"/>
      <c r="AY445" s="35"/>
      <c r="AZ445" s="36"/>
      <c r="BA445" s="37"/>
      <c r="BB445" s="35"/>
      <c r="BC445" s="41"/>
      <c r="BD445" s="42"/>
      <c r="BE445" s="36"/>
      <c r="BF445" s="41"/>
      <c r="BG445" s="41"/>
      <c r="BH445" s="35"/>
      <c r="BI445" s="36"/>
      <c r="BJ445" s="37"/>
      <c r="BK445" s="36"/>
      <c r="BL445" s="36"/>
      <c r="BM445" s="36"/>
      <c r="BN445" s="43"/>
      <c r="BO445" s="41"/>
      <c r="BP445" s="42"/>
      <c r="BQ445" s="36"/>
      <c r="BR445" s="36"/>
      <c r="BS445" s="36"/>
      <c r="BT445" s="35"/>
      <c r="BU445" s="36"/>
      <c r="BV445" s="37"/>
      <c r="BW445" s="35"/>
      <c r="BX445" s="41"/>
      <c r="BY445" s="42"/>
      <c r="BZ445" s="35"/>
      <c r="CA445" s="36"/>
      <c r="CB445" s="37"/>
      <c r="CC445" s="35"/>
      <c r="CD445" s="36"/>
      <c r="CE445" s="37"/>
      <c r="CF445" s="35"/>
      <c r="CG445" s="36"/>
      <c r="CH445" s="37"/>
      <c r="CI445" s="35"/>
      <c r="CJ445" s="36"/>
      <c r="CK445" s="37"/>
      <c r="CL445" s="35"/>
    </row>
    <row r="446" spans="1:95">
      <c r="A446" s="223">
        <v>45732</v>
      </c>
      <c r="B446" s="16" t="s">
        <v>308</v>
      </c>
      <c r="C446" s="35"/>
      <c r="D446" s="36"/>
      <c r="E446" s="37"/>
      <c r="F446" s="35"/>
      <c r="G446" s="36"/>
      <c r="H446" s="37"/>
      <c r="I446" s="35"/>
      <c r="J446" s="36"/>
      <c r="K446" s="37"/>
      <c r="L446" s="36"/>
      <c r="M446" s="36"/>
      <c r="N446" s="36"/>
      <c r="O446" s="35"/>
      <c r="P446" s="36"/>
      <c r="Q446" s="37"/>
      <c r="R446" s="36"/>
      <c r="S446" s="36"/>
      <c r="T446" s="36"/>
      <c r="U446" s="35"/>
      <c r="V446" s="36"/>
      <c r="W446" s="37"/>
      <c r="X446" s="35"/>
      <c r="Y446" s="36"/>
      <c r="Z446" s="37"/>
      <c r="AA446" s="35"/>
      <c r="AB446" s="36"/>
      <c r="AC446" s="37"/>
      <c r="AD446" s="35"/>
      <c r="AE446" s="36"/>
      <c r="AF446" s="37"/>
      <c r="AG446" s="36"/>
      <c r="AH446" s="36"/>
      <c r="AI446" s="36"/>
      <c r="AJ446" s="38"/>
      <c r="AK446" s="39"/>
      <c r="AL446" s="40"/>
      <c r="AM446" s="36"/>
      <c r="AN446" s="36"/>
      <c r="AO446" s="36"/>
      <c r="AP446" s="35"/>
      <c r="AQ446" s="36"/>
      <c r="AR446" s="37"/>
      <c r="AS446" s="36"/>
      <c r="AT446" s="36"/>
      <c r="AU446" s="36"/>
      <c r="AV446" s="35"/>
      <c r="AW446" s="36"/>
      <c r="AX446" s="37"/>
      <c r="AY446" s="35"/>
      <c r="AZ446" s="36"/>
      <c r="BA446" s="37"/>
      <c r="BB446" s="35"/>
      <c r="BC446" s="41"/>
      <c r="BD446" s="42"/>
      <c r="BE446" s="36"/>
      <c r="BF446" s="41"/>
      <c r="BG446" s="41"/>
      <c r="BH446" s="35"/>
      <c r="BI446" s="36"/>
      <c r="BJ446" s="37"/>
      <c r="BK446" s="36"/>
      <c r="BL446" s="36"/>
      <c r="BM446" s="36"/>
      <c r="BN446" s="43"/>
      <c r="BO446" s="41"/>
      <c r="BP446" s="42"/>
      <c r="BQ446" s="36"/>
      <c r="BR446" s="36"/>
      <c r="BS446" s="36"/>
      <c r="BT446" s="35"/>
      <c r="BU446" s="36"/>
      <c r="BV446" s="37"/>
      <c r="BW446" s="35"/>
      <c r="BX446" s="41"/>
      <c r="BY446" s="42"/>
      <c r="BZ446" s="35"/>
      <c r="CA446" s="36"/>
      <c r="CB446" s="37"/>
      <c r="CC446" s="35"/>
      <c r="CD446" s="36"/>
      <c r="CE446" s="37"/>
      <c r="CF446" s="35"/>
      <c r="CG446" s="36"/>
      <c r="CH446" s="37"/>
      <c r="CI446" s="35"/>
      <c r="CJ446" s="36"/>
      <c r="CK446" s="37"/>
      <c r="CL446" s="35"/>
    </row>
    <row r="447" spans="1:95">
      <c r="A447" s="223">
        <v>45733</v>
      </c>
      <c r="B447" s="16" t="s">
        <v>96</v>
      </c>
      <c r="C447" s="35">
        <v>149.84</v>
      </c>
      <c r="D447" s="36">
        <v>147.84</v>
      </c>
      <c r="E447" s="37">
        <v>148.84</v>
      </c>
      <c r="F447" s="35">
        <v>163.38999999999999</v>
      </c>
      <c r="G447" s="36">
        <v>160.38999999999999</v>
      </c>
      <c r="H447" s="37">
        <v>161.88999999999999</v>
      </c>
      <c r="I447" s="35">
        <v>105.16</v>
      </c>
      <c r="J447" s="36">
        <v>101.96</v>
      </c>
      <c r="K447" s="37">
        <v>103.56</v>
      </c>
      <c r="L447" s="36">
        <v>196.48</v>
      </c>
      <c r="M447" s="36">
        <v>188.48</v>
      </c>
      <c r="N447" s="36">
        <v>192.48</v>
      </c>
      <c r="O447" s="35">
        <v>169.16</v>
      </c>
      <c r="P447" s="36">
        <v>167.35999999999999</v>
      </c>
      <c r="Q447" s="37">
        <v>168.26</v>
      </c>
      <c r="R447" s="36">
        <v>22</v>
      </c>
      <c r="S447" s="36">
        <v>21.4</v>
      </c>
      <c r="T447" s="36">
        <v>21.7</v>
      </c>
      <c r="U447" s="35">
        <v>14.3</v>
      </c>
      <c r="V447" s="36">
        <v>13.700000000000001</v>
      </c>
      <c r="W447" s="37">
        <v>14</v>
      </c>
      <c r="X447" s="35">
        <v>15.1</v>
      </c>
      <c r="Y447" s="36">
        <v>14.299999999999999</v>
      </c>
      <c r="Z447" s="37">
        <v>14.7</v>
      </c>
      <c r="AA447" s="35">
        <v>96.22</v>
      </c>
      <c r="AB447" s="36">
        <v>92.22</v>
      </c>
      <c r="AC447" s="37">
        <v>94.22</v>
      </c>
      <c r="AD447" s="35">
        <v>87.61</v>
      </c>
      <c r="AE447" s="36">
        <v>83.61</v>
      </c>
      <c r="AF447" s="37">
        <v>85.61</v>
      </c>
      <c r="AG447" s="36">
        <v>19.579999999999998</v>
      </c>
      <c r="AH447" s="36">
        <v>18.72</v>
      </c>
      <c r="AI447" s="36">
        <v>19.149999999999999</v>
      </c>
      <c r="AJ447" s="38"/>
      <c r="AK447" s="39"/>
      <c r="AL447" s="40"/>
      <c r="AM447" s="36">
        <v>112.47</v>
      </c>
      <c r="AN447" s="36">
        <v>110.81</v>
      </c>
      <c r="AO447" s="36">
        <v>111.64</v>
      </c>
      <c r="AP447" s="35">
        <v>40.54</v>
      </c>
      <c r="AQ447" s="36">
        <v>38.94</v>
      </c>
      <c r="AR447" s="37">
        <v>39.739999999999995</v>
      </c>
      <c r="AS447" s="36">
        <v>41.27</v>
      </c>
      <c r="AT447" s="36">
        <v>39.910000000000004</v>
      </c>
      <c r="AU447" s="36">
        <v>40.590000000000003</v>
      </c>
      <c r="AV447" s="35">
        <v>20.89</v>
      </c>
      <c r="AW447" s="36">
        <v>20.29</v>
      </c>
      <c r="AX447" s="37">
        <v>20.59</v>
      </c>
      <c r="AY447" s="35">
        <v>4.5</v>
      </c>
      <c r="AZ447" s="36">
        <v>4.34</v>
      </c>
      <c r="BA447" s="37">
        <v>4.42</v>
      </c>
      <c r="BB447" s="35">
        <v>1.87</v>
      </c>
      <c r="BC447" s="41">
        <v>1.57</v>
      </c>
      <c r="BD447" s="42">
        <v>1.7200000000000002</v>
      </c>
      <c r="BE447" s="36">
        <v>0.68</v>
      </c>
      <c r="BF447" s="41">
        <v>0.38000000000000006</v>
      </c>
      <c r="BG447" s="41">
        <v>0.53</v>
      </c>
      <c r="BH447" s="35">
        <v>492.03</v>
      </c>
      <c r="BI447" s="36">
        <v>476.03</v>
      </c>
      <c r="BJ447" s="37">
        <v>484.03</v>
      </c>
      <c r="BK447" s="36">
        <v>41.58</v>
      </c>
      <c r="BL447" s="36">
        <v>40.22</v>
      </c>
      <c r="BM447" s="36">
        <v>40.9</v>
      </c>
      <c r="BN447" s="43">
        <v>1.03</v>
      </c>
      <c r="BO447" s="41">
        <v>0.79</v>
      </c>
      <c r="BP447" s="42">
        <v>0.91</v>
      </c>
      <c r="BQ447" s="36">
        <v>8.4700000000000006</v>
      </c>
      <c r="BR447" s="36">
        <v>6.4700000000000006</v>
      </c>
      <c r="BS447" s="36">
        <v>7.4700000000000006</v>
      </c>
      <c r="BT447" s="35">
        <v>10.47</v>
      </c>
      <c r="BU447" s="36">
        <v>10.07</v>
      </c>
      <c r="BV447" s="37">
        <v>10.27</v>
      </c>
      <c r="BW447" s="35">
        <v>2.76</v>
      </c>
      <c r="BX447" s="41">
        <v>2.4799999999999995</v>
      </c>
      <c r="BY447" s="42">
        <v>2.6199999999999997</v>
      </c>
      <c r="BZ447" s="35">
        <v>9.67</v>
      </c>
      <c r="CA447" s="36">
        <v>6.67</v>
      </c>
      <c r="CB447" s="37">
        <v>8.17</v>
      </c>
      <c r="CC447" s="35">
        <v>6.6</v>
      </c>
      <c r="CD447" s="36">
        <v>6.3599999999999994</v>
      </c>
      <c r="CE447" s="37">
        <v>6.4799999999999995</v>
      </c>
      <c r="CF447" s="35">
        <v>1.99</v>
      </c>
      <c r="CG447" s="36">
        <v>1.49</v>
      </c>
      <c r="CH447" s="37">
        <v>1.74</v>
      </c>
      <c r="CI447" s="35">
        <v>0.43</v>
      </c>
      <c r="CJ447" s="36">
        <v>0.39</v>
      </c>
      <c r="CK447" s="37">
        <v>0.41000000000000003</v>
      </c>
      <c r="CL447" s="35">
        <v>39.86</v>
      </c>
      <c r="CM447">
        <v>37.46</v>
      </c>
      <c r="CN447">
        <v>38.659999999999997</v>
      </c>
      <c r="CO447">
        <v>6.56</v>
      </c>
      <c r="CP447">
        <v>1.5599999999999996</v>
      </c>
      <c r="CQ447">
        <v>4.0599999999999996</v>
      </c>
    </row>
    <row r="448" spans="1:95">
      <c r="A448" s="223">
        <v>45734</v>
      </c>
      <c r="B448" s="16" t="s">
        <v>97</v>
      </c>
      <c r="C448" s="35">
        <v>150.53</v>
      </c>
      <c r="D448" s="36">
        <v>148.53</v>
      </c>
      <c r="E448" s="37">
        <v>149.53</v>
      </c>
      <c r="F448" s="35">
        <v>164.7</v>
      </c>
      <c r="G448" s="36">
        <v>161.69999999999999</v>
      </c>
      <c r="H448" s="37">
        <v>163.19999999999999</v>
      </c>
      <c r="I448" s="35">
        <v>106.21</v>
      </c>
      <c r="J448" s="36">
        <v>103.00999999999999</v>
      </c>
      <c r="K448" s="37">
        <v>104.60999999999999</v>
      </c>
      <c r="L448" s="36">
        <v>198.19</v>
      </c>
      <c r="M448" s="36">
        <v>190.19</v>
      </c>
      <c r="N448" s="36">
        <v>194.19</v>
      </c>
      <c r="O448" s="35">
        <v>170.55</v>
      </c>
      <c r="P448" s="36">
        <v>168.75</v>
      </c>
      <c r="Q448" s="37">
        <v>169.65</v>
      </c>
      <c r="R448" s="36">
        <v>22.18</v>
      </c>
      <c r="S448" s="36">
        <v>21.58</v>
      </c>
      <c r="T448" s="36">
        <v>21.88</v>
      </c>
      <c r="U448" s="35">
        <v>14.47</v>
      </c>
      <c r="V448" s="36">
        <v>13.870000000000001</v>
      </c>
      <c r="W448" s="37">
        <v>14.170000000000002</v>
      </c>
      <c r="X448" s="35">
        <v>15.22</v>
      </c>
      <c r="Y448" s="36">
        <v>14.42</v>
      </c>
      <c r="Z448" s="37">
        <v>14.82</v>
      </c>
      <c r="AA448" s="35">
        <v>97.43</v>
      </c>
      <c r="AB448" s="36">
        <v>93.43</v>
      </c>
      <c r="AC448" s="37">
        <v>95.43</v>
      </c>
      <c r="AD448" s="35">
        <v>89.09</v>
      </c>
      <c r="AE448" s="36">
        <v>85.09</v>
      </c>
      <c r="AF448" s="37">
        <v>87.09</v>
      </c>
      <c r="AG448" s="36">
        <v>19.670000000000002</v>
      </c>
      <c r="AH448" s="36">
        <v>18.810000000000002</v>
      </c>
      <c r="AI448" s="36">
        <v>19.240000000000002</v>
      </c>
      <c r="AJ448" s="38"/>
      <c r="AK448" s="39"/>
      <c r="AL448" s="40"/>
      <c r="AM448" s="36">
        <v>113.26</v>
      </c>
      <c r="AN448" s="36">
        <v>111.60000000000001</v>
      </c>
      <c r="AO448" s="36">
        <v>112.43</v>
      </c>
      <c r="AP448" s="35">
        <v>40.729999999999997</v>
      </c>
      <c r="AQ448" s="36">
        <v>39.129999999999995</v>
      </c>
      <c r="AR448" s="37">
        <v>39.929999999999993</v>
      </c>
      <c r="AS448" s="36">
        <v>41.46</v>
      </c>
      <c r="AT448" s="36">
        <v>40.1</v>
      </c>
      <c r="AU448" s="36">
        <v>40.78</v>
      </c>
      <c r="AV448" s="35">
        <v>20.99</v>
      </c>
      <c r="AW448" s="36">
        <v>20.389999999999997</v>
      </c>
      <c r="AX448" s="37">
        <v>20.689999999999998</v>
      </c>
      <c r="AY448" s="35">
        <v>4.53</v>
      </c>
      <c r="AZ448" s="36">
        <v>4.37</v>
      </c>
      <c r="BA448" s="37">
        <v>4.45</v>
      </c>
      <c r="BB448" s="35">
        <v>1.88</v>
      </c>
      <c r="BC448" s="41">
        <v>1.5799999999999998</v>
      </c>
      <c r="BD448" s="42">
        <v>1.73</v>
      </c>
      <c r="BE448" s="36">
        <v>0.69</v>
      </c>
      <c r="BF448" s="41">
        <v>0.38999999999999996</v>
      </c>
      <c r="BG448" s="41">
        <v>0.53999999999999992</v>
      </c>
      <c r="BH448" s="35">
        <v>492.39</v>
      </c>
      <c r="BI448" s="36">
        <v>476.39</v>
      </c>
      <c r="BJ448" s="37">
        <v>484.39</v>
      </c>
      <c r="BK448" s="36">
        <v>41.77</v>
      </c>
      <c r="BL448" s="36">
        <v>40.410000000000004</v>
      </c>
      <c r="BM448" s="36">
        <v>41.09</v>
      </c>
      <c r="BN448" s="43">
        <v>1.03</v>
      </c>
      <c r="BO448" s="41">
        <v>0.79</v>
      </c>
      <c r="BP448" s="42">
        <v>0.91</v>
      </c>
      <c r="BQ448" s="36">
        <v>8.5</v>
      </c>
      <c r="BR448" s="36">
        <v>6.5</v>
      </c>
      <c r="BS448" s="36">
        <v>7.5</v>
      </c>
      <c r="BT448" s="35">
        <v>10.57</v>
      </c>
      <c r="BU448" s="36">
        <v>10.17</v>
      </c>
      <c r="BV448" s="37">
        <v>10.370000000000001</v>
      </c>
      <c r="BW448" s="35">
        <v>2.77</v>
      </c>
      <c r="BX448" s="41">
        <v>2.4900000000000002</v>
      </c>
      <c r="BY448" s="42">
        <v>2.63</v>
      </c>
      <c r="BZ448" s="35">
        <v>9.76</v>
      </c>
      <c r="CA448" s="36">
        <v>6.76</v>
      </c>
      <c r="CB448" s="37">
        <v>8.26</v>
      </c>
      <c r="CC448" s="35">
        <v>6.64</v>
      </c>
      <c r="CD448" s="36">
        <v>6.3999999999999995</v>
      </c>
      <c r="CE448" s="37">
        <v>6.52</v>
      </c>
      <c r="CF448" s="35">
        <v>2.04</v>
      </c>
      <c r="CG448" s="36">
        <v>1.54</v>
      </c>
      <c r="CH448" s="37">
        <v>1.79</v>
      </c>
      <c r="CI448" s="35">
        <v>0.43</v>
      </c>
      <c r="CJ448" s="36">
        <v>0.39</v>
      </c>
      <c r="CK448" s="37">
        <v>0.41000000000000003</v>
      </c>
      <c r="CL448" s="35">
        <v>40.21</v>
      </c>
      <c r="CM448">
        <v>37.81</v>
      </c>
      <c r="CN448">
        <v>39.010000000000005</v>
      </c>
      <c r="CO448">
        <v>6.58</v>
      </c>
      <c r="CP448">
        <v>1.58</v>
      </c>
      <c r="CQ448">
        <v>4.08</v>
      </c>
    </row>
    <row r="449" spans="1:95">
      <c r="A449" s="223">
        <v>45735</v>
      </c>
      <c r="B449" s="16" t="s">
        <v>98</v>
      </c>
      <c r="C449" s="35">
        <v>150.69</v>
      </c>
      <c r="D449" s="36">
        <v>148.69</v>
      </c>
      <c r="E449" s="37">
        <v>149.69</v>
      </c>
      <c r="F449" s="35">
        <v>165.22</v>
      </c>
      <c r="G449" s="36">
        <v>162.22</v>
      </c>
      <c r="H449" s="37">
        <v>163.72</v>
      </c>
      <c r="I449" s="35">
        <v>106.28</v>
      </c>
      <c r="J449" s="36">
        <v>103.08</v>
      </c>
      <c r="K449" s="37">
        <v>104.68</v>
      </c>
      <c r="L449" s="36">
        <v>198.6</v>
      </c>
      <c r="M449" s="36">
        <v>190.6</v>
      </c>
      <c r="N449" s="36">
        <v>194.6</v>
      </c>
      <c r="O449" s="35">
        <v>171.47</v>
      </c>
      <c r="P449" s="36">
        <v>169.67</v>
      </c>
      <c r="Q449" s="37">
        <v>170.57</v>
      </c>
      <c r="R449" s="36">
        <v>22.25</v>
      </c>
      <c r="S449" s="36">
        <v>21.65</v>
      </c>
      <c r="T449" s="36">
        <v>21.95</v>
      </c>
      <c r="U449" s="35">
        <v>14.46</v>
      </c>
      <c r="V449" s="36">
        <v>13.860000000000001</v>
      </c>
      <c r="W449" s="37">
        <v>14.16</v>
      </c>
      <c r="X449" s="35">
        <v>15.3</v>
      </c>
      <c r="Y449" s="36">
        <v>14.5</v>
      </c>
      <c r="Z449" s="37">
        <v>14.9</v>
      </c>
      <c r="AA449" s="35">
        <v>97.25</v>
      </c>
      <c r="AB449" s="36">
        <v>93.25</v>
      </c>
      <c r="AC449" s="37">
        <v>95.25</v>
      </c>
      <c r="AD449" s="35">
        <v>89.09</v>
      </c>
      <c r="AE449" s="36">
        <v>85.09</v>
      </c>
      <c r="AF449" s="37">
        <v>87.09</v>
      </c>
      <c r="AG449" s="36">
        <v>19.7</v>
      </c>
      <c r="AH449" s="36">
        <v>18.84</v>
      </c>
      <c r="AI449" s="36">
        <v>19.27</v>
      </c>
      <c r="AJ449" s="38"/>
      <c r="AK449" s="39"/>
      <c r="AL449" s="40"/>
      <c r="AM449" s="36">
        <v>113.29</v>
      </c>
      <c r="AN449" s="36">
        <v>111.63000000000001</v>
      </c>
      <c r="AO449" s="36">
        <v>112.46000000000001</v>
      </c>
      <c r="AP449" s="35">
        <v>40.79</v>
      </c>
      <c r="AQ449" s="36">
        <v>39.19</v>
      </c>
      <c r="AR449" s="37">
        <v>39.989999999999995</v>
      </c>
      <c r="AS449" s="36">
        <v>41.5</v>
      </c>
      <c r="AT449" s="36">
        <v>40.14</v>
      </c>
      <c r="AU449" s="36">
        <v>40.82</v>
      </c>
      <c r="AV449" s="35">
        <v>21</v>
      </c>
      <c r="AW449" s="36">
        <v>20.399999999999999</v>
      </c>
      <c r="AX449" s="37">
        <v>20.7</v>
      </c>
      <c r="AY449" s="35">
        <v>4.53</v>
      </c>
      <c r="AZ449" s="36">
        <v>4.37</v>
      </c>
      <c r="BA449" s="37">
        <v>4.45</v>
      </c>
      <c r="BB449" s="35">
        <v>1.89</v>
      </c>
      <c r="BC449" s="41">
        <v>1.5899999999999999</v>
      </c>
      <c r="BD449" s="42">
        <v>1.7399999999999998</v>
      </c>
      <c r="BE449" s="36">
        <v>0.69</v>
      </c>
      <c r="BF449" s="41">
        <v>0.38999999999999996</v>
      </c>
      <c r="BG449" s="41">
        <v>0.53999999999999992</v>
      </c>
      <c r="BH449" s="35">
        <v>494.96</v>
      </c>
      <c r="BI449" s="36">
        <v>478.96</v>
      </c>
      <c r="BJ449" s="37">
        <v>486.96</v>
      </c>
      <c r="BK449" s="36">
        <v>41.7</v>
      </c>
      <c r="BL449" s="36">
        <v>40.340000000000003</v>
      </c>
      <c r="BM449" s="36">
        <v>41.02</v>
      </c>
      <c r="BN449" s="43">
        <v>1.03</v>
      </c>
      <c r="BO449" s="41">
        <v>0.79</v>
      </c>
      <c r="BP449" s="42">
        <v>0.91</v>
      </c>
      <c r="BQ449" s="36">
        <v>8.52</v>
      </c>
      <c r="BR449" s="36">
        <v>6.52</v>
      </c>
      <c r="BS449" s="36">
        <v>7.52</v>
      </c>
      <c r="BT449" s="35">
        <v>10.53</v>
      </c>
      <c r="BU449" s="36">
        <v>10.129999999999999</v>
      </c>
      <c r="BV449" s="37">
        <v>10.329999999999998</v>
      </c>
      <c r="BW449" s="35">
        <v>2.77</v>
      </c>
      <c r="BX449" s="41">
        <v>2.4900000000000002</v>
      </c>
      <c r="BY449" s="42">
        <v>2.63</v>
      </c>
      <c r="BZ449" s="35">
        <v>9.76</v>
      </c>
      <c r="CA449" s="36">
        <v>6.76</v>
      </c>
      <c r="CB449" s="37">
        <v>8.26</v>
      </c>
      <c r="CC449" s="35">
        <v>6.67</v>
      </c>
      <c r="CD449" s="36">
        <v>6.43</v>
      </c>
      <c r="CE449" s="37">
        <v>6.55</v>
      </c>
      <c r="CF449" s="35">
        <v>2.08</v>
      </c>
      <c r="CG449" s="36">
        <v>1.58</v>
      </c>
      <c r="CH449" s="37">
        <v>1.83</v>
      </c>
      <c r="CI449" s="35">
        <v>0.43</v>
      </c>
      <c r="CJ449" s="36">
        <v>0.39</v>
      </c>
      <c r="CK449" s="37">
        <v>0.41000000000000003</v>
      </c>
      <c r="CL449" s="35">
        <v>40.299999999999997</v>
      </c>
      <c r="CM449">
        <v>37.9</v>
      </c>
      <c r="CN449">
        <v>39.099999999999994</v>
      </c>
      <c r="CO449">
        <v>6.58</v>
      </c>
      <c r="CP449">
        <v>1.58</v>
      </c>
      <c r="CQ449">
        <v>4.08</v>
      </c>
    </row>
    <row r="450" spans="1:95">
      <c r="A450" s="223">
        <v>45736</v>
      </c>
      <c r="B450" s="16" t="s">
        <v>99</v>
      </c>
      <c r="C450" s="35"/>
      <c r="D450" s="36"/>
      <c r="E450" s="37"/>
      <c r="F450" s="35"/>
      <c r="G450" s="36"/>
      <c r="H450" s="37"/>
      <c r="I450" s="35"/>
      <c r="J450" s="36"/>
      <c r="K450" s="37"/>
      <c r="L450" s="36"/>
      <c r="M450" s="36"/>
      <c r="N450" s="36"/>
      <c r="O450" s="35"/>
      <c r="P450" s="36"/>
      <c r="Q450" s="37"/>
      <c r="R450" s="36"/>
      <c r="S450" s="36"/>
      <c r="T450" s="36"/>
      <c r="U450" s="35"/>
      <c r="V450" s="36"/>
      <c r="W450" s="37"/>
      <c r="X450" s="35"/>
      <c r="Y450" s="36"/>
      <c r="Z450" s="37"/>
      <c r="AA450" s="35"/>
      <c r="AB450" s="36"/>
      <c r="AC450" s="37"/>
      <c r="AD450" s="35"/>
      <c r="AE450" s="36"/>
      <c r="AF450" s="37"/>
      <c r="AG450" s="36"/>
      <c r="AH450" s="36"/>
      <c r="AI450" s="36"/>
      <c r="AJ450" s="38"/>
      <c r="AK450" s="39"/>
      <c r="AL450" s="40"/>
      <c r="AM450" s="36"/>
      <c r="AN450" s="36"/>
      <c r="AO450" s="36"/>
      <c r="AP450" s="35"/>
      <c r="AQ450" s="36"/>
      <c r="AR450" s="37"/>
      <c r="AS450" s="36"/>
      <c r="AT450" s="36"/>
      <c r="AU450" s="36"/>
      <c r="AV450" s="35"/>
      <c r="AW450" s="36"/>
      <c r="AX450" s="37"/>
      <c r="AY450" s="35"/>
      <c r="AZ450" s="36"/>
      <c r="BA450" s="37"/>
      <c r="BB450" s="35"/>
      <c r="BC450" s="41"/>
      <c r="BD450" s="42"/>
      <c r="BE450" s="36"/>
      <c r="BF450" s="41"/>
      <c r="BG450" s="41"/>
      <c r="BH450" s="35"/>
      <c r="BI450" s="36"/>
      <c r="BJ450" s="37"/>
      <c r="BK450" s="36"/>
      <c r="BL450" s="36"/>
      <c r="BM450" s="36"/>
      <c r="BN450" s="43"/>
      <c r="BO450" s="41"/>
      <c r="BP450" s="42"/>
      <c r="BQ450" s="36"/>
      <c r="BR450" s="36"/>
      <c r="BS450" s="36"/>
      <c r="BT450" s="35"/>
      <c r="BU450" s="36"/>
      <c r="BV450" s="37"/>
      <c r="BW450" s="35"/>
      <c r="BX450" s="41"/>
      <c r="BY450" s="42"/>
      <c r="BZ450" s="35"/>
      <c r="CA450" s="36"/>
      <c r="CB450" s="37"/>
      <c r="CC450" s="35"/>
      <c r="CD450" s="36"/>
      <c r="CE450" s="37"/>
      <c r="CF450" s="35"/>
      <c r="CG450" s="36"/>
      <c r="CH450" s="37"/>
      <c r="CI450" s="35"/>
      <c r="CJ450" s="36"/>
      <c r="CK450" s="37"/>
      <c r="CL450" s="35"/>
    </row>
    <row r="451" spans="1:95">
      <c r="A451" s="223">
        <v>45737</v>
      </c>
      <c r="B451" s="16" t="s">
        <v>100</v>
      </c>
      <c r="C451" s="35">
        <v>150.06</v>
      </c>
      <c r="D451" s="36">
        <v>148.06</v>
      </c>
      <c r="E451" s="37">
        <v>149.06</v>
      </c>
      <c r="F451" s="35">
        <v>163.25</v>
      </c>
      <c r="G451" s="36">
        <v>160.25</v>
      </c>
      <c r="H451" s="37">
        <v>161.75</v>
      </c>
      <c r="I451" s="35">
        <v>105.68</v>
      </c>
      <c r="J451" s="36">
        <v>102.48</v>
      </c>
      <c r="K451" s="37">
        <v>104.08000000000001</v>
      </c>
      <c r="L451" s="36">
        <v>197.21</v>
      </c>
      <c r="M451" s="36">
        <v>189.21</v>
      </c>
      <c r="N451" s="36">
        <v>193.21</v>
      </c>
      <c r="O451" s="35">
        <v>169.83</v>
      </c>
      <c r="P451" s="36">
        <v>168.03</v>
      </c>
      <c r="Q451" s="37">
        <v>168.93</v>
      </c>
      <c r="R451" s="36">
        <v>21.98</v>
      </c>
      <c r="S451" s="36">
        <v>21.38</v>
      </c>
      <c r="T451" s="36">
        <v>21.68</v>
      </c>
      <c r="U451" s="35">
        <v>14.44</v>
      </c>
      <c r="V451" s="36">
        <v>13.84</v>
      </c>
      <c r="W451" s="37">
        <v>14.14</v>
      </c>
      <c r="X451" s="35">
        <v>15.12</v>
      </c>
      <c r="Y451" s="36">
        <v>14.319999999999999</v>
      </c>
      <c r="Z451" s="37">
        <v>14.719999999999999</v>
      </c>
      <c r="AA451" s="35">
        <v>95.94</v>
      </c>
      <c r="AB451" s="36">
        <v>91.94</v>
      </c>
      <c r="AC451" s="37">
        <v>93.94</v>
      </c>
      <c r="AD451" s="35">
        <v>87.89</v>
      </c>
      <c r="AE451" s="36">
        <v>83.89</v>
      </c>
      <c r="AF451" s="37">
        <v>85.89</v>
      </c>
      <c r="AG451" s="36">
        <v>19.61</v>
      </c>
      <c r="AH451" s="36">
        <v>18.75</v>
      </c>
      <c r="AI451" s="36">
        <v>19.18</v>
      </c>
      <c r="AJ451" s="38"/>
      <c r="AK451" s="39"/>
      <c r="AL451" s="40"/>
      <c r="AM451" s="36">
        <v>112.48</v>
      </c>
      <c r="AN451" s="36">
        <v>110.82000000000001</v>
      </c>
      <c r="AO451" s="36">
        <v>111.65</v>
      </c>
      <c r="AP451" s="35">
        <v>40.6</v>
      </c>
      <c r="AQ451" s="36">
        <v>39</v>
      </c>
      <c r="AR451" s="37">
        <v>39.799999999999997</v>
      </c>
      <c r="AS451" s="36">
        <v>41.33</v>
      </c>
      <c r="AT451" s="36">
        <v>39.97</v>
      </c>
      <c r="AU451" s="36">
        <v>40.65</v>
      </c>
      <c r="AV451" s="35">
        <v>20.84</v>
      </c>
      <c r="AW451" s="36">
        <v>20.239999999999998</v>
      </c>
      <c r="AX451" s="37">
        <v>20.54</v>
      </c>
      <c r="AY451" s="35">
        <v>4.5</v>
      </c>
      <c r="AZ451" s="36">
        <v>4.34</v>
      </c>
      <c r="BA451" s="37">
        <v>4.42</v>
      </c>
      <c r="BB451" s="35">
        <v>1.89</v>
      </c>
      <c r="BC451" s="41">
        <v>1.5899999999999999</v>
      </c>
      <c r="BD451" s="42">
        <v>1.7399999999999998</v>
      </c>
      <c r="BE451" s="36">
        <v>0.69</v>
      </c>
      <c r="BF451" s="41">
        <v>0.38999999999999996</v>
      </c>
      <c r="BG451" s="41">
        <v>0.53999999999999992</v>
      </c>
      <c r="BH451" s="35">
        <v>490.86</v>
      </c>
      <c r="BI451" s="36">
        <v>474.86</v>
      </c>
      <c r="BJ451" s="37">
        <v>482.86</v>
      </c>
      <c r="BK451" s="36">
        <v>41.64</v>
      </c>
      <c r="BL451" s="36">
        <v>40.28</v>
      </c>
      <c r="BM451" s="36">
        <v>40.96</v>
      </c>
      <c r="BN451" s="43">
        <v>1.03</v>
      </c>
      <c r="BO451" s="41">
        <v>0.79</v>
      </c>
      <c r="BP451" s="42">
        <v>0.91</v>
      </c>
      <c r="BQ451" s="36">
        <v>8.4</v>
      </c>
      <c r="BR451" s="36">
        <v>6.4</v>
      </c>
      <c r="BS451" s="36">
        <v>7.4</v>
      </c>
      <c r="BT451" s="35">
        <v>10.37</v>
      </c>
      <c r="BU451" s="36">
        <v>9.9699999999999989</v>
      </c>
      <c r="BV451" s="37">
        <v>10.169999999999998</v>
      </c>
      <c r="BW451" s="35">
        <v>2.77</v>
      </c>
      <c r="BX451" s="41">
        <v>2.4900000000000002</v>
      </c>
      <c r="BY451" s="42">
        <v>2.63</v>
      </c>
      <c r="BZ451" s="35">
        <v>9.7200000000000006</v>
      </c>
      <c r="CA451" s="36">
        <v>6.7200000000000006</v>
      </c>
      <c r="CB451" s="37">
        <v>8.2200000000000006</v>
      </c>
      <c r="CC451" s="35">
        <v>6.59</v>
      </c>
      <c r="CD451" s="36">
        <v>6.35</v>
      </c>
      <c r="CE451" s="37">
        <v>6.47</v>
      </c>
      <c r="CF451" s="35">
        <v>2.0099999999999998</v>
      </c>
      <c r="CG451" s="36">
        <v>1.5099999999999998</v>
      </c>
      <c r="CH451" s="37">
        <v>1.7599999999999998</v>
      </c>
      <c r="CI451" s="35">
        <v>0.43</v>
      </c>
      <c r="CJ451" s="36">
        <v>0.39</v>
      </c>
      <c r="CK451" s="37">
        <v>0.41000000000000003</v>
      </c>
      <c r="CL451" s="35">
        <v>39.81</v>
      </c>
      <c r="CM451">
        <v>37.410000000000004</v>
      </c>
      <c r="CN451">
        <v>38.61</v>
      </c>
      <c r="CO451">
        <v>6.45</v>
      </c>
      <c r="CP451">
        <v>1.4500000000000002</v>
      </c>
      <c r="CQ451">
        <v>3.95</v>
      </c>
    </row>
    <row r="452" spans="1:95">
      <c r="A452" s="223">
        <v>45738</v>
      </c>
      <c r="B452" s="16" t="s">
        <v>307</v>
      </c>
      <c r="C452" s="35"/>
      <c r="D452" s="36"/>
      <c r="E452" s="37"/>
      <c r="F452" s="35"/>
      <c r="G452" s="36"/>
      <c r="H452" s="37"/>
      <c r="I452" s="35"/>
      <c r="J452" s="36"/>
      <c r="K452" s="37"/>
      <c r="L452" s="36"/>
      <c r="M452" s="36"/>
      <c r="N452" s="36"/>
      <c r="O452" s="35"/>
      <c r="P452" s="36"/>
      <c r="Q452" s="37"/>
      <c r="R452" s="36"/>
      <c r="S452" s="36"/>
      <c r="T452" s="36"/>
      <c r="U452" s="35"/>
      <c r="V452" s="36"/>
      <c r="W452" s="37"/>
      <c r="X452" s="35"/>
      <c r="Y452" s="36"/>
      <c r="Z452" s="37"/>
      <c r="AA452" s="35"/>
      <c r="AB452" s="36"/>
      <c r="AC452" s="37"/>
      <c r="AD452" s="35"/>
      <c r="AE452" s="36"/>
      <c r="AF452" s="37"/>
      <c r="AG452" s="36"/>
      <c r="AH452" s="36"/>
      <c r="AI452" s="36"/>
      <c r="AJ452" s="38"/>
      <c r="AK452" s="39"/>
      <c r="AL452" s="40"/>
      <c r="AM452" s="36"/>
      <c r="AN452" s="36"/>
      <c r="AO452" s="36"/>
      <c r="AP452" s="35"/>
      <c r="AQ452" s="36"/>
      <c r="AR452" s="37"/>
      <c r="AS452" s="36"/>
      <c r="AT452" s="36"/>
      <c r="AU452" s="36"/>
      <c r="AV452" s="35"/>
      <c r="AW452" s="36"/>
      <c r="AX452" s="37"/>
      <c r="AY452" s="35"/>
      <c r="AZ452" s="36"/>
      <c r="BA452" s="37"/>
      <c r="BB452" s="35"/>
      <c r="BC452" s="41"/>
      <c r="BD452" s="42"/>
      <c r="BE452" s="36"/>
      <c r="BF452" s="41"/>
      <c r="BG452" s="41"/>
      <c r="BH452" s="35"/>
      <c r="BI452" s="36"/>
      <c r="BJ452" s="37"/>
      <c r="BK452" s="36"/>
      <c r="BL452" s="36"/>
      <c r="BM452" s="36"/>
      <c r="BN452" s="43"/>
      <c r="BO452" s="41"/>
      <c r="BP452" s="42"/>
      <c r="BQ452" s="36"/>
      <c r="BR452" s="36"/>
      <c r="BS452" s="36"/>
      <c r="BT452" s="35"/>
      <c r="BU452" s="36"/>
      <c r="BV452" s="37"/>
      <c r="BW452" s="35"/>
      <c r="BX452" s="41"/>
      <c r="BY452" s="42"/>
      <c r="BZ452" s="35"/>
      <c r="CA452" s="36"/>
      <c r="CB452" s="37"/>
      <c r="CC452" s="35"/>
      <c r="CD452" s="36"/>
      <c r="CE452" s="37"/>
      <c r="CF452" s="35"/>
      <c r="CG452" s="36"/>
      <c r="CH452" s="37"/>
      <c r="CI452" s="35"/>
      <c r="CJ452" s="36"/>
      <c r="CK452" s="37"/>
      <c r="CL452" s="35"/>
    </row>
    <row r="453" spans="1:95">
      <c r="A453" s="223">
        <v>45739</v>
      </c>
      <c r="B453" s="16" t="s">
        <v>308</v>
      </c>
      <c r="C453" s="35"/>
      <c r="D453" s="36"/>
      <c r="E453" s="37"/>
      <c r="F453" s="35"/>
      <c r="G453" s="36"/>
      <c r="H453" s="37"/>
      <c r="I453" s="35"/>
      <c r="J453" s="36"/>
      <c r="K453" s="37"/>
      <c r="L453" s="36"/>
      <c r="M453" s="36"/>
      <c r="N453" s="36"/>
      <c r="O453" s="35"/>
      <c r="P453" s="36"/>
      <c r="Q453" s="37"/>
      <c r="R453" s="36"/>
      <c r="S453" s="36"/>
      <c r="T453" s="36"/>
      <c r="U453" s="35"/>
      <c r="V453" s="36"/>
      <c r="W453" s="37"/>
      <c r="X453" s="35"/>
      <c r="Y453" s="36"/>
      <c r="Z453" s="37"/>
      <c r="AA453" s="35"/>
      <c r="AB453" s="36"/>
      <c r="AC453" s="37"/>
      <c r="AD453" s="35"/>
      <c r="AE453" s="36"/>
      <c r="AF453" s="37"/>
      <c r="AG453" s="36"/>
      <c r="AH453" s="36"/>
      <c r="AI453" s="36"/>
      <c r="AJ453" s="38"/>
      <c r="AK453" s="39"/>
      <c r="AL453" s="40"/>
      <c r="AM453" s="36"/>
      <c r="AN453" s="36"/>
      <c r="AO453" s="36"/>
      <c r="AP453" s="35"/>
      <c r="AQ453" s="36"/>
      <c r="AR453" s="37"/>
      <c r="AS453" s="36"/>
      <c r="AT453" s="36"/>
      <c r="AU453" s="36"/>
      <c r="AV453" s="35"/>
      <c r="AW453" s="36"/>
      <c r="AX453" s="37"/>
      <c r="AY453" s="35"/>
      <c r="AZ453" s="36"/>
      <c r="BA453" s="37"/>
      <c r="BB453" s="35"/>
      <c r="BC453" s="41"/>
      <c r="BD453" s="42"/>
      <c r="BE453" s="36"/>
      <c r="BF453" s="41"/>
      <c r="BG453" s="41"/>
      <c r="BH453" s="35"/>
      <c r="BI453" s="36"/>
      <c r="BJ453" s="37"/>
      <c r="BK453" s="36"/>
      <c r="BL453" s="36"/>
      <c r="BM453" s="36"/>
      <c r="BN453" s="43"/>
      <c r="BO453" s="41"/>
      <c r="BP453" s="42"/>
      <c r="BQ453" s="36"/>
      <c r="BR453" s="36"/>
      <c r="BS453" s="36"/>
      <c r="BT453" s="35"/>
      <c r="BU453" s="36"/>
      <c r="BV453" s="37"/>
      <c r="BW453" s="35"/>
      <c r="BX453" s="41"/>
      <c r="BY453" s="42"/>
      <c r="BZ453" s="35"/>
      <c r="CA453" s="36"/>
      <c r="CB453" s="37"/>
      <c r="CC453" s="35"/>
      <c r="CD453" s="36"/>
      <c r="CE453" s="37"/>
      <c r="CF453" s="35"/>
      <c r="CG453" s="36"/>
      <c r="CH453" s="37"/>
      <c r="CI453" s="35"/>
      <c r="CJ453" s="36"/>
      <c r="CK453" s="37"/>
      <c r="CL453" s="35"/>
    </row>
    <row r="454" spans="1:95">
      <c r="A454" s="223">
        <v>45740</v>
      </c>
      <c r="B454" s="16" t="s">
        <v>96</v>
      </c>
      <c r="C454" s="35">
        <v>150.80000000000001</v>
      </c>
      <c r="D454" s="36">
        <v>148.80000000000001</v>
      </c>
      <c r="E454" s="37">
        <v>149.80000000000001</v>
      </c>
      <c r="F454" s="35">
        <v>163.79</v>
      </c>
      <c r="G454" s="36">
        <v>160.79</v>
      </c>
      <c r="H454" s="37">
        <v>162.29</v>
      </c>
      <c r="I454" s="35">
        <v>106.12</v>
      </c>
      <c r="J454" s="36">
        <v>102.92</v>
      </c>
      <c r="K454" s="37">
        <v>104.52000000000001</v>
      </c>
      <c r="L454" s="36">
        <v>197.74</v>
      </c>
      <c r="M454" s="36">
        <v>189.74</v>
      </c>
      <c r="N454" s="36">
        <v>193.74</v>
      </c>
      <c r="O454" s="35">
        <v>170.49</v>
      </c>
      <c r="P454" s="36">
        <v>168.69</v>
      </c>
      <c r="Q454" s="37">
        <v>169.59</v>
      </c>
      <c r="R454" s="36">
        <v>22.05</v>
      </c>
      <c r="S454" s="36">
        <v>21.45</v>
      </c>
      <c r="T454" s="36">
        <v>21.75</v>
      </c>
      <c r="U454" s="35">
        <v>14.52</v>
      </c>
      <c r="V454" s="36">
        <v>13.92</v>
      </c>
      <c r="W454" s="37">
        <v>14.219999999999999</v>
      </c>
      <c r="X454" s="35">
        <v>15.22</v>
      </c>
      <c r="Y454" s="36">
        <v>14.42</v>
      </c>
      <c r="Z454" s="37">
        <v>14.82</v>
      </c>
      <c r="AA454" s="35">
        <v>96.21</v>
      </c>
      <c r="AB454" s="36">
        <v>92.21</v>
      </c>
      <c r="AC454" s="37">
        <v>94.21</v>
      </c>
      <c r="AD454" s="35">
        <v>88.05</v>
      </c>
      <c r="AE454" s="36">
        <v>84.05</v>
      </c>
      <c r="AF454" s="37">
        <v>86.05</v>
      </c>
      <c r="AG454" s="36">
        <v>19.7</v>
      </c>
      <c r="AH454" s="36">
        <v>18.84</v>
      </c>
      <c r="AI454" s="36">
        <v>19.27</v>
      </c>
      <c r="AJ454" s="38"/>
      <c r="AK454" s="39"/>
      <c r="AL454" s="40"/>
      <c r="AM454" s="36">
        <v>113.02</v>
      </c>
      <c r="AN454" s="36">
        <v>111.36</v>
      </c>
      <c r="AO454" s="36">
        <v>112.19</v>
      </c>
      <c r="AP454" s="35">
        <v>40.799999999999997</v>
      </c>
      <c r="AQ454" s="36">
        <v>39.199999999999996</v>
      </c>
      <c r="AR454" s="37">
        <v>40</v>
      </c>
      <c r="AS454" s="36">
        <v>41.53</v>
      </c>
      <c r="AT454" s="36">
        <v>40.17</v>
      </c>
      <c r="AU454" s="36">
        <v>40.85</v>
      </c>
      <c r="AV454" s="35">
        <v>20.95</v>
      </c>
      <c r="AW454" s="36">
        <v>20.349999999999998</v>
      </c>
      <c r="AX454" s="37">
        <v>20.65</v>
      </c>
      <c r="AY454" s="35">
        <v>4.49</v>
      </c>
      <c r="AZ454" s="36">
        <v>4.33</v>
      </c>
      <c r="BA454" s="37">
        <v>4.41</v>
      </c>
      <c r="BB454" s="35">
        <v>1.9</v>
      </c>
      <c r="BC454" s="41">
        <v>1.5999999999999999</v>
      </c>
      <c r="BD454" s="42">
        <v>1.75</v>
      </c>
      <c r="BE454" s="36">
        <v>0.69</v>
      </c>
      <c r="BF454" s="41">
        <v>0.38999999999999996</v>
      </c>
      <c r="BG454" s="41">
        <v>0.53999999999999992</v>
      </c>
      <c r="BH454" s="35">
        <v>494.84</v>
      </c>
      <c r="BI454" s="36">
        <v>478.84</v>
      </c>
      <c r="BJ454" s="37">
        <v>486.84</v>
      </c>
      <c r="BK454" s="36">
        <v>41.85</v>
      </c>
      <c r="BL454" s="36">
        <v>40.49</v>
      </c>
      <c r="BM454" s="36">
        <v>41.17</v>
      </c>
      <c r="BN454" s="43">
        <v>1.03</v>
      </c>
      <c r="BO454" s="41">
        <v>0.79</v>
      </c>
      <c r="BP454" s="42">
        <v>0.91</v>
      </c>
      <c r="BQ454" s="36">
        <v>8.41</v>
      </c>
      <c r="BR454" s="36">
        <v>6.41</v>
      </c>
      <c r="BS454" s="36">
        <v>7.41</v>
      </c>
      <c r="BT454" s="35">
        <v>10.43</v>
      </c>
      <c r="BU454" s="36">
        <v>10.029999999999999</v>
      </c>
      <c r="BV454" s="37">
        <v>10.23</v>
      </c>
      <c r="BW454" s="35">
        <v>2.77</v>
      </c>
      <c r="BX454" s="41">
        <v>2.4900000000000002</v>
      </c>
      <c r="BY454" s="42">
        <v>2.63</v>
      </c>
      <c r="BZ454" s="35">
        <v>9.73</v>
      </c>
      <c r="CA454" s="36">
        <v>6.73</v>
      </c>
      <c r="CB454" s="37">
        <v>8.23</v>
      </c>
      <c r="CC454" s="35">
        <v>6.63</v>
      </c>
      <c r="CD454" s="36">
        <v>6.39</v>
      </c>
      <c r="CE454" s="37">
        <v>6.51</v>
      </c>
      <c r="CF454" s="35">
        <v>2.0299999999999998</v>
      </c>
      <c r="CG454" s="36">
        <v>1.5299999999999998</v>
      </c>
      <c r="CH454" s="37">
        <v>1.7799999999999998</v>
      </c>
      <c r="CI454" s="35">
        <v>0.43</v>
      </c>
      <c r="CJ454" s="36">
        <v>0.39</v>
      </c>
      <c r="CK454" s="37">
        <v>0.41000000000000003</v>
      </c>
      <c r="CL454" s="35">
        <v>39.9</v>
      </c>
      <c r="CM454">
        <v>37.5</v>
      </c>
      <c r="CN454">
        <v>38.700000000000003</v>
      </c>
      <c r="CO454">
        <v>6.45</v>
      </c>
      <c r="CP454">
        <v>1.4500000000000002</v>
      </c>
      <c r="CQ454">
        <v>3.95</v>
      </c>
    </row>
    <row r="455" spans="1:95">
      <c r="A455" s="223">
        <v>45741</v>
      </c>
      <c r="B455" s="16" t="s">
        <v>97</v>
      </c>
      <c r="C455" s="44">
        <v>151.94999999999999</v>
      </c>
      <c r="D455" s="45">
        <v>149.94999999999999</v>
      </c>
      <c r="E455" s="46">
        <v>150.94999999999999</v>
      </c>
      <c r="F455" s="44">
        <v>164.57</v>
      </c>
      <c r="G455" s="45">
        <v>161.57</v>
      </c>
      <c r="H455" s="46">
        <v>163.07</v>
      </c>
      <c r="I455" s="44">
        <v>107</v>
      </c>
      <c r="J455" s="45">
        <v>103.8</v>
      </c>
      <c r="K455" s="46">
        <v>105.4</v>
      </c>
      <c r="L455" s="45">
        <v>198.98</v>
      </c>
      <c r="M455" s="45">
        <v>190.98</v>
      </c>
      <c r="N455" s="45">
        <v>194.98</v>
      </c>
      <c r="O455" s="44">
        <v>171.89</v>
      </c>
      <c r="P455" s="45">
        <v>170.08999999999997</v>
      </c>
      <c r="Q455" s="46">
        <v>170.98999999999998</v>
      </c>
      <c r="R455" s="45">
        <v>22.16</v>
      </c>
      <c r="S455" s="45">
        <v>21.56</v>
      </c>
      <c r="T455" s="45">
        <v>21.86</v>
      </c>
      <c r="U455" s="44">
        <v>14.64</v>
      </c>
      <c r="V455" s="45">
        <v>14.040000000000001</v>
      </c>
      <c r="W455" s="46">
        <v>14.34</v>
      </c>
      <c r="X455" s="44">
        <v>15.36</v>
      </c>
      <c r="Y455" s="45">
        <v>14.559999999999999</v>
      </c>
      <c r="Z455" s="46">
        <v>14.959999999999999</v>
      </c>
      <c r="AA455" s="44">
        <v>96.86</v>
      </c>
      <c r="AB455" s="45">
        <v>92.86</v>
      </c>
      <c r="AC455" s="46">
        <v>94.86</v>
      </c>
      <c r="AD455" s="44">
        <v>88.39</v>
      </c>
      <c r="AE455" s="45">
        <v>84.39</v>
      </c>
      <c r="AF455" s="46">
        <v>86.39</v>
      </c>
      <c r="AG455" s="45">
        <v>19.850000000000001</v>
      </c>
      <c r="AH455" s="45">
        <v>18.990000000000002</v>
      </c>
      <c r="AI455" s="45">
        <v>19.420000000000002</v>
      </c>
      <c r="AJ455" s="47"/>
      <c r="AK455" s="48"/>
      <c r="AL455" s="49"/>
      <c r="AM455" s="45">
        <v>113.57</v>
      </c>
      <c r="AN455" s="45">
        <v>111.91</v>
      </c>
      <c r="AO455" s="45">
        <v>112.74</v>
      </c>
      <c r="AP455" s="44">
        <v>41.11</v>
      </c>
      <c r="AQ455" s="45">
        <v>39.51</v>
      </c>
      <c r="AR455" s="46">
        <v>40.31</v>
      </c>
      <c r="AS455" s="45">
        <v>41.84</v>
      </c>
      <c r="AT455" s="45">
        <v>40.480000000000004</v>
      </c>
      <c r="AU455" s="45">
        <v>41.160000000000004</v>
      </c>
      <c r="AV455" s="44">
        <v>21.07</v>
      </c>
      <c r="AW455" s="45">
        <v>20.47</v>
      </c>
      <c r="AX455" s="46">
        <v>20.77</v>
      </c>
      <c r="AY455" s="44">
        <v>4.53</v>
      </c>
      <c r="AZ455" s="45">
        <v>4.37</v>
      </c>
      <c r="BA455" s="46">
        <v>4.45</v>
      </c>
      <c r="BB455" s="44">
        <v>1.92</v>
      </c>
      <c r="BC455" s="50">
        <v>1.6199999999999999</v>
      </c>
      <c r="BD455" s="51">
        <v>1.77</v>
      </c>
      <c r="BE455" s="45">
        <v>0.69</v>
      </c>
      <c r="BF455" s="50">
        <v>0.38999999999999996</v>
      </c>
      <c r="BG455" s="50">
        <v>0.53999999999999992</v>
      </c>
      <c r="BH455" s="44">
        <v>498.26</v>
      </c>
      <c r="BI455" s="45">
        <v>482.26</v>
      </c>
      <c r="BJ455" s="46">
        <v>490.26</v>
      </c>
      <c r="BK455" s="45">
        <v>42.16</v>
      </c>
      <c r="BL455" s="45">
        <v>40.799999999999997</v>
      </c>
      <c r="BM455" s="45">
        <v>41.48</v>
      </c>
      <c r="BN455" s="52">
        <v>1.03</v>
      </c>
      <c r="BO455" s="50">
        <v>0.79</v>
      </c>
      <c r="BP455" s="51">
        <v>0.91</v>
      </c>
      <c r="BQ455" s="45">
        <v>8.5399999999999991</v>
      </c>
      <c r="BR455" s="45">
        <v>6.5399999999999991</v>
      </c>
      <c r="BS455" s="45">
        <v>7.5399999999999991</v>
      </c>
      <c r="BT455" s="44">
        <v>10.48</v>
      </c>
      <c r="BU455" s="45">
        <v>10.08</v>
      </c>
      <c r="BV455" s="46">
        <v>10.280000000000001</v>
      </c>
      <c r="BW455" s="44">
        <v>2.79</v>
      </c>
      <c r="BX455" s="50">
        <v>2.5099999999999998</v>
      </c>
      <c r="BY455" s="51">
        <v>2.65</v>
      </c>
      <c r="BZ455" s="44">
        <v>9.77</v>
      </c>
      <c r="CA455" s="45">
        <v>6.77</v>
      </c>
      <c r="CB455" s="46">
        <v>8.27</v>
      </c>
      <c r="CC455" s="44">
        <v>6.67</v>
      </c>
      <c r="CD455" s="45">
        <v>6.43</v>
      </c>
      <c r="CE455" s="46">
        <v>6.55</v>
      </c>
      <c r="CF455" s="44">
        <v>2.0499999999999998</v>
      </c>
      <c r="CG455" s="45">
        <v>1.5499999999999998</v>
      </c>
      <c r="CH455" s="46">
        <v>1.7999999999999998</v>
      </c>
      <c r="CI455" s="44">
        <v>0.43</v>
      </c>
      <c r="CJ455" s="45">
        <v>0.39</v>
      </c>
      <c r="CK455" s="46">
        <v>0.41000000000000003</v>
      </c>
      <c r="CL455" s="44">
        <v>40.24</v>
      </c>
      <c r="CM455">
        <v>37.840000000000003</v>
      </c>
      <c r="CN455">
        <v>39.040000000000006</v>
      </c>
      <c r="CO455">
        <v>6.49</v>
      </c>
      <c r="CP455">
        <v>1.4900000000000002</v>
      </c>
      <c r="CQ455">
        <v>3.99</v>
      </c>
    </row>
    <row r="456" spans="1:95">
      <c r="A456" s="223">
        <v>45742</v>
      </c>
      <c r="B456" s="16" t="s">
        <v>98</v>
      </c>
      <c r="C456" s="44">
        <v>151.19999999999999</v>
      </c>
      <c r="D456" s="45">
        <v>149.19999999999999</v>
      </c>
      <c r="E456" s="46">
        <v>150.19999999999999</v>
      </c>
      <c r="F456" s="44">
        <v>163.49</v>
      </c>
      <c r="G456" s="45">
        <v>160.49</v>
      </c>
      <c r="H456" s="46">
        <v>161.99</v>
      </c>
      <c r="I456" s="44">
        <v>106.77</v>
      </c>
      <c r="J456" s="45">
        <v>103.57</v>
      </c>
      <c r="K456" s="46">
        <v>105.16999999999999</v>
      </c>
      <c r="L456" s="45">
        <v>198.36</v>
      </c>
      <c r="M456" s="45">
        <v>190.36</v>
      </c>
      <c r="N456" s="45">
        <v>194.36</v>
      </c>
      <c r="O456" s="44">
        <v>170.98</v>
      </c>
      <c r="P456" s="45">
        <v>169.17999999999998</v>
      </c>
      <c r="Q456" s="46">
        <v>170.07999999999998</v>
      </c>
      <c r="R456" s="45">
        <v>22.02</v>
      </c>
      <c r="S456" s="45">
        <v>21.419999999999998</v>
      </c>
      <c r="T456" s="45">
        <v>21.72</v>
      </c>
      <c r="U456" s="44">
        <v>14.59</v>
      </c>
      <c r="V456" s="45">
        <v>13.99</v>
      </c>
      <c r="W456" s="46">
        <v>14.29</v>
      </c>
      <c r="X456" s="44">
        <v>15.37</v>
      </c>
      <c r="Y456" s="45">
        <v>14.569999999999999</v>
      </c>
      <c r="Z456" s="46">
        <v>14.969999999999999</v>
      </c>
      <c r="AA456" s="44">
        <v>96.55</v>
      </c>
      <c r="AB456" s="45">
        <v>92.55</v>
      </c>
      <c r="AC456" s="46">
        <v>94.55</v>
      </c>
      <c r="AD456" s="44">
        <v>87.96</v>
      </c>
      <c r="AE456" s="45">
        <v>83.96</v>
      </c>
      <c r="AF456" s="46">
        <v>85.96</v>
      </c>
      <c r="AG456" s="45">
        <v>19.75</v>
      </c>
      <c r="AH456" s="45">
        <v>18.89</v>
      </c>
      <c r="AI456" s="45">
        <v>19.32</v>
      </c>
      <c r="AJ456" s="47"/>
      <c r="AK456" s="48"/>
      <c r="AL456" s="49"/>
      <c r="AM456" s="45">
        <v>113.19</v>
      </c>
      <c r="AN456" s="45">
        <v>111.53</v>
      </c>
      <c r="AO456" s="45">
        <v>112.36</v>
      </c>
      <c r="AP456" s="44">
        <v>40.909999999999997</v>
      </c>
      <c r="AQ456" s="45">
        <v>39.309999999999995</v>
      </c>
      <c r="AR456" s="46">
        <v>40.11</v>
      </c>
      <c r="AS456" s="45">
        <v>41.64</v>
      </c>
      <c r="AT456" s="45">
        <v>40.28</v>
      </c>
      <c r="AU456" s="45">
        <v>40.96</v>
      </c>
      <c r="AV456" s="44">
        <v>20.96</v>
      </c>
      <c r="AW456" s="45">
        <v>20.36</v>
      </c>
      <c r="AX456" s="46">
        <v>20.66</v>
      </c>
      <c r="AY456" s="44">
        <v>4.5199999999999996</v>
      </c>
      <c r="AZ456" s="45">
        <v>4.3599999999999994</v>
      </c>
      <c r="BA456" s="46">
        <v>4.4399999999999995</v>
      </c>
      <c r="BB456" s="44">
        <v>1.91</v>
      </c>
      <c r="BC456" s="50">
        <v>1.6099999999999999</v>
      </c>
      <c r="BD456" s="51">
        <v>1.7599999999999998</v>
      </c>
      <c r="BE456" s="45">
        <v>0.69</v>
      </c>
      <c r="BF456" s="50">
        <v>0.38999999999999996</v>
      </c>
      <c r="BG456" s="50">
        <v>0.53999999999999992</v>
      </c>
      <c r="BH456" s="44">
        <v>495.98</v>
      </c>
      <c r="BI456" s="45">
        <v>479.98</v>
      </c>
      <c r="BJ456" s="46">
        <v>487.98</v>
      </c>
      <c r="BK456" s="45">
        <v>41.84</v>
      </c>
      <c r="BL456" s="45">
        <v>40.480000000000004</v>
      </c>
      <c r="BM456" s="45">
        <v>41.160000000000004</v>
      </c>
      <c r="BN456" s="52">
        <v>1.03</v>
      </c>
      <c r="BO456" s="50">
        <v>0.79</v>
      </c>
      <c r="BP456" s="51">
        <v>0.91</v>
      </c>
      <c r="BQ456" s="45">
        <v>8.49</v>
      </c>
      <c r="BR456" s="45">
        <v>6.49</v>
      </c>
      <c r="BS456" s="45">
        <v>7.49</v>
      </c>
      <c r="BT456" s="44">
        <v>10.46</v>
      </c>
      <c r="BU456" s="45">
        <v>10.06</v>
      </c>
      <c r="BV456" s="46">
        <v>10.260000000000002</v>
      </c>
      <c r="BW456" s="44">
        <v>2.77</v>
      </c>
      <c r="BX456" s="50">
        <v>2.4900000000000002</v>
      </c>
      <c r="BY456" s="51">
        <v>2.63</v>
      </c>
      <c r="BZ456" s="44">
        <v>9.7200000000000006</v>
      </c>
      <c r="CA456" s="45">
        <v>6.7200000000000006</v>
      </c>
      <c r="CB456" s="46">
        <v>8.2200000000000006</v>
      </c>
      <c r="CC456" s="44">
        <v>6.63</v>
      </c>
      <c r="CD456" s="45">
        <v>6.39</v>
      </c>
      <c r="CE456" s="46">
        <v>6.51</v>
      </c>
      <c r="CF456" s="44">
        <v>2.0299999999999998</v>
      </c>
      <c r="CG456" s="45">
        <v>1.5299999999999998</v>
      </c>
      <c r="CH456" s="46">
        <v>1.7799999999999998</v>
      </c>
      <c r="CI456" s="44">
        <v>0.43</v>
      </c>
      <c r="CJ456" s="45">
        <v>0.39</v>
      </c>
      <c r="CK456" s="46">
        <v>0.41000000000000003</v>
      </c>
      <c r="CL456" s="44">
        <v>40.14</v>
      </c>
      <c r="CM456">
        <v>37.74</v>
      </c>
      <c r="CN456">
        <v>38.94</v>
      </c>
      <c r="CO456">
        <v>6.46</v>
      </c>
      <c r="CP456">
        <v>1.46</v>
      </c>
      <c r="CQ456">
        <v>3.96</v>
      </c>
    </row>
    <row r="457" spans="1:95">
      <c r="A457" s="223">
        <v>45743</v>
      </c>
      <c r="B457" s="16" t="s">
        <v>99</v>
      </c>
      <c r="C457" s="17">
        <v>151.58000000000001</v>
      </c>
      <c r="D457" s="18">
        <v>149.58000000000001</v>
      </c>
      <c r="E457" s="19">
        <v>150.58000000000001</v>
      </c>
      <c r="F457" s="17">
        <v>163.41999999999999</v>
      </c>
      <c r="G457" s="18">
        <v>160.41999999999999</v>
      </c>
      <c r="H457" s="19">
        <v>161.91999999999999</v>
      </c>
      <c r="I457" s="17">
        <v>106.99</v>
      </c>
      <c r="J457" s="18">
        <v>103.78999999999999</v>
      </c>
      <c r="K457" s="19">
        <v>105.38999999999999</v>
      </c>
      <c r="L457" s="18">
        <v>198.11</v>
      </c>
      <c r="M457" s="18">
        <v>190.11</v>
      </c>
      <c r="N457" s="18">
        <v>194.11</v>
      </c>
      <c r="O457" s="17">
        <v>171.28</v>
      </c>
      <c r="P457" s="18">
        <v>169.48</v>
      </c>
      <c r="Q457" s="19">
        <v>170.38</v>
      </c>
      <c r="R457" s="18">
        <v>22</v>
      </c>
      <c r="S457" s="18">
        <v>21.4</v>
      </c>
      <c r="T457" s="18">
        <v>21.7</v>
      </c>
      <c r="U457" s="17">
        <v>14.56</v>
      </c>
      <c r="V457" s="18">
        <v>13.96</v>
      </c>
      <c r="W457" s="19">
        <v>14.260000000000002</v>
      </c>
      <c r="X457" s="17">
        <v>15.35</v>
      </c>
      <c r="Y457" s="18">
        <v>14.549999999999999</v>
      </c>
      <c r="Z457" s="19">
        <v>14.95</v>
      </c>
      <c r="AA457" s="17">
        <v>96.7</v>
      </c>
      <c r="AB457" s="18">
        <v>92.7</v>
      </c>
      <c r="AC457" s="19">
        <v>94.7</v>
      </c>
      <c r="AD457" s="17">
        <v>88.19</v>
      </c>
      <c r="AE457" s="18">
        <v>84.19</v>
      </c>
      <c r="AF457" s="19">
        <v>86.19</v>
      </c>
      <c r="AG457" s="18">
        <v>19.79</v>
      </c>
      <c r="AH457" s="18">
        <v>18.93</v>
      </c>
      <c r="AI457" s="18">
        <v>19.36</v>
      </c>
      <c r="AJ457" s="20"/>
      <c r="AK457" s="21"/>
      <c r="AL457" s="22"/>
      <c r="AM457" s="18">
        <v>113.21</v>
      </c>
      <c r="AN457" s="18">
        <v>111.55</v>
      </c>
      <c r="AO457" s="18">
        <v>112.38</v>
      </c>
      <c r="AP457" s="17">
        <v>41.01</v>
      </c>
      <c r="AQ457" s="18">
        <v>39.409999999999997</v>
      </c>
      <c r="AR457" s="19">
        <v>40.209999999999994</v>
      </c>
      <c r="AS457" s="18">
        <v>41.74</v>
      </c>
      <c r="AT457" s="18">
        <v>40.380000000000003</v>
      </c>
      <c r="AU457" s="18">
        <v>41.06</v>
      </c>
      <c r="AV457" s="17">
        <v>20.99</v>
      </c>
      <c r="AW457" s="18">
        <v>20.389999999999997</v>
      </c>
      <c r="AX457" s="19">
        <v>20.689999999999998</v>
      </c>
      <c r="AY457" s="17">
        <v>4.5199999999999996</v>
      </c>
      <c r="AZ457" s="18">
        <v>4.3599999999999994</v>
      </c>
      <c r="BA457" s="19">
        <v>4.4399999999999995</v>
      </c>
      <c r="BB457" s="17">
        <v>1.92</v>
      </c>
      <c r="BC457" s="23">
        <v>1.6199999999999999</v>
      </c>
      <c r="BD457" s="24">
        <v>1.77</v>
      </c>
      <c r="BE457" s="18">
        <v>0.69</v>
      </c>
      <c r="BF457" s="23">
        <v>0.38999999999999996</v>
      </c>
      <c r="BG457" s="23">
        <v>0.53999999999999992</v>
      </c>
      <c r="BH457" s="17">
        <v>497.05</v>
      </c>
      <c r="BI457" s="18">
        <v>481.05</v>
      </c>
      <c r="BJ457" s="19">
        <v>489.05</v>
      </c>
      <c r="BK457" s="18">
        <v>42.07</v>
      </c>
      <c r="BL457" s="18">
        <v>40.71</v>
      </c>
      <c r="BM457" s="18">
        <v>41.39</v>
      </c>
      <c r="BN457" s="25">
        <v>1.03</v>
      </c>
      <c r="BO457" s="23">
        <v>0.79</v>
      </c>
      <c r="BP457" s="24">
        <v>0.91</v>
      </c>
      <c r="BQ457" s="18">
        <v>8.4499999999999993</v>
      </c>
      <c r="BR457" s="18">
        <v>6.4499999999999993</v>
      </c>
      <c r="BS457" s="18">
        <v>7.4499999999999993</v>
      </c>
      <c r="BT457" s="17">
        <v>10.47</v>
      </c>
      <c r="BU457" s="18">
        <v>10.07</v>
      </c>
      <c r="BV457" s="19">
        <v>10.27</v>
      </c>
      <c r="BW457" s="17">
        <v>2.77</v>
      </c>
      <c r="BX457" s="23">
        <v>2.4900000000000002</v>
      </c>
      <c r="BY457" s="24">
        <v>2.63</v>
      </c>
      <c r="BZ457" s="17">
        <v>9.74</v>
      </c>
      <c r="CA457" s="18">
        <v>6.74</v>
      </c>
      <c r="CB457" s="19">
        <v>8.24</v>
      </c>
      <c r="CC457" s="17">
        <v>6.62</v>
      </c>
      <c r="CD457" s="18">
        <v>6.38</v>
      </c>
      <c r="CE457" s="19">
        <v>6.5</v>
      </c>
      <c r="CF457" s="17">
        <v>2.04</v>
      </c>
      <c r="CG457" s="18">
        <v>1.54</v>
      </c>
      <c r="CH457" s="19">
        <v>1.79</v>
      </c>
      <c r="CI457" s="17">
        <v>0.42</v>
      </c>
      <c r="CJ457" s="18">
        <v>0.38</v>
      </c>
      <c r="CK457" s="19">
        <v>0.4</v>
      </c>
      <c r="CL457" s="17">
        <v>39.92</v>
      </c>
      <c r="CM457">
        <v>37.520000000000003</v>
      </c>
      <c r="CN457">
        <v>38.72</v>
      </c>
      <c r="CO457">
        <v>6.47</v>
      </c>
      <c r="CP457">
        <v>1.4699999999999998</v>
      </c>
      <c r="CQ457">
        <v>3.9699999999999998</v>
      </c>
    </row>
    <row r="458" spans="1:95">
      <c r="A458" s="223">
        <v>45744</v>
      </c>
      <c r="B458" s="16" t="s">
        <v>100</v>
      </c>
      <c r="C458" s="17">
        <v>152.11000000000001</v>
      </c>
      <c r="D458" s="18">
        <v>150.11000000000001</v>
      </c>
      <c r="E458" s="19">
        <v>151.11000000000001</v>
      </c>
      <c r="F458" s="17">
        <v>164.53</v>
      </c>
      <c r="G458" s="18">
        <v>161.53</v>
      </c>
      <c r="H458" s="19">
        <v>163.03</v>
      </c>
      <c r="I458" s="17">
        <v>107.16</v>
      </c>
      <c r="J458" s="18">
        <v>103.96</v>
      </c>
      <c r="K458" s="19">
        <v>105.56</v>
      </c>
      <c r="L458" s="18">
        <v>199.66</v>
      </c>
      <c r="M458" s="18">
        <v>191.66</v>
      </c>
      <c r="N458" s="18">
        <v>195.66</v>
      </c>
      <c r="O458" s="17">
        <v>172.11</v>
      </c>
      <c r="P458" s="18">
        <v>170.31</v>
      </c>
      <c r="Q458" s="19">
        <v>171.21</v>
      </c>
      <c r="R458" s="18">
        <v>22.15</v>
      </c>
      <c r="S458" s="18">
        <v>21.549999999999997</v>
      </c>
      <c r="T458" s="18">
        <v>21.849999999999998</v>
      </c>
      <c r="U458" s="17">
        <v>14.7</v>
      </c>
      <c r="V458" s="18">
        <v>14.1</v>
      </c>
      <c r="W458" s="19">
        <v>14.399999999999999</v>
      </c>
      <c r="X458" s="17">
        <v>15.5</v>
      </c>
      <c r="Y458" s="18">
        <v>14.7</v>
      </c>
      <c r="Z458" s="19">
        <v>15.1</v>
      </c>
      <c r="AA458" s="17">
        <v>97.15</v>
      </c>
      <c r="AB458" s="18">
        <v>93.15</v>
      </c>
      <c r="AC458" s="19">
        <v>95.15</v>
      </c>
      <c r="AD458" s="17">
        <v>88.59</v>
      </c>
      <c r="AE458" s="18">
        <v>84.59</v>
      </c>
      <c r="AF458" s="19">
        <v>86.59</v>
      </c>
      <c r="AG458" s="18">
        <v>19.86</v>
      </c>
      <c r="AH458" s="18">
        <v>19</v>
      </c>
      <c r="AI458" s="18">
        <v>19.43</v>
      </c>
      <c r="AJ458" s="20"/>
      <c r="AK458" s="21"/>
      <c r="AL458" s="22"/>
      <c r="AM458" s="18">
        <v>113.62</v>
      </c>
      <c r="AN458" s="18">
        <v>111.96000000000001</v>
      </c>
      <c r="AO458" s="18">
        <v>112.79</v>
      </c>
      <c r="AP458" s="17">
        <v>41.15</v>
      </c>
      <c r="AQ458" s="18">
        <v>39.549999999999997</v>
      </c>
      <c r="AR458" s="19">
        <v>40.349999999999994</v>
      </c>
      <c r="AS458" s="18">
        <v>41.89</v>
      </c>
      <c r="AT458" s="18">
        <v>40.53</v>
      </c>
      <c r="AU458" s="18">
        <v>41.21</v>
      </c>
      <c r="AV458" s="17">
        <v>21.07</v>
      </c>
      <c r="AW458" s="18">
        <v>20.47</v>
      </c>
      <c r="AX458" s="19">
        <v>20.77</v>
      </c>
      <c r="AY458" s="17">
        <v>4.54</v>
      </c>
      <c r="AZ458" s="18">
        <v>4.38</v>
      </c>
      <c r="BA458" s="19">
        <v>4.46</v>
      </c>
      <c r="BB458" s="17">
        <v>1.92</v>
      </c>
      <c r="BC458" s="23">
        <v>1.6199999999999999</v>
      </c>
      <c r="BD458" s="24">
        <v>1.77</v>
      </c>
      <c r="BE458" s="18">
        <v>0.69</v>
      </c>
      <c r="BF458" s="23">
        <v>0.38999999999999996</v>
      </c>
      <c r="BG458" s="23">
        <v>0.53999999999999992</v>
      </c>
      <c r="BH458" s="17">
        <v>498.94</v>
      </c>
      <c r="BI458" s="18">
        <v>482.94</v>
      </c>
      <c r="BJ458" s="19">
        <v>490.94</v>
      </c>
      <c r="BK458" s="18">
        <v>42.21</v>
      </c>
      <c r="BL458" s="18">
        <v>40.85</v>
      </c>
      <c r="BM458" s="18">
        <v>41.53</v>
      </c>
      <c r="BN458" s="25">
        <v>1.04</v>
      </c>
      <c r="BO458" s="23">
        <v>0.8</v>
      </c>
      <c r="BP458" s="24">
        <v>0.92</v>
      </c>
      <c r="BQ458" s="18">
        <v>8.4499999999999993</v>
      </c>
      <c r="BR458" s="18">
        <v>6.4499999999999993</v>
      </c>
      <c r="BS458" s="18">
        <v>7.4499999999999993</v>
      </c>
      <c r="BT458" s="17">
        <v>10.52</v>
      </c>
      <c r="BU458" s="18">
        <v>10.119999999999999</v>
      </c>
      <c r="BV458" s="19">
        <v>10.32</v>
      </c>
      <c r="BW458" s="17">
        <v>2.79</v>
      </c>
      <c r="BX458" s="23">
        <v>2.5099999999999998</v>
      </c>
      <c r="BY458" s="24">
        <v>2.65</v>
      </c>
      <c r="BZ458" s="17">
        <v>9.7799999999999994</v>
      </c>
      <c r="CA458" s="18">
        <v>6.7799999999999994</v>
      </c>
      <c r="CB458" s="19">
        <v>8.2799999999999994</v>
      </c>
      <c r="CC458" s="17">
        <v>6.66</v>
      </c>
      <c r="CD458" s="18">
        <v>6.42</v>
      </c>
      <c r="CE458" s="19">
        <v>6.54</v>
      </c>
      <c r="CF458" s="17">
        <v>2.04</v>
      </c>
      <c r="CG458" s="18">
        <v>1.54</v>
      </c>
      <c r="CH458" s="19">
        <v>1.79</v>
      </c>
      <c r="CI458" s="17">
        <v>0.43</v>
      </c>
      <c r="CJ458" s="18">
        <v>0.39</v>
      </c>
      <c r="CK458" s="19">
        <v>0.41000000000000003</v>
      </c>
      <c r="CL458" s="17">
        <v>40.21</v>
      </c>
      <c r="CM458">
        <v>37.81</v>
      </c>
      <c r="CN458">
        <v>39.010000000000005</v>
      </c>
      <c r="CO458">
        <v>6.49</v>
      </c>
      <c r="CP458">
        <v>1.4900000000000002</v>
      </c>
      <c r="CQ458">
        <v>3.99</v>
      </c>
    </row>
    <row r="459" spans="1:95">
      <c r="A459" s="223">
        <v>45745</v>
      </c>
      <c r="B459" s="16" t="s">
        <v>307</v>
      </c>
      <c r="C459" s="17"/>
      <c r="D459" s="18"/>
      <c r="E459" s="19"/>
      <c r="F459" s="17"/>
      <c r="G459" s="18"/>
      <c r="H459" s="19"/>
      <c r="I459" s="17"/>
      <c r="J459" s="18"/>
      <c r="K459" s="19"/>
      <c r="L459" s="18"/>
      <c r="M459" s="18"/>
      <c r="N459" s="18"/>
      <c r="O459" s="17"/>
      <c r="P459" s="18"/>
      <c r="Q459" s="19"/>
      <c r="R459" s="18"/>
      <c r="S459" s="18"/>
      <c r="T459" s="18"/>
      <c r="U459" s="17"/>
      <c r="V459" s="18"/>
      <c r="W459" s="19"/>
      <c r="X459" s="17"/>
      <c r="Y459" s="18"/>
      <c r="Z459" s="19"/>
      <c r="AA459" s="17"/>
      <c r="AB459" s="18"/>
      <c r="AC459" s="19"/>
      <c r="AD459" s="17"/>
      <c r="AE459" s="18"/>
      <c r="AF459" s="19"/>
      <c r="AG459" s="18"/>
      <c r="AH459" s="18"/>
      <c r="AI459" s="18"/>
      <c r="AJ459" s="20"/>
      <c r="AK459" s="21"/>
      <c r="AL459" s="22"/>
      <c r="AM459" s="18"/>
      <c r="AN459" s="18"/>
      <c r="AO459" s="18"/>
      <c r="AP459" s="17"/>
      <c r="AQ459" s="18"/>
      <c r="AR459" s="19"/>
      <c r="AS459" s="18"/>
      <c r="AT459" s="18"/>
      <c r="AU459" s="18"/>
      <c r="AV459" s="17"/>
      <c r="AW459" s="18"/>
      <c r="AX459" s="19"/>
      <c r="AY459" s="17"/>
      <c r="AZ459" s="18"/>
      <c r="BA459" s="19"/>
      <c r="BB459" s="17"/>
      <c r="BC459" s="23"/>
      <c r="BD459" s="24"/>
      <c r="BE459" s="18"/>
      <c r="BF459" s="23"/>
      <c r="BG459" s="23"/>
      <c r="BH459" s="17"/>
      <c r="BI459" s="18"/>
      <c r="BJ459" s="19"/>
      <c r="BK459" s="18"/>
      <c r="BL459" s="18"/>
      <c r="BM459" s="18"/>
      <c r="BN459" s="25"/>
      <c r="BO459" s="23"/>
      <c r="BP459" s="24"/>
      <c r="BQ459" s="18"/>
      <c r="BR459" s="18"/>
      <c r="BS459" s="18"/>
      <c r="BT459" s="17"/>
      <c r="BU459" s="18"/>
      <c r="BV459" s="19"/>
      <c r="BW459" s="17"/>
      <c r="BX459" s="23"/>
      <c r="BY459" s="24"/>
      <c r="BZ459" s="17"/>
      <c r="CA459" s="18"/>
      <c r="CB459" s="19"/>
      <c r="CC459" s="17"/>
      <c r="CD459" s="18"/>
      <c r="CE459" s="19"/>
      <c r="CF459" s="17"/>
      <c r="CG459" s="18"/>
      <c r="CH459" s="19"/>
      <c r="CI459" s="17"/>
      <c r="CJ459" s="18"/>
      <c r="CK459" s="19"/>
      <c r="CL459" s="17"/>
    </row>
    <row r="460" spans="1:95">
      <c r="A460" s="223">
        <v>45746</v>
      </c>
      <c r="B460" s="16" t="s">
        <v>308</v>
      </c>
      <c r="C460" s="17"/>
      <c r="D460" s="18"/>
      <c r="E460" s="19"/>
      <c r="F460" s="17"/>
      <c r="G460" s="18"/>
      <c r="H460" s="19"/>
      <c r="I460" s="17"/>
      <c r="J460" s="18"/>
      <c r="K460" s="19"/>
      <c r="L460" s="18"/>
      <c r="M460" s="18"/>
      <c r="N460" s="18"/>
      <c r="O460" s="17"/>
      <c r="P460" s="18"/>
      <c r="Q460" s="19"/>
      <c r="R460" s="18"/>
      <c r="S460" s="18"/>
      <c r="T460" s="18"/>
      <c r="U460" s="17"/>
      <c r="V460" s="18"/>
      <c r="W460" s="19"/>
      <c r="X460" s="17"/>
      <c r="Y460" s="18"/>
      <c r="Z460" s="19"/>
      <c r="AA460" s="17"/>
      <c r="AB460" s="18"/>
      <c r="AC460" s="19"/>
      <c r="AD460" s="17"/>
      <c r="AE460" s="18"/>
      <c r="AF460" s="19"/>
      <c r="AG460" s="18"/>
      <c r="AH460" s="18"/>
      <c r="AI460" s="18"/>
      <c r="AJ460" s="20"/>
      <c r="AK460" s="21"/>
      <c r="AL460" s="22"/>
      <c r="AM460" s="18"/>
      <c r="AN460" s="18"/>
      <c r="AO460" s="18"/>
      <c r="AP460" s="17"/>
      <c r="AQ460" s="18"/>
      <c r="AR460" s="19"/>
      <c r="AS460" s="18"/>
      <c r="AT460" s="18"/>
      <c r="AU460" s="18"/>
      <c r="AV460" s="17"/>
      <c r="AW460" s="18"/>
      <c r="AX460" s="19"/>
      <c r="AY460" s="17"/>
      <c r="AZ460" s="18"/>
      <c r="BA460" s="19"/>
      <c r="BB460" s="17"/>
      <c r="BC460" s="23"/>
      <c r="BD460" s="24"/>
      <c r="BE460" s="18"/>
      <c r="BF460" s="23"/>
      <c r="BG460" s="23"/>
      <c r="BH460" s="17"/>
      <c r="BI460" s="18"/>
      <c r="BJ460" s="19"/>
      <c r="BK460" s="18"/>
      <c r="BL460" s="18"/>
      <c r="BM460" s="18"/>
      <c r="BN460" s="25"/>
      <c r="BO460" s="23"/>
      <c r="BP460" s="24"/>
      <c r="BQ460" s="18"/>
      <c r="BR460" s="18"/>
      <c r="BS460" s="18"/>
      <c r="BT460" s="17"/>
      <c r="BU460" s="18"/>
      <c r="BV460" s="19"/>
      <c r="BW460" s="17"/>
      <c r="BX460" s="23"/>
      <c r="BY460" s="24"/>
      <c r="BZ460" s="17"/>
      <c r="CA460" s="18"/>
      <c r="CB460" s="19"/>
      <c r="CC460" s="17"/>
      <c r="CD460" s="18"/>
      <c r="CE460" s="19"/>
      <c r="CF460" s="17"/>
      <c r="CG460" s="18"/>
      <c r="CH460" s="19"/>
      <c r="CI460" s="17"/>
      <c r="CJ460" s="18"/>
      <c r="CK460" s="19"/>
      <c r="CL460" s="17"/>
    </row>
    <row r="461" spans="1:95">
      <c r="A461" s="223">
        <v>45747</v>
      </c>
      <c r="B461" s="16" t="s">
        <v>96</v>
      </c>
      <c r="C461" s="17">
        <v>150.52000000000001</v>
      </c>
      <c r="D461" s="18">
        <v>148.52000000000001</v>
      </c>
      <c r="E461" s="19">
        <v>149.52000000000001</v>
      </c>
      <c r="F461" s="17">
        <v>163.58000000000001</v>
      </c>
      <c r="G461" s="18">
        <v>160.58000000000001</v>
      </c>
      <c r="H461" s="19">
        <v>162.08000000000001</v>
      </c>
      <c r="I461" s="17">
        <v>106.12</v>
      </c>
      <c r="J461" s="18">
        <v>102.92</v>
      </c>
      <c r="K461" s="19">
        <v>104.52000000000001</v>
      </c>
      <c r="L461" s="18">
        <v>197.82</v>
      </c>
      <c r="M461" s="18">
        <v>189.82</v>
      </c>
      <c r="N461" s="18">
        <v>193.82</v>
      </c>
      <c r="O461" s="17">
        <v>170.94</v>
      </c>
      <c r="P461" s="18">
        <v>169.14</v>
      </c>
      <c r="Q461" s="19">
        <v>170.04</v>
      </c>
      <c r="R461" s="18">
        <v>22.02</v>
      </c>
      <c r="S461" s="18">
        <v>21.419999999999998</v>
      </c>
      <c r="T461" s="18">
        <v>21.72</v>
      </c>
      <c r="U461" s="17">
        <v>14.57</v>
      </c>
      <c r="V461" s="18">
        <v>13.97</v>
      </c>
      <c r="W461" s="19">
        <v>14.27</v>
      </c>
      <c r="X461" s="17">
        <v>15.37</v>
      </c>
      <c r="Y461" s="18">
        <v>14.569999999999999</v>
      </c>
      <c r="Z461" s="19">
        <v>14.969999999999999</v>
      </c>
      <c r="AA461" s="17">
        <v>95.97</v>
      </c>
      <c r="AB461" s="18">
        <v>91.97</v>
      </c>
      <c r="AC461" s="19">
        <v>93.97</v>
      </c>
      <c r="AD461" s="17">
        <v>87.26</v>
      </c>
      <c r="AE461" s="18">
        <v>83.26</v>
      </c>
      <c r="AF461" s="19">
        <v>85.26</v>
      </c>
      <c r="AG461" s="18">
        <v>19.649999999999999</v>
      </c>
      <c r="AH461" s="18">
        <v>18.79</v>
      </c>
      <c r="AI461" s="18">
        <v>19.22</v>
      </c>
      <c r="AJ461" s="20"/>
      <c r="AK461" s="21"/>
      <c r="AL461" s="22"/>
      <c r="AM461" s="18">
        <v>112.31</v>
      </c>
      <c r="AN461" s="18">
        <v>110.65</v>
      </c>
      <c r="AO461" s="18">
        <v>111.48</v>
      </c>
      <c r="AP461" s="17">
        <v>40.619999999999997</v>
      </c>
      <c r="AQ461" s="18">
        <v>39.019999999999996</v>
      </c>
      <c r="AR461" s="19">
        <v>39.819999999999993</v>
      </c>
      <c r="AS461" s="18">
        <v>41.45</v>
      </c>
      <c r="AT461" s="18">
        <v>40.090000000000003</v>
      </c>
      <c r="AU461" s="18">
        <v>40.770000000000003</v>
      </c>
      <c r="AV461" s="17">
        <v>20.89</v>
      </c>
      <c r="AW461" s="18">
        <v>20.29</v>
      </c>
      <c r="AX461" s="19">
        <v>20.59</v>
      </c>
      <c r="AY461" s="17">
        <v>4.4800000000000004</v>
      </c>
      <c r="AZ461" s="18">
        <v>4.32</v>
      </c>
      <c r="BA461" s="19">
        <v>4.4000000000000004</v>
      </c>
      <c r="BB461" s="17">
        <v>1.91</v>
      </c>
      <c r="BC461" s="23">
        <v>1.6099999999999999</v>
      </c>
      <c r="BD461" s="24">
        <v>1.7599999999999998</v>
      </c>
      <c r="BE461" s="18">
        <v>0.69</v>
      </c>
      <c r="BF461" s="23">
        <v>0.38999999999999996</v>
      </c>
      <c r="BG461" s="23">
        <v>0.53999999999999992</v>
      </c>
      <c r="BH461" s="17">
        <v>494.24</v>
      </c>
      <c r="BI461" s="18">
        <v>478.24</v>
      </c>
      <c r="BJ461" s="19">
        <v>486.24</v>
      </c>
      <c r="BK461" s="18">
        <v>41.77</v>
      </c>
      <c r="BL461" s="18">
        <v>40.410000000000004</v>
      </c>
      <c r="BM461" s="18">
        <v>41.09</v>
      </c>
      <c r="BN461" s="25">
        <v>1.03</v>
      </c>
      <c r="BO461" s="23">
        <v>0.79</v>
      </c>
      <c r="BP461" s="24">
        <v>0.91</v>
      </c>
      <c r="BQ461" s="18">
        <v>8.33</v>
      </c>
      <c r="BR461" s="18">
        <v>6.33</v>
      </c>
      <c r="BS461" s="18">
        <v>7.33</v>
      </c>
      <c r="BT461" s="17">
        <v>10.37</v>
      </c>
      <c r="BU461" s="18">
        <v>9.9699999999999989</v>
      </c>
      <c r="BV461" s="19">
        <v>10.169999999999998</v>
      </c>
      <c r="BW461" s="17">
        <v>2.77</v>
      </c>
      <c r="BX461" s="23">
        <v>2.4900000000000002</v>
      </c>
      <c r="BY461" s="24">
        <v>2.63</v>
      </c>
      <c r="BZ461" s="17">
        <v>9.61</v>
      </c>
      <c r="CA461" s="18">
        <v>6.6099999999999994</v>
      </c>
      <c r="CB461" s="19">
        <v>8.11</v>
      </c>
      <c r="CC461" s="17">
        <v>6.63</v>
      </c>
      <c r="CD461" s="18">
        <v>6.39</v>
      </c>
      <c r="CE461" s="19">
        <v>6.51</v>
      </c>
      <c r="CF461" s="17">
        <v>2.0099999999999998</v>
      </c>
      <c r="CG461" s="18">
        <v>1.5099999999999998</v>
      </c>
      <c r="CH461" s="19">
        <v>1.7599999999999998</v>
      </c>
      <c r="CI461" s="17">
        <v>0.42</v>
      </c>
      <c r="CJ461" s="18">
        <v>0.38</v>
      </c>
      <c r="CK461" s="19">
        <v>0.4</v>
      </c>
      <c r="CL461" s="17">
        <v>40.020000000000003</v>
      </c>
      <c r="CM461">
        <v>37.620000000000005</v>
      </c>
      <c r="CN461">
        <v>38.820000000000007</v>
      </c>
      <c r="CO461">
        <v>6.45</v>
      </c>
      <c r="CP461">
        <v>1.4500000000000002</v>
      </c>
      <c r="CQ461">
        <v>3.95</v>
      </c>
    </row>
    <row r="462" spans="1:95">
      <c r="A462" s="223">
        <v>45748</v>
      </c>
      <c r="B462" s="16" t="s">
        <v>97</v>
      </c>
      <c r="C462" s="17">
        <v>150.82</v>
      </c>
      <c r="D462" s="18">
        <v>148.82</v>
      </c>
      <c r="E462" s="19">
        <v>149.82</v>
      </c>
      <c r="F462" s="17">
        <v>163.66999999999999</v>
      </c>
      <c r="G462" s="18">
        <v>160.66999999999999</v>
      </c>
      <c r="H462" s="19">
        <v>162.16999999999999</v>
      </c>
      <c r="I462" s="17">
        <v>105.69</v>
      </c>
      <c r="J462" s="18">
        <v>102.49</v>
      </c>
      <c r="K462" s="19">
        <v>104.09</v>
      </c>
      <c r="L462" s="18">
        <v>197.69</v>
      </c>
      <c r="M462" s="18">
        <v>189.69</v>
      </c>
      <c r="N462" s="18">
        <v>193.69</v>
      </c>
      <c r="O462" s="17">
        <v>170.46</v>
      </c>
      <c r="P462" s="18">
        <v>168.66</v>
      </c>
      <c r="Q462" s="19">
        <v>169.56</v>
      </c>
      <c r="R462" s="18">
        <v>22.04</v>
      </c>
      <c r="S462" s="18">
        <v>21.439999999999998</v>
      </c>
      <c r="T462" s="18">
        <v>21.74</v>
      </c>
      <c r="U462" s="17">
        <v>14.57</v>
      </c>
      <c r="V462" s="18">
        <v>13.97</v>
      </c>
      <c r="W462" s="19">
        <v>14.27</v>
      </c>
      <c r="X462" s="17">
        <v>15.33</v>
      </c>
      <c r="Y462" s="18">
        <v>14.53</v>
      </c>
      <c r="Z462" s="19">
        <v>14.93</v>
      </c>
      <c r="AA462" s="17">
        <v>95.46</v>
      </c>
      <c r="AB462" s="18">
        <v>91.46</v>
      </c>
      <c r="AC462" s="19">
        <v>93.46</v>
      </c>
      <c r="AD462" s="17">
        <v>86.93</v>
      </c>
      <c r="AE462" s="18">
        <v>82.93</v>
      </c>
      <c r="AF462" s="19">
        <v>84.93</v>
      </c>
      <c r="AG462" s="18">
        <v>19.690000000000001</v>
      </c>
      <c r="AH462" s="18">
        <v>18.830000000000002</v>
      </c>
      <c r="AI462" s="18">
        <v>19.260000000000002</v>
      </c>
      <c r="AJ462" s="20"/>
      <c r="AK462" s="21"/>
      <c r="AL462" s="22"/>
      <c r="AM462" s="18">
        <v>112.39</v>
      </c>
      <c r="AN462" s="18">
        <v>110.73</v>
      </c>
      <c r="AO462" s="18">
        <v>111.56</v>
      </c>
      <c r="AP462" s="17">
        <v>40.71</v>
      </c>
      <c r="AQ462" s="18">
        <v>39.11</v>
      </c>
      <c r="AR462" s="19">
        <v>39.909999999999997</v>
      </c>
      <c r="AS462" s="18">
        <v>41.54</v>
      </c>
      <c r="AT462" s="18">
        <v>40.18</v>
      </c>
      <c r="AU462" s="18">
        <v>40.86</v>
      </c>
      <c r="AV462" s="17">
        <v>20.92</v>
      </c>
      <c r="AW462" s="18">
        <v>20.32</v>
      </c>
      <c r="AX462" s="19">
        <v>20.62</v>
      </c>
      <c r="AY462" s="17">
        <v>4.49</v>
      </c>
      <c r="AZ462" s="18">
        <v>4.33</v>
      </c>
      <c r="BA462" s="19">
        <v>4.41</v>
      </c>
      <c r="BB462" s="17">
        <v>1.91</v>
      </c>
      <c r="BC462" s="23">
        <v>1.6099999999999999</v>
      </c>
      <c r="BD462" s="24">
        <v>1.7599999999999998</v>
      </c>
      <c r="BE462" s="18">
        <v>0.69</v>
      </c>
      <c r="BF462" s="23">
        <v>0.38999999999999996</v>
      </c>
      <c r="BG462" s="23">
        <v>0.53999999999999992</v>
      </c>
      <c r="BH462" s="17">
        <v>494.74</v>
      </c>
      <c r="BI462" s="18">
        <v>478.74</v>
      </c>
      <c r="BJ462" s="19">
        <v>486.74</v>
      </c>
      <c r="BK462" s="18">
        <v>41.85</v>
      </c>
      <c r="BL462" s="18">
        <v>40.49</v>
      </c>
      <c r="BM462" s="18">
        <v>41.17</v>
      </c>
      <c r="BN462" s="25">
        <v>1.03</v>
      </c>
      <c r="BO462" s="23">
        <v>0.79</v>
      </c>
      <c r="BP462" s="24">
        <v>0.91</v>
      </c>
      <c r="BQ462" s="18">
        <v>8.32</v>
      </c>
      <c r="BR462" s="18">
        <v>6.32</v>
      </c>
      <c r="BS462" s="18">
        <v>7.32</v>
      </c>
      <c r="BT462" s="17">
        <v>10.36</v>
      </c>
      <c r="BU462" s="18">
        <v>9.9599999999999991</v>
      </c>
      <c r="BV462" s="19">
        <v>10.16</v>
      </c>
      <c r="BW462" s="17">
        <v>2.78</v>
      </c>
      <c r="BX462" s="23">
        <v>2.5</v>
      </c>
      <c r="BY462" s="24">
        <v>2.6399999999999997</v>
      </c>
      <c r="BZ462" s="17">
        <v>9.68</v>
      </c>
      <c r="CA462" s="18">
        <v>6.68</v>
      </c>
      <c r="CB462" s="19">
        <v>8.18</v>
      </c>
      <c r="CC462" s="17">
        <v>6.63</v>
      </c>
      <c r="CD462" s="18">
        <v>6.39</v>
      </c>
      <c r="CE462" s="19">
        <v>6.51</v>
      </c>
      <c r="CF462" s="17">
        <v>2.06</v>
      </c>
      <c r="CG462" s="18">
        <v>1.56</v>
      </c>
      <c r="CH462" s="19">
        <v>1.81</v>
      </c>
      <c r="CI462" s="17">
        <v>0.42</v>
      </c>
      <c r="CJ462" s="18">
        <v>0.38</v>
      </c>
      <c r="CK462" s="19">
        <v>0.4</v>
      </c>
      <c r="CL462" s="17">
        <v>39.979999999999997</v>
      </c>
      <c r="CM462">
        <v>37.58</v>
      </c>
      <c r="CN462">
        <v>38.78</v>
      </c>
      <c r="CO462">
        <v>6.46</v>
      </c>
      <c r="CP462">
        <v>1.46</v>
      </c>
      <c r="CQ462">
        <v>3.96</v>
      </c>
    </row>
    <row r="463" spans="1:95">
      <c r="A463" s="223">
        <v>45749</v>
      </c>
      <c r="B463" s="16" t="s">
        <v>98</v>
      </c>
      <c r="C463" s="17">
        <v>150.84</v>
      </c>
      <c r="D463" s="18">
        <v>148.84</v>
      </c>
      <c r="E463" s="19">
        <v>149.84</v>
      </c>
      <c r="F463" s="17">
        <v>163.21</v>
      </c>
      <c r="G463" s="18">
        <v>160.21</v>
      </c>
      <c r="H463" s="19">
        <v>161.71</v>
      </c>
      <c r="I463" s="17">
        <v>106.37</v>
      </c>
      <c r="J463" s="18">
        <v>103.17</v>
      </c>
      <c r="K463" s="19">
        <v>104.77000000000001</v>
      </c>
      <c r="L463" s="18">
        <v>197.52</v>
      </c>
      <c r="M463" s="18">
        <v>189.52</v>
      </c>
      <c r="N463" s="18">
        <v>193.52</v>
      </c>
      <c r="O463" s="17">
        <v>170.44</v>
      </c>
      <c r="P463" s="18">
        <v>168.64</v>
      </c>
      <c r="Q463" s="19">
        <v>169.54</v>
      </c>
      <c r="R463" s="18">
        <v>21.97</v>
      </c>
      <c r="S463" s="18">
        <v>21.369999999999997</v>
      </c>
      <c r="T463" s="18">
        <v>21.669999999999998</v>
      </c>
      <c r="U463" s="17">
        <v>14.62</v>
      </c>
      <c r="V463" s="18">
        <v>14.02</v>
      </c>
      <c r="W463" s="19">
        <v>14.32</v>
      </c>
      <c r="X463" s="17">
        <v>15.36</v>
      </c>
      <c r="Y463" s="18">
        <v>14.559999999999999</v>
      </c>
      <c r="Z463" s="19">
        <v>14.959999999999999</v>
      </c>
      <c r="AA463" s="17">
        <v>96.07</v>
      </c>
      <c r="AB463" s="18">
        <v>92.07</v>
      </c>
      <c r="AC463" s="19">
        <v>94.07</v>
      </c>
      <c r="AD463" s="17">
        <v>87.53</v>
      </c>
      <c r="AE463" s="18">
        <v>83.53</v>
      </c>
      <c r="AF463" s="19">
        <v>85.53</v>
      </c>
      <c r="AG463" s="18">
        <v>19.690000000000001</v>
      </c>
      <c r="AH463" s="18">
        <v>18.830000000000002</v>
      </c>
      <c r="AI463" s="18">
        <v>19.260000000000002</v>
      </c>
      <c r="AJ463" s="20"/>
      <c r="AK463" s="21"/>
      <c r="AL463" s="22"/>
      <c r="AM463" s="18">
        <v>112.28</v>
      </c>
      <c r="AN463" s="18">
        <v>110.62</v>
      </c>
      <c r="AO463" s="18">
        <v>111.45</v>
      </c>
      <c r="AP463" s="17">
        <v>40.81</v>
      </c>
      <c r="AQ463" s="18">
        <v>39.21</v>
      </c>
      <c r="AR463" s="19">
        <v>40.010000000000005</v>
      </c>
      <c r="AS463" s="18">
        <v>41.54</v>
      </c>
      <c r="AT463" s="18">
        <v>40.18</v>
      </c>
      <c r="AU463" s="18">
        <v>40.86</v>
      </c>
      <c r="AV463" s="17">
        <v>20.88</v>
      </c>
      <c r="AW463" s="18">
        <v>20.279999999999998</v>
      </c>
      <c r="AX463" s="19">
        <v>20.58</v>
      </c>
      <c r="AY463" s="17">
        <v>4.46</v>
      </c>
      <c r="AZ463" s="18">
        <v>4.3</v>
      </c>
      <c r="BA463" s="19">
        <v>4.38</v>
      </c>
      <c r="BB463" s="17">
        <v>1.91</v>
      </c>
      <c r="BC463" s="23">
        <v>1.6099999999999999</v>
      </c>
      <c r="BD463" s="24">
        <v>1.7599999999999998</v>
      </c>
      <c r="BE463" s="18">
        <v>0.69</v>
      </c>
      <c r="BF463" s="23">
        <v>0.38999999999999996</v>
      </c>
      <c r="BG463" s="23">
        <v>0.53999999999999992</v>
      </c>
      <c r="BH463" s="17">
        <v>494.81</v>
      </c>
      <c r="BI463" s="18">
        <v>478.81</v>
      </c>
      <c r="BJ463" s="19">
        <v>486.81</v>
      </c>
      <c r="BK463" s="18">
        <v>41.86</v>
      </c>
      <c r="BL463" s="18">
        <v>40.5</v>
      </c>
      <c r="BM463" s="18">
        <v>41.18</v>
      </c>
      <c r="BN463" s="25">
        <v>1.03</v>
      </c>
      <c r="BO463" s="23">
        <v>0.79</v>
      </c>
      <c r="BP463" s="24">
        <v>0.91</v>
      </c>
      <c r="BQ463" s="18">
        <v>8.36</v>
      </c>
      <c r="BR463" s="18">
        <v>6.3599999999999994</v>
      </c>
      <c r="BS463" s="18">
        <v>7.3599999999999994</v>
      </c>
      <c r="BT463" s="17">
        <v>10.4</v>
      </c>
      <c r="BU463" s="18">
        <v>10</v>
      </c>
      <c r="BV463" s="19">
        <v>10.199999999999999</v>
      </c>
      <c r="BW463" s="17">
        <v>2.78</v>
      </c>
      <c r="BX463" s="23">
        <v>2.5</v>
      </c>
      <c r="BY463" s="24">
        <v>2.6399999999999997</v>
      </c>
      <c r="BZ463" s="17">
        <v>9.59</v>
      </c>
      <c r="CA463" s="18">
        <v>6.59</v>
      </c>
      <c r="CB463" s="19">
        <v>8.09</v>
      </c>
      <c r="CC463" s="17">
        <v>6.61</v>
      </c>
      <c r="CD463" s="18">
        <v>6.37</v>
      </c>
      <c r="CE463" s="19">
        <v>6.49</v>
      </c>
      <c r="CF463" s="17">
        <v>2.0299999999999998</v>
      </c>
      <c r="CG463" s="18">
        <v>1.5299999999999998</v>
      </c>
      <c r="CH463" s="19">
        <v>1.7799999999999998</v>
      </c>
      <c r="CI463" s="17">
        <v>0.42</v>
      </c>
      <c r="CJ463" s="18">
        <v>0.38</v>
      </c>
      <c r="CK463" s="19">
        <v>0.4</v>
      </c>
      <c r="CL463" s="17">
        <v>39.83</v>
      </c>
      <c r="CM463">
        <v>37.43</v>
      </c>
      <c r="CN463">
        <v>38.629999999999995</v>
      </c>
      <c r="CO463">
        <v>6.46</v>
      </c>
      <c r="CP463">
        <v>1.46</v>
      </c>
      <c r="CQ463">
        <v>3.96</v>
      </c>
    </row>
    <row r="464" spans="1:95">
      <c r="A464" s="223">
        <v>45750</v>
      </c>
      <c r="B464" s="16" t="s">
        <v>99</v>
      </c>
      <c r="C464" s="17">
        <v>148.83000000000001</v>
      </c>
      <c r="D464" s="18">
        <v>146.83000000000001</v>
      </c>
      <c r="E464" s="19">
        <v>147.83000000000001</v>
      </c>
      <c r="F464" s="17">
        <v>162.56</v>
      </c>
      <c r="G464" s="18">
        <v>159.56</v>
      </c>
      <c r="H464" s="19">
        <v>161.06</v>
      </c>
      <c r="I464" s="17">
        <v>105.32</v>
      </c>
      <c r="J464" s="18">
        <v>102.11999999999999</v>
      </c>
      <c r="K464" s="19">
        <v>103.72</v>
      </c>
      <c r="L464" s="18">
        <v>196.84</v>
      </c>
      <c r="M464" s="18">
        <v>188.84</v>
      </c>
      <c r="N464" s="18">
        <v>192.84</v>
      </c>
      <c r="O464" s="17">
        <v>169.31</v>
      </c>
      <c r="P464" s="18">
        <v>167.51</v>
      </c>
      <c r="Q464" s="19">
        <v>168.41</v>
      </c>
      <c r="R464" s="18">
        <v>21.89</v>
      </c>
      <c r="S464" s="18">
        <v>21.29</v>
      </c>
      <c r="T464" s="18">
        <v>21.59</v>
      </c>
      <c r="U464" s="17">
        <v>14.51</v>
      </c>
      <c r="V464" s="18">
        <v>13.91</v>
      </c>
      <c r="W464" s="19">
        <v>14.21</v>
      </c>
      <c r="X464" s="17">
        <v>15.38</v>
      </c>
      <c r="Y464" s="18">
        <v>14.58</v>
      </c>
      <c r="Z464" s="19">
        <v>14.98</v>
      </c>
      <c r="AA464" s="17">
        <v>94.65</v>
      </c>
      <c r="AB464" s="18">
        <v>90.65</v>
      </c>
      <c r="AC464" s="19">
        <v>92.65</v>
      </c>
      <c r="AD464" s="17">
        <v>86.78</v>
      </c>
      <c r="AE464" s="18">
        <v>82.78</v>
      </c>
      <c r="AF464" s="19">
        <v>84.78</v>
      </c>
      <c r="AG464" s="18">
        <v>19.420000000000002</v>
      </c>
      <c r="AH464" s="18">
        <v>18.560000000000002</v>
      </c>
      <c r="AI464" s="18">
        <v>18.990000000000002</v>
      </c>
      <c r="AJ464" s="20"/>
      <c r="AK464" s="21"/>
      <c r="AL464" s="22"/>
      <c r="AM464" s="18">
        <v>110.66</v>
      </c>
      <c r="AN464" s="18">
        <v>109</v>
      </c>
      <c r="AO464" s="18">
        <v>109.83</v>
      </c>
      <c r="AP464" s="17">
        <v>40.31</v>
      </c>
      <c r="AQ464" s="18">
        <v>38.71</v>
      </c>
      <c r="AR464" s="19">
        <v>39.510000000000005</v>
      </c>
      <c r="AS464" s="18">
        <v>40.86</v>
      </c>
      <c r="AT464" s="18">
        <v>39.5</v>
      </c>
      <c r="AU464" s="18">
        <v>40.18</v>
      </c>
      <c r="AV464" s="17">
        <v>20.5</v>
      </c>
      <c r="AW464" s="18">
        <v>19.899999999999999</v>
      </c>
      <c r="AX464" s="19">
        <v>20.2</v>
      </c>
      <c r="AY464" s="17">
        <v>4.38</v>
      </c>
      <c r="AZ464" s="18">
        <v>4.22</v>
      </c>
      <c r="BA464" s="19">
        <v>4.3</v>
      </c>
      <c r="BB464" s="17">
        <v>1.89</v>
      </c>
      <c r="BC464" s="23">
        <v>1.5899999999999999</v>
      </c>
      <c r="BD464" s="24">
        <v>1.7399999999999998</v>
      </c>
      <c r="BE464" s="18">
        <v>0.68</v>
      </c>
      <c r="BF464" s="23">
        <v>0.38000000000000006</v>
      </c>
      <c r="BG464" s="23">
        <v>0.53</v>
      </c>
      <c r="BH464" s="17">
        <v>490.16</v>
      </c>
      <c r="BI464" s="18">
        <v>474.16</v>
      </c>
      <c r="BJ464" s="19">
        <v>482.16</v>
      </c>
      <c r="BK464" s="18">
        <v>41.36</v>
      </c>
      <c r="BL464" s="18">
        <v>40</v>
      </c>
      <c r="BM464" s="18">
        <v>40.68</v>
      </c>
      <c r="BN464" s="25">
        <v>1.02</v>
      </c>
      <c r="BO464" s="23">
        <v>0.78</v>
      </c>
      <c r="BP464" s="24">
        <v>0.9</v>
      </c>
      <c r="BQ464" s="18">
        <v>8.31</v>
      </c>
      <c r="BR464" s="18">
        <v>6.3100000000000005</v>
      </c>
      <c r="BS464" s="18">
        <v>7.3100000000000005</v>
      </c>
      <c r="BT464" s="17">
        <v>10.29</v>
      </c>
      <c r="BU464" s="18">
        <v>9.8899999999999988</v>
      </c>
      <c r="BV464" s="19">
        <v>10.09</v>
      </c>
      <c r="BW464" s="17">
        <v>2.75</v>
      </c>
      <c r="BX464" s="23">
        <v>2.4699999999999998</v>
      </c>
      <c r="BY464" s="24">
        <v>2.61</v>
      </c>
      <c r="BZ464" s="17">
        <v>9.33</v>
      </c>
      <c r="CA464" s="18">
        <v>6.33</v>
      </c>
      <c r="CB464" s="19">
        <v>7.83</v>
      </c>
      <c r="CC464" s="17">
        <v>6.57</v>
      </c>
      <c r="CD464" s="18">
        <v>6.33</v>
      </c>
      <c r="CE464" s="19">
        <v>6.45</v>
      </c>
      <c r="CF464" s="17">
        <v>2.0099999999999998</v>
      </c>
      <c r="CG464" s="18">
        <v>1.5099999999999998</v>
      </c>
      <c r="CH464" s="19">
        <v>1.7599999999999998</v>
      </c>
      <c r="CI464" s="17">
        <v>0.42</v>
      </c>
      <c r="CJ464" s="18">
        <v>0.38</v>
      </c>
      <c r="CK464" s="19">
        <v>0.4</v>
      </c>
      <c r="CL464" s="17">
        <v>39.76</v>
      </c>
      <c r="CM464">
        <v>37.36</v>
      </c>
      <c r="CN464">
        <v>38.56</v>
      </c>
      <c r="CO464">
        <v>6.4</v>
      </c>
      <c r="CP464">
        <v>1.4000000000000004</v>
      </c>
      <c r="CQ464">
        <v>3.9000000000000004</v>
      </c>
    </row>
    <row r="465" spans="1:95">
      <c r="A465" s="223">
        <v>45751</v>
      </c>
      <c r="B465" s="16" t="s">
        <v>100</v>
      </c>
      <c r="C465" s="17">
        <v>147.03</v>
      </c>
      <c r="D465" s="18">
        <v>145.03</v>
      </c>
      <c r="E465" s="19">
        <v>146.03</v>
      </c>
      <c r="F465" s="17">
        <v>163.01</v>
      </c>
      <c r="G465" s="18">
        <v>160.01</v>
      </c>
      <c r="H465" s="19">
        <v>161.51</v>
      </c>
      <c r="I465" s="17">
        <v>105.4</v>
      </c>
      <c r="J465" s="18">
        <v>102.2</v>
      </c>
      <c r="K465" s="19">
        <v>103.80000000000001</v>
      </c>
      <c r="L465" s="18">
        <v>195.36</v>
      </c>
      <c r="M465" s="18">
        <v>187.36</v>
      </c>
      <c r="N465" s="18">
        <v>191.36</v>
      </c>
      <c r="O465" s="17">
        <v>171.16</v>
      </c>
      <c r="P465" s="18">
        <v>169.35999999999999</v>
      </c>
      <c r="Q465" s="19">
        <v>170.26</v>
      </c>
      <c r="R465" s="18">
        <v>21.94</v>
      </c>
      <c r="S465" s="18">
        <v>21.34</v>
      </c>
      <c r="T465" s="18">
        <v>21.64</v>
      </c>
      <c r="U465" s="17">
        <v>14.46</v>
      </c>
      <c r="V465" s="18">
        <v>13.860000000000001</v>
      </c>
      <c r="W465" s="19">
        <v>14.16</v>
      </c>
      <c r="X465" s="17">
        <v>15.33</v>
      </c>
      <c r="Y465" s="18">
        <v>14.53</v>
      </c>
      <c r="Z465" s="19">
        <v>14.93</v>
      </c>
      <c r="AA465" s="17">
        <v>94.41</v>
      </c>
      <c r="AB465" s="18">
        <v>90.41</v>
      </c>
      <c r="AC465" s="19">
        <v>92.41</v>
      </c>
      <c r="AD465" s="17">
        <v>86.55</v>
      </c>
      <c r="AE465" s="18">
        <v>82.55</v>
      </c>
      <c r="AF465" s="19">
        <v>84.55</v>
      </c>
      <c r="AG465" s="18">
        <v>19.2</v>
      </c>
      <c r="AH465" s="18">
        <v>18.34</v>
      </c>
      <c r="AI465" s="18">
        <v>18.77</v>
      </c>
      <c r="AJ465" s="20"/>
      <c r="AK465" s="21"/>
      <c r="AL465" s="22"/>
      <c r="AM465" s="18">
        <v>110.31</v>
      </c>
      <c r="AN465" s="18">
        <v>108.65</v>
      </c>
      <c r="AO465" s="18">
        <v>109.48</v>
      </c>
      <c r="AP465" s="17">
        <v>39.82</v>
      </c>
      <c r="AQ465" s="18">
        <v>38.22</v>
      </c>
      <c r="AR465" s="19">
        <v>39.019999999999996</v>
      </c>
      <c r="AS465" s="18">
        <v>40.5</v>
      </c>
      <c r="AT465" s="18">
        <v>39.14</v>
      </c>
      <c r="AU465" s="18">
        <v>39.82</v>
      </c>
      <c r="AV465" s="17">
        <v>20.38</v>
      </c>
      <c r="AW465" s="18">
        <v>19.779999999999998</v>
      </c>
      <c r="AX465" s="19">
        <v>20.079999999999998</v>
      </c>
      <c r="AY465" s="17">
        <v>4.3600000000000003</v>
      </c>
      <c r="AZ465" s="18">
        <v>4.2</v>
      </c>
      <c r="BA465" s="19">
        <v>4.28</v>
      </c>
      <c r="BB465" s="17">
        <v>1.87</v>
      </c>
      <c r="BC465" s="23">
        <v>1.57</v>
      </c>
      <c r="BD465" s="24">
        <v>1.7200000000000002</v>
      </c>
      <c r="BE465" s="18">
        <v>0.68</v>
      </c>
      <c r="BF465" s="23">
        <v>0.38000000000000006</v>
      </c>
      <c r="BG465" s="23">
        <v>0.53</v>
      </c>
      <c r="BH465" s="17">
        <v>485.22</v>
      </c>
      <c r="BI465" s="18">
        <v>469.22</v>
      </c>
      <c r="BJ465" s="19">
        <v>477.22</v>
      </c>
      <c r="BK465" s="18">
        <v>40.86</v>
      </c>
      <c r="BL465" s="18">
        <v>39.5</v>
      </c>
      <c r="BM465" s="18">
        <v>40.18</v>
      </c>
      <c r="BN465" s="25">
        <v>1.01</v>
      </c>
      <c r="BO465" s="23">
        <v>0.77</v>
      </c>
      <c r="BP465" s="24">
        <v>0.89</v>
      </c>
      <c r="BQ465" s="18">
        <v>8.33</v>
      </c>
      <c r="BR465" s="18">
        <v>6.33</v>
      </c>
      <c r="BS465" s="18">
        <v>7.33</v>
      </c>
      <c r="BT465" s="17">
        <v>10.34</v>
      </c>
      <c r="BU465" s="18">
        <v>9.94</v>
      </c>
      <c r="BV465" s="19">
        <v>10.14</v>
      </c>
      <c r="BW465" s="17">
        <v>2.73</v>
      </c>
      <c r="BX465" s="23">
        <v>2.4500000000000002</v>
      </c>
      <c r="BY465" s="24">
        <v>2.59</v>
      </c>
      <c r="BZ465" s="17">
        <v>9.2899999999999991</v>
      </c>
      <c r="CA465" s="18">
        <v>6.2899999999999991</v>
      </c>
      <c r="CB465" s="19">
        <v>7.7899999999999991</v>
      </c>
      <c r="CC465" s="17">
        <v>6.57</v>
      </c>
      <c r="CD465" s="18">
        <v>6.33</v>
      </c>
      <c r="CE465" s="19">
        <v>6.45</v>
      </c>
      <c r="CF465" s="17">
        <v>1.99</v>
      </c>
      <c r="CG465" s="18">
        <v>1.49</v>
      </c>
      <c r="CH465" s="19">
        <v>1.74</v>
      </c>
      <c r="CI465" s="17">
        <v>0.42</v>
      </c>
      <c r="CJ465" s="18">
        <v>0.38</v>
      </c>
      <c r="CK465" s="19">
        <v>0.4</v>
      </c>
      <c r="CL465" s="17">
        <v>39.49</v>
      </c>
      <c r="CM465">
        <v>37.090000000000003</v>
      </c>
      <c r="CN465">
        <v>38.290000000000006</v>
      </c>
      <c r="CO465">
        <v>6.36</v>
      </c>
      <c r="CP465">
        <v>1.3600000000000003</v>
      </c>
      <c r="CQ465">
        <v>3.8600000000000003</v>
      </c>
    </row>
    <row r="466" spans="1:95">
      <c r="A466" s="223">
        <v>45752</v>
      </c>
      <c r="B466" s="16" t="s">
        <v>307</v>
      </c>
      <c r="C466" s="17"/>
      <c r="D466" s="18"/>
      <c r="E466" s="19"/>
      <c r="F466" s="17"/>
      <c r="G466" s="18"/>
      <c r="H466" s="19"/>
      <c r="I466" s="17"/>
      <c r="J466" s="18"/>
      <c r="K466" s="19"/>
      <c r="L466" s="18"/>
      <c r="M466" s="18"/>
      <c r="N466" s="18"/>
      <c r="O466" s="17"/>
      <c r="P466" s="18"/>
      <c r="Q466" s="19"/>
      <c r="R466" s="18"/>
      <c r="S466" s="18"/>
      <c r="T466" s="18"/>
      <c r="U466" s="17"/>
      <c r="V466" s="18"/>
      <c r="W466" s="19"/>
      <c r="X466" s="17"/>
      <c r="Y466" s="18"/>
      <c r="Z466" s="19"/>
      <c r="AA466" s="17"/>
      <c r="AB466" s="18"/>
      <c r="AC466" s="19"/>
      <c r="AD466" s="17"/>
      <c r="AE466" s="18"/>
      <c r="AF466" s="19"/>
      <c r="AG466" s="18"/>
      <c r="AH466" s="18"/>
      <c r="AI466" s="18"/>
      <c r="AJ466" s="20"/>
      <c r="AK466" s="21"/>
      <c r="AL466" s="22"/>
      <c r="AM466" s="18"/>
      <c r="AN466" s="18"/>
      <c r="AO466" s="18"/>
      <c r="AP466" s="17"/>
      <c r="AQ466" s="18"/>
      <c r="AR466" s="19"/>
      <c r="AS466" s="18"/>
      <c r="AT466" s="18"/>
      <c r="AU466" s="18"/>
      <c r="AV466" s="17"/>
      <c r="AW466" s="18"/>
      <c r="AX466" s="19"/>
      <c r="AY466" s="17"/>
      <c r="AZ466" s="18"/>
      <c r="BA466" s="19"/>
      <c r="BB466" s="17"/>
      <c r="BC466" s="23"/>
      <c r="BD466" s="24"/>
      <c r="BE466" s="18"/>
      <c r="BF466" s="23"/>
      <c r="BG466" s="23"/>
      <c r="BH466" s="17"/>
      <c r="BI466" s="18"/>
      <c r="BJ466" s="19"/>
      <c r="BK466" s="18"/>
      <c r="BL466" s="18"/>
      <c r="BM466" s="18"/>
      <c r="BN466" s="25"/>
      <c r="BO466" s="23"/>
      <c r="BP466" s="24"/>
      <c r="BQ466" s="18"/>
      <c r="BR466" s="18"/>
      <c r="BS466" s="18"/>
      <c r="BT466" s="17"/>
      <c r="BU466" s="18"/>
      <c r="BV466" s="19"/>
      <c r="BW466" s="17"/>
      <c r="BX466" s="23"/>
      <c r="BY466" s="24"/>
      <c r="BZ466" s="17"/>
      <c r="CA466" s="18"/>
      <c r="CB466" s="19"/>
      <c r="CC466" s="17"/>
      <c r="CD466" s="18"/>
      <c r="CE466" s="19"/>
      <c r="CF466" s="17"/>
      <c r="CG466" s="18"/>
      <c r="CH466" s="19"/>
      <c r="CI466" s="17"/>
      <c r="CJ466" s="18"/>
      <c r="CK466" s="19"/>
      <c r="CL466" s="17"/>
    </row>
    <row r="467" spans="1:95">
      <c r="A467" s="223">
        <v>45753</v>
      </c>
      <c r="B467" s="16" t="s">
        <v>308</v>
      </c>
      <c r="C467" s="17"/>
      <c r="D467" s="18"/>
      <c r="E467" s="19"/>
      <c r="F467" s="17"/>
      <c r="G467" s="18"/>
      <c r="H467" s="19"/>
      <c r="I467" s="17"/>
      <c r="J467" s="18"/>
      <c r="K467" s="19"/>
      <c r="L467" s="18"/>
      <c r="M467" s="18"/>
      <c r="N467" s="18"/>
      <c r="O467" s="17"/>
      <c r="P467" s="18"/>
      <c r="Q467" s="19"/>
      <c r="R467" s="18"/>
      <c r="S467" s="18"/>
      <c r="T467" s="18"/>
      <c r="U467" s="17"/>
      <c r="V467" s="18"/>
      <c r="W467" s="19"/>
      <c r="X467" s="17"/>
      <c r="Y467" s="18"/>
      <c r="Z467" s="19"/>
      <c r="AA467" s="17"/>
      <c r="AB467" s="18"/>
      <c r="AC467" s="19"/>
      <c r="AD467" s="17"/>
      <c r="AE467" s="18"/>
      <c r="AF467" s="19"/>
      <c r="AG467" s="18"/>
      <c r="AH467" s="18"/>
      <c r="AI467" s="18"/>
      <c r="AJ467" s="20"/>
      <c r="AK467" s="21"/>
      <c r="AL467" s="22"/>
      <c r="AM467" s="18"/>
      <c r="AN467" s="18"/>
      <c r="AO467" s="18"/>
      <c r="AP467" s="17"/>
      <c r="AQ467" s="18"/>
      <c r="AR467" s="19"/>
      <c r="AS467" s="18"/>
      <c r="AT467" s="18"/>
      <c r="AU467" s="18"/>
      <c r="AV467" s="17"/>
      <c r="AW467" s="18"/>
      <c r="AX467" s="19"/>
      <c r="AY467" s="17"/>
      <c r="AZ467" s="18"/>
      <c r="BA467" s="19"/>
      <c r="BB467" s="17"/>
      <c r="BC467" s="23"/>
      <c r="BD467" s="24"/>
      <c r="BE467" s="18"/>
      <c r="BF467" s="23"/>
      <c r="BG467" s="23"/>
      <c r="BH467" s="17"/>
      <c r="BI467" s="18"/>
      <c r="BJ467" s="19"/>
      <c r="BK467" s="18"/>
      <c r="BL467" s="18"/>
      <c r="BM467" s="18"/>
      <c r="BN467" s="25"/>
      <c r="BO467" s="23"/>
      <c r="BP467" s="24"/>
      <c r="BQ467" s="18"/>
      <c r="BR467" s="18"/>
      <c r="BS467" s="18"/>
      <c r="BT467" s="17"/>
      <c r="BU467" s="18"/>
      <c r="BV467" s="19"/>
      <c r="BW467" s="17"/>
      <c r="BX467" s="23"/>
      <c r="BY467" s="24"/>
      <c r="BZ467" s="17"/>
      <c r="CA467" s="18"/>
      <c r="CB467" s="19"/>
      <c r="CC467" s="17"/>
      <c r="CD467" s="18"/>
      <c r="CE467" s="19"/>
      <c r="CF467" s="17"/>
      <c r="CG467" s="18"/>
      <c r="CH467" s="19"/>
      <c r="CI467" s="17"/>
      <c r="CJ467" s="18"/>
      <c r="CK467" s="19"/>
      <c r="CL467" s="17"/>
    </row>
    <row r="468" spans="1:95">
      <c r="A468" s="223">
        <v>45754</v>
      </c>
      <c r="B468" s="16" t="s">
        <v>96</v>
      </c>
      <c r="C468" s="17">
        <v>146.78</v>
      </c>
      <c r="D468" s="18">
        <v>144.78</v>
      </c>
      <c r="E468" s="19">
        <v>145.78</v>
      </c>
      <c r="F468" s="17">
        <v>161.35</v>
      </c>
      <c r="G468" s="18">
        <v>158.35</v>
      </c>
      <c r="H468" s="19">
        <v>159.85</v>
      </c>
      <c r="I468" s="17">
        <v>103.99</v>
      </c>
      <c r="J468" s="18">
        <v>100.78999999999999</v>
      </c>
      <c r="K468" s="19">
        <v>102.38999999999999</v>
      </c>
      <c r="L468" s="18">
        <v>192.22</v>
      </c>
      <c r="M468" s="18">
        <v>184.22</v>
      </c>
      <c r="N468" s="18">
        <v>188.22</v>
      </c>
      <c r="O468" s="17">
        <v>171.62</v>
      </c>
      <c r="P468" s="18">
        <v>169.82</v>
      </c>
      <c r="Q468" s="19">
        <v>170.72</v>
      </c>
      <c r="R468" s="18">
        <v>21.72</v>
      </c>
      <c r="S468" s="18">
        <v>21.119999999999997</v>
      </c>
      <c r="T468" s="18">
        <v>21.419999999999998</v>
      </c>
      <c r="U468" s="17">
        <v>13.73</v>
      </c>
      <c r="V468" s="18">
        <v>13.13</v>
      </c>
      <c r="W468" s="19">
        <v>13.43</v>
      </c>
      <c r="X468" s="17">
        <v>14.84</v>
      </c>
      <c r="Y468" s="18">
        <v>14.04</v>
      </c>
      <c r="Z468" s="19">
        <v>14.44</v>
      </c>
      <c r="AA468" s="17">
        <v>89.37</v>
      </c>
      <c r="AB468" s="18">
        <v>85.37</v>
      </c>
      <c r="AC468" s="19">
        <v>87.37</v>
      </c>
      <c r="AD468" s="17">
        <v>82.81</v>
      </c>
      <c r="AE468" s="18">
        <v>78.81</v>
      </c>
      <c r="AF468" s="19">
        <v>80.81</v>
      </c>
      <c r="AG468" s="18">
        <v>19.190000000000001</v>
      </c>
      <c r="AH468" s="18">
        <v>18.330000000000002</v>
      </c>
      <c r="AI468" s="18">
        <v>18.760000000000002</v>
      </c>
      <c r="AJ468" s="20"/>
      <c r="AK468" s="21"/>
      <c r="AL468" s="22"/>
      <c r="AM468" s="18">
        <v>109.01</v>
      </c>
      <c r="AN468" s="18">
        <v>107.35000000000001</v>
      </c>
      <c r="AO468" s="18">
        <v>108.18</v>
      </c>
      <c r="AP468" s="17">
        <v>39.729999999999997</v>
      </c>
      <c r="AQ468" s="18">
        <v>38.129999999999995</v>
      </c>
      <c r="AR468" s="19">
        <v>38.929999999999993</v>
      </c>
      <c r="AS468" s="18">
        <v>40.43</v>
      </c>
      <c r="AT468" s="18">
        <v>39.07</v>
      </c>
      <c r="AU468" s="18">
        <v>39.75</v>
      </c>
      <c r="AV468" s="17">
        <v>20.25</v>
      </c>
      <c r="AW468" s="18">
        <v>19.649999999999999</v>
      </c>
      <c r="AX468" s="19">
        <v>19.95</v>
      </c>
      <c r="AY468" s="17">
        <v>4.29</v>
      </c>
      <c r="AZ468" s="18">
        <v>4.13</v>
      </c>
      <c r="BA468" s="19">
        <v>4.21</v>
      </c>
      <c r="BB468" s="17">
        <v>1.86</v>
      </c>
      <c r="BC468" s="23">
        <v>1.56</v>
      </c>
      <c r="BD468" s="24">
        <v>1.71</v>
      </c>
      <c r="BE468" s="18">
        <v>0.67</v>
      </c>
      <c r="BF468" s="23">
        <v>0.37000000000000005</v>
      </c>
      <c r="BG468" s="23">
        <v>0.52</v>
      </c>
      <c r="BH468" s="17">
        <v>484.41</v>
      </c>
      <c r="BI468" s="18">
        <v>468.41</v>
      </c>
      <c r="BJ468" s="19">
        <v>476.41</v>
      </c>
      <c r="BK468" s="18">
        <v>40.799999999999997</v>
      </c>
      <c r="BL468" s="18">
        <v>39.44</v>
      </c>
      <c r="BM468" s="18">
        <v>40.119999999999997</v>
      </c>
      <c r="BN468" s="25">
        <v>1</v>
      </c>
      <c r="BO468" s="23">
        <v>0.76</v>
      </c>
      <c r="BP468" s="24">
        <v>0.88</v>
      </c>
      <c r="BQ468" s="18">
        <v>8.0500000000000007</v>
      </c>
      <c r="BR468" s="18">
        <v>6.0500000000000007</v>
      </c>
      <c r="BS468" s="18">
        <v>7.0500000000000007</v>
      </c>
      <c r="BT468" s="17">
        <v>10.130000000000001</v>
      </c>
      <c r="BU468" s="18">
        <v>9.73</v>
      </c>
      <c r="BV468" s="19">
        <v>9.93</v>
      </c>
      <c r="BW468" s="17">
        <v>2.73</v>
      </c>
      <c r="BX468" s="23">
        <v>2.4500000000000002</v>
      </c>
      <c r="BY468" s="24">
        <v>2.59</v>
      </c>
      <c r="BZ468" s="17">
        <v>9.0500000000000007</v>
      </c>
      <c r="CA468" s="18">
        <v>6.0500000000000007</v>
      </c>
      <c r="CB468" s="19">
        <v>7.5500000000000007</v>
      </c>
      <c r="CC468" s="17">
        <v>6.44</v>
      </c>
      <c r="CD468" s="18">
        <v>6.2</v>
      </c>
      <c r="CE468" s="19">
        <v>6.32</v>
      </c>
      <c r="CF468" s="17">
        <v>1.98</v>
      </c>
      <c r="CG468" s="18">
        <v>1.48</v>
      </c>
      <c r="CH468" s="19">
        <v>1.73</v>
      </c>
      <c r="CI468" s="17">
        <v>0.41</v>
      </c>
      <c r="CJ468" s="18">
        <v>0.37</v>
      </c>
      <c r="CK468" s="19">
        <v>0.39</v>
      </c>
      <c r="CL468" s="17">
        <v>38.61</v>
      </c>
      <c r="CM468">
        <v>36.21</v>
      </c>
      <c r="CN468">
        <v>37.409999999999997</v>
      </c>
      <c r="CO468">
        <v>6.34</v>
      </c>
      <c r="CP468">
        <v>1.3399999999999999</v>
      </c>
      <c r="CQ468">
        <v>3.84</v>
      </c>
    </row>
    <row r="469" spans="1:95">
      <c r="A469" s="223">
        <v>45755</v>
      </c>
      <c r="B469" s="16" t="s">
        <v>97</v>
      </c>
      <c r="C469" s="17">
        <v>148.77000000000001</v>
      </c>
      <c r="D469" s="18">
        <v>146.77000000000001</v>
      </c>
      <c r="E469" s="19">
        <v>147.77000000000001</v>
      </c>
      <c r="F469" s="17">
        <v>163.31</v>
      </c>
      <c r="G469" s="18">
        <v>160.31</v>
      </c>
      <c r="H469" s="19">
        <v>161.81</v>
      </c>
      <c r="I469" s="17">
        <v>105.64</v>
      </c>
      <c r="J469" s="18">
        <v>102.44</v>
      </c>
      <c r="K469" s="19">
        <v>104.03999999999999</v>
      </c>
      <c r="L469" s="18">
        <v>192.6</v>
      </c>
      <c r="M469" s="18">
        <v>184.6</v>
      </c>
      <c r="N469" s="18">
        <v>188.6</v>
      </c>
      <c r="O469" s="17">
        <v>173.13</v>
      </c>
      <c r="P469" s="18">
        <v>171.32999999999998</v>
      </c>
      <c r="Q469" s="19">
        <v>172.23</v>
      </c>
      <c r="R469" s="18">
        <v>21.97</v>
      </c>
      <c r="S469" s="18">
        <v>21.369999999999997</v>
      </c>
      <c r="T469" s="18">
        <v>21.669999999999998</v>
      </c>
      <c r="U469" s="17">
        <v>13.83</v>
      </c>
      <c r="V469" s="18">
        <v>13.23</v>
      </c>
      <c r="W469" s="19">
        <v>13.530000000000001</v>
      </c>
      <c r="X469" s="17">
        <v>15.13</v>
      </c>
      <c r="Y469" s="18">
        <v>14.33</v>
      </c>
      <c r="Z469" s="19">
        <v>14.73</v>
      </c>
      <c r="AA469" s="17">
        <v>90.82</v>
      </c>
      <c r="AB469" s="18">
        <v>86.82</v>
      </c>
      <c r="AC469" s="19">
        <v>88.82</v>
      </c>
      <c r="AD469" s="17">
        <v>84.06</v>
      </c>
      <c r="AE469" s="18">
        <v>80.06</v>
      </c>
      <c r="AF469" s="19">
        <v>82.06</v>
      </c>
      <c r="AG469" s="18">
        <v>19.45</v>
      </c>
      <c r="AH469" s="18">
        <v>18.59</v>
      </c>
      <c r="AI469" s="18">
        <v>19.02</v>
      </c>
      <c r="AJ469" s="20"/>
      <c r="AK469" s="21"/>
      <c r="AL469" s="22"/>
      <c r="AM469" s="18">
        <v>110.22</v>
      </c>
      <c r="AN469" s="18">
        <v>108.56</v>
      </c>
      <c r="AO469" s="18">
        <v>109.39</v>
      </c>
      <c r="AP469" s="17">
        <v>40.24</v>
      </c>
      <c r="AQ469" s="18">
        <v>38.64</v>
      </c>
      <c r="AR469" s="19">
        <v>39.44</v>
      </c>
      <c r="AS469" s="18">
        <v>40.98</v>
      </c>
      <c r="AT469" s="18">
        <v>39.619999999999997</v>
      </c>
      <c r="AU469" s="18">
        <v>40.299999999999997</v>
      </c>
      <c r="AV469" s="17">
        <v>20.420000000000002</v>
      </c>
      <c r="AW469" s="18">
        <v>19.82</v>
      </c>
      <c r="AX469" s="19">
        <v>20.12</v>
      </c>
      <c r="AY469" s="17">
        <v>4.3499999999999996</v>
      </c>
      <c r="AZ469" s="18">
        <v>4.1899999999999995</v>
      </c>
      <c r="BA469" s="19">
        <v>4.2699999999999996</v>
      </c>
      <c r="BB469" s="17">
        <v>1.88</v>
      </c>
      <c r="BC469" s="23">
        <v>1.5799999999999998</v>
      </c>
      <c r="BD469" s="24">
        <v>1.73</v>
      </c>
      <c r="BE469" s="18">
        <v>0.68</v>
      </c>
      <c r="BF469" s="23">
        <v>0.38000000000000006</v>
      </c>
      <c r="BG469" s="23">
        <v>0.53</v>
      </c>
      <c r="BH469" s="17">
        <v>485.45</v>
      </c>
      <c r="BI469" s="18">
        <v>469.45</v>
      </c>
      <c r="BJ469" s="19">
        <v>477.45</v>
      </c>
      <c r="BK469" s="18">
        <v>41.34</v>
      </c>
      <c r="BL469" s="18">
        <v>39.980000000000004</v>
      </c>
      <c r="BM469" s="18">
        <v>40.660000000000004</v>
      </c>
      <c r="BN469" s="25">
        <v>0.99</v>
      </c>
      <c r="BO469" s="23">
        <v>0.75</v>
      </c>
      <c r="BP469" s="24">
        <v>0.87</v>
      </c>
      <c r="BQ469" s="18">
        <v>8.16</v>
      </c>
      <c r="BR469" s="18">
        <v>6.16</v>
      </c>
      <c r="BS469" s="18">
        <v>7.16</v>
      </c>
      <c r="BT469" s="17">
        <v>10.26</v>
      </c>
      <c r="BU469" s="18">
        <v>9.86</v>
      </c>
      <c r="BV469" s="19">
        <v>10.059999999999999</v>
      </c>
      <c r="BW469" s="17">
        <v>2.74</v>
      </c>
      <c r="BX469" s="23">
        <v>2.46</v>
      </c>
      <c r="BY469" s="24">
        <v>2.6</v>
      </c>
      <c r="BZ469" s="17">
        <v>9.06</v>
      </c>
      <c r="CA469" s="18">
        <v>6.0600000000000005</v>
      </c>
      <c r="CB469" s="19">
        <v>7.5600000000000005</v>
      </c>
      <c r="CC469" s="17">
        <v>6.54</v>
      </c>
      <c r="CD469" s="18">
        <v>6.3</v>
      </c>
      <c r="CE469" s="19">
        <v>6.42</v>
      </c>
      <c r="CF469" s="17">
        <v>1.97</v>
      </c>
      <c r="CG469" s="18">
        <v>1.47</v>
      </c>
      <c r="CH469" s="19">
        <v>1.72</v>
      </c>
      <c r="CI469" s="17">
        <v>0.42</v>
      </c>
      <c r="CJ469" s="18">
        <v>0.38</v>
      </c>
      <c r="CK469" s="19">
        <v>0.4</v>
      </c>
      <c r="CL469" s="17">
        <v>38.869999999999997</v>
      </c>
      <c r="CM469">
        <v>36.47</v>
      </c>
      <c r="CN469">
        <v>37.67</v>
      </c>
      <c r="CO469">
        <v>6.39</v>
      </c>
      <c r="CP469">
        <v>1.3899999999999997</v>
      </c>
      <c r="CQ469">
        <v>3.8899999999999997</v>
      </c>
    </row>
    <row r="470" spans="1:95">
      <c r="A470" s="223">
        <v>45756</v>
      </c>
      <c r="B470" s="16" t="s">
        <v>98</v>
      </c>
      <c r="C470" s="17">
        <v>146.38</v>
      </c>
      <c r="D470" s="18">
        <v>144.38</v>
      </c>
      <c r="E470" s="19">
        <v>145.38</v>
      </c>
      <c r="F470" s="17">
        <v>161.51</v>
      </c>
      <c r="G470" s="18">
        <v>158.51</v>
      </c>
      <c r="H470" s="19">
        <v>160.01</v>
      </c>
      <c r="I470" s="17">
        <v>103.65</v>
      </c>
      <c r="J470" s="18">
        <v>100.45</v>
      </c>
      <c r="K470" s="19">
        <v>102.05000000000001</v>
      </c>
      <c r="L470" s="18">
        <v>190.28</v>
      </c>
      <c r="M470" s="18">
        <v>182.28</v>
      </c>
      <c r="N470" s="18">
        <v>186.28</v>
      </c>
      <c r="O470" s="17">
        <v>173.25</v>
      </c>
      <c r="P470" s="18">
        <v>171.45</v>
      </c>
      <c r="Q470" s="19">
        <v>172.35</v>
      </c>
      <c r="R470" s="18">
        <v>21.73</v>
      </c>
      <c r="S470" s="18">
        <v>21.13</v>
      </c>
      <c r="T470" s="18">
        <v>21.43</v>
      </c>
      <c r="U470" s="17">
        <v>13.6</v>
      </c>
      <c r="V470" s="18">
        <v>13</v>
      </c>
      <c r="W470" s="19">
        <v>13.3</v>
      </c>
      <c r="X470" s="17">
        <v>14.93</v>
      </c>
      <c r="Y470" s="18">
        <v>14.129999999999999</v>
      </c>
      <c r="Z470" s="19">
        <v>14.53</v>
      </c>
      <c r="AA470" s="17">
        <v>88.6</v>
      </c>
      <c r="AB470" s="18">
        <v>84.6</v>
      </c>
      <c r="AC470" s="19">
        <v>86.6</v>
      </c>
      <c r="AD470" s="17">
        <v>82.29</v>
      </c>
      <c r="AE470" s="18">
        <v>78.290000000000006</v>
      </c>
      <c r="AF470" s="19">
        <v>80.290000000000006</v>
      </c>
      <c r="AG470" s="18">
        <v>19.149999999999999</v>
      </c>
      <c r="AH470" s="18">
        <v>18.29</v>
      </c>
      <c r="AI470" s="18">
        <v>18.72</v>
      </c>
      <c r="AJ470" s="20"/>
      <c r="AK470" s="21"/>
      <c r="AL470" s="22"/>
      <c r="AM470" s="18">
        <v>108.41</v>
      </c>
      <c r="AN470" s="18">
        <v>106.75</v>
      </c>
      <c r="AO470" s="18">
        <v>107.58</v>
      </c>
      <c r="AP470" s="17">
        <v>39.61</v>
      </c>
      <c r="AQ470" s="18">
        <v>38.01</v>
      </c>
      <c r="AR470" s="19">
        <v>38.81</v>
      </c>
      <c r="AS470" s="18">
        <v>40.33</v>
      </c>
      <c r="AT470" s="18">
        <v>38.97</v>
      </c>
      <c r="AU470" s="18">
        <v>39.65</v>
      </c>
      <c r="AV470" s="17">
        <v>19.95</v>
      </c>
      <c r="AW470" s="18">
        <v>19.349999999999998</v>
      </c>
      <c r="AX470" s="19">
        <v>19.649999999999999</v>
      </c>
      <c r="AY470" s="17">
        <v>4.24</v>
      </c>
      <c r="AZ470" s="18">
        <v>4.08</v>
      </c>
      <c r="BA470" s="19">
        <v>4.16</v>
      </c>
      <c r="BB470" s="17">
        <v>1.85</v>
      </c>
      <c r="BC470" s="23">
        <v>1.55</v>
      </c>
      <c r="BD470" s="24">
        <v>1.7000000000000002</v>
      </c>
      <c r="BE470" s="18">
        <v>0.67</v>
      </c>
      <c r="BF470" s="23">
        <v>0.37000000000000005</v>
      </c>
      <c r="BG470" s="23">
        <v>0.52</v>
      </c>
      <c r="BH470" s="17">
        <v>482.32</v>
      </c>
      <c r="BI470" s="18">
        <v>466.32</v>
      </c>
      <c r="BJ470" s="19">
        <v>474.32</v>
      </c>
      <c r="BK470" s="18">
        <v>40.69</v>
      </c>
      <c r="BL470" s="18">
        <v>39.33</v>
      </c>
      <c r="BM470" s="18">
        <v>40.01</v>
      </c>
      <c r="BN470" s="25">
        <v>0.98</v>
      </c>
      <c r="BO470" s="23">
        <v>0.74</v>
      </c>
      <c r="BP470" s="24">
        <v>0.86</v>
      </c>
      <c r="BQ470" s="18">
        <v>7.97</v>
      </c>
      <c r="BR470" s="18">
        <v>5.97</v>
      </c>
      <c r="BS470" s="18">
        <v>6.97</v>
      </c>
      <c r="BT470" s="17">
        <v>10.01</v>
      </c>
      <c r="BU470" s="18">
        <v>9.61</v>
      </c>
      <c r="BV470" s="19">
        <v>9.8099999999999987</v>
      </c>
      <c r="BW470" s="17">
        <v>2.7</v>
      </c>
      <c r="BX470" s="23">
        <v>2.42</v>
      </c>
      <c r="BY470" s="24">
        <v>2.56</v>
      </c>
      <c r="BZ470" s="17">
        <v>8.85</v>
      </c>
      <c r="CA470" s="18">
        <v>5.85</v>
      </c>
      <c r="CB470" s="19">
        <v>7.35</v>
      </c>
      <c r="CC470" s="17">
        <v>6.48</v>
      </c>
      <c r="CD470" s="18">
        <v>6.24</v>
      </c>
      <c r="CE470" s="19">
        <v>6.36</v>
      </c>
      <c r="CF470" s="17">
        <v>1.95</v>
      </c>
      <c r="CG470" s="18">
        <v>1.45</v>
      </c>
      <c r="CH470" s="19">
        <v>1.7</v>
      </c>
      <c r="CI470" s="17">
        <v>0.41</v>
      </c>
      <c r="CJ470" s="18">
        <v>0.37</v>
      </c>
      <c r="CK470" s="19">
        <v>0.39</v>
      </c>
      <c r="CL470" s="17">
        <v>38.630000000000003</v>
      </c>
      <c r="CM470">
        <v>36.230000000000004</v>
      </c>
      <c r="CN470">
        <v>37.430000000000007</v>
      </c>
      <c r="CO470">
        <v>6.33</v>
      </c>
      <c r="CP470">
        <v>1.33</v>
      </c>
      <c r="CQ470">
        <v>3.83</v>
      </c>
    </row>
    <row r="471" spans="1:95">
      <c r="A471" s="223">
        <v>45757</v>
      </c>
      <c r="B471" s="16" t="s">
        <v>99</v>
      </c>
      <c r="C471" s="17">
        <v>147.91</v>
      </c>
      <c r="D471" s="18">
        <v>145.91</v>
      </c>
      <c r="E471" s="19">
        <v>146.91</v>
      </c>
      <c r="F471" s="17">
        <v>162.85</v>
      </c>
      <c r="G471" s="18">
        <v>159.85</v>
      </c>
      <c r="H471" s="19">
        <v>161.35</v>
      </c>
      <c r="I471" s="17">
        <v>105.82</v>
      </c>
      <c r="J471" s="18">
        <v>102.61999999999999</v>
      </c>
      <c r="K471" s="19">
        <v>104.22</v>
      </c>
      <c r="L471" s="18">
        <v>192.66</v>
      </c>
      <c r="M471" s="18">
        <v>184.66</v>
      </c>
      <c r="N471" s="18">
        <v>188.66</v>
      </c>
      <c r="O471" s="17">
        <v>173.23</v>
      </c>
      <c r="P471" s="18">
        <v>171.42999999999998</v>
      </c>
      <c r="Q471" s="19">
        <v>172.32999999999998</v>
      </c>
      <c r="R471" s="18">
        <v>21.91</v>
      </c>
      <c r="S471" s="18">
        <v>21.31</v>
      </c>
      <c r="T471" s="18">
        <v>21.61</v>
      </c>
      <c r="U471" s="17">
        <v>13.93</v>
      </c>
      <c r="V471" s="18">
        <v>13.33</v>
      </c>
      <c r="W471" s="19">
        <v>13.629999999999999</v>
      </c>
      <c r="X471" s="17">
        <v>15.12</v>
      </c>
      <c r="Y471" s="18">
        <v>14.319999999999999</v>
      </c>
      <c r="Z471" s="19">
        <v>14.719999999999999</v>
      </c>
      <c r="AA471" s="17">
        <v>92.03</v>
      </c>
      <c r="AB471" s="18">
        <v>88.03</v>
      </c>
      <c r="AC471" s="19">
        <v>90.03</v>
      </c>
      <c r="AD471" s="17">
        <v>84.92</v>
      </c>
      <c r="AE471" s="18">
        <v>80.92</v>
      </c>
      <c r="AF471" s="19">
        <v>82.92</v>
      </c>
      <c r="AG471" s="18">
        <v>19.36</v>
      </c>
      <c r="AH471" s="18">
        <v>18.5</v>
      </c>
      <c r="AI471" s="18">
        <v>18.93</v>
      </c>
      <c r="AJ471" s="20"/>
      <c r="AK471" s="21"/>
      <c r="AL471" s="22"/>
      <c r="AM471" s="18">
        <v>110.26</v>
      </c>
      <c r="AN471" s="18">
        <v>108.60000000000001</v>
      </c>
      <c r="AO471" s="18">
        <v>109.43</v>
      </c>
      <c r="AP471" s="17">
        <v>40.020000000000003</v>
      </c>
      <c r="AQ471" s="18">
        <v>38.42</v>
      </c>
      <c r="AR471" s="19">
        <v>39.22</v>
      </c>
      <c r="AS471" s="18">
        <v>40.74</v>
      </c>
      <c r="AT471" s="18">
        <v>39.380000000000003</v>
      </c>
      <c r="AU471" s="18">
        <v>40.06</v>
      </c>
      <c r="AV471" s="17">
        <v>20.28</v>
      </c>
      <c r="AW471" s="18">
        <v>19.68</v>
      </c>
      <c r="AX471" s="19">
        <v>19.98</v>
      </c>
      <c r="AY471" s="17">
        <v>4.38</v>
      </c>
      <c r="AZ471" s="18">
        <v>4.22</v>
      </c>
      <c r="BA471" s="19">
        <v>4.3</v>
      </c>
      <c r="BB471" s="17">
        <v>1.86</v>
      </c>
      <c r="BC471" s="23">
        <v>1.56</v>
      </c>
      <c r="BD471" s="24">
        <v>1.71</v>
      </c>
      <c r="BE471" s="18">
        <v>0.68</v>
      </c>
      <c r="BF471" s="23">
        <v>0.38000000000000006</v>
      </c>
      <c r="BG471" s="23">
        <v>0.53</v>
      </c>
      <c r="BH471" s="17">
        <v>488.1</v>
      </c>
      <c r="BI471" s="18">
        <v>472.1</v>
      </c>
      <c r="BJ471" s="19">
        <v>480.1</v>
      </c>
      <c r="BK471" s="18">
        <v>41.11</v>
      </c>
      <c r="BL471" s="18">
        <v>39.75</v>
      </c>
      <c r="BM471" s="18">
        <v>40.43</v>
      </c>
      <c r="BN471" s="25">
        <v>0.99</v>
      </c>
      <c r="BO471" s="23">
        <v>0.75</v>
      </c>
      <c r="BP471" s="24">
        <v>0.87</v>
      </c>
      <c r="BQ471" s="18">
        <v>8.23</v>
      </c>
      <c r="BR471" s="18">
        <v>6.23</v>
      </c>
      <c r="BS471" s="18">
        <v>7.23</v>
      </c>
      <c r="BT471" s="17">
        <v>10.29</v>
      </c>
      <c r="BU471" s="18">
        <v>9.8899999999999988</v>
      </c>
      <c r="BV471" s="19">
        <v>10.09</v>
      </c>
      <c r="BW471" s="17">
        <v>2.73</v>
      </c>
      <c r="BX471" s="23">
        <v>2.4500000000000002</v>
      </c>
      <c r="BY471" s="24">
        <v>2.59</v>
      </c>
      <c r="BZ471" s="17">
        <v>9.09</v>
      </c>
      <c r="CA471" s="18">
        <v>6.09</v>
      </c>
      <c r="CB471" s="19">
        <v>7.59</v>
      </c>
      <c r="CC471" s="17">
        <v>6.57</v>
      </c>
      <c r="CD471" s="18">
        <v>6.33</v>
      </c>
      <c r="CE471" s="19">
        <v>6.45</v>
      </c>
      <c r="CF471" s="17">
        <v>1.96</v>
      </c>
      <c r="CG471" s="18">
        <v>1.46</v>
      </c>
      <c r="CH471" s="19">
        <v>1.71</v>
      </c>
      <c r="CI471" s="17">
        <v>0.42</v>
      </c>
      <c r="CJ471" s="18">
        <v>0.38</v>
      </c>
      <c r="CK471" s="19">
        <v>0.4</v>
      </c>
      <c r="CL471" s="17">
        <v>39.229999999999997</v>
      </c>
      <c r="CM471">
        <v>36.83</v>
      </c>
      <c r="CN471">
        <v>38.03</v>
      </c>
      <c r="CO471">
        <v>6.38</v>
      </c>
      <c r="CP471">
        <v>1.38</v>
      </c>
      <c r="CQ471">
        <v>3.88</v>
      </c>
    </row>
    <row r="472" spans="1:95">
      <c r="A472" s="223">
        <v>45758</v>
      </c>
      <c r="B472" s="16" t="s">
        <v>100</v>
      </c>
      <c r="C472" s="17">
        <v>144.54</v>
      </c>
      <c r="D472" s="18">
        <v>142.54</v>
      </c>
      <c r="E472" s="19">
        <v>143.54</v>
      </c>
      <c r="F472" s="17">
        <v>163.80000000000001</v>
      </c>
      <c r="G472" s="18">
        <v>160.80000000000001</v>
      </c>
      <c r="H472" s="19">
        <v>162.30000000000001</v>
      </c>
      <c r="I472" s="17">
        <v>104.5</v>
      </c>
      <c r="J472" s="18">
        <v>101.3</v>
      </c>
      <c r="K472" s="19">
        <v>102.9</v>
      </c>
      <c r="L472" s="18">
        <v>190.87</v>
      </c>
      <c r="M472" s="18">
        <v>182.87</v>
      </c>
      <c r="N472" s="18">
        <v>186.87</v>
      </c>
      <c r="O472" s="17">
        <v>176.31</v>
      </c>
      <c r="P472" s="18">
        <v>174.51</v>
      </c>
      <c r="Q472" s="19">
        <v>175.41</v>
      </c>
      <c r="R472" s="18">
        <v>22.03</v>
      </c>
      <c r="S472" s="18">
        <v>21.43</v>
      </c>
      <c r="T472" s="18">
        <v>21.73</v>
      </c>
      <c r="U472" s="17">
        <v>13.66</v>
      </c>
      <c r="V472" s="18">
        <v>13.06</v>
      </c>
      <c r="W472" s="19">
        <v>13.36</v>
      </c>
      <c r="X472" s="17">
        <v>15.06</v>
      </c>
      <c r="Y472" s="18">
        <v>14.26</v>
      </c>
      <c r="Z472" s="19">
        <v>14.66</v>
      </c>
      <c r="AA472" s="17">
        <v>91.17</v>
      </c>
      <c r="AB472" s="18">
        <v>87.17</v>
      </c>
      <c r="AC472" s="19">
        <v>89.17</v>
      </c>
      <c r="AD472" s="17">
        <v>84.51</v>
      </c>
      <c r="AE472" s="18">
        <v>80.510000000000005</v>
      </c>
      <c r="AF472" s="19">
        <v>82.51</v>
      </c>
      <c r="AG472" s="18">
        <v>18.93</v>
      </c>
      <c r="AH472" s="18">
        <v>18.07</v>
      </c>
      <c r="AI472" s="18">
        <v>18.5</v>
      </c>
      <c r="AJ472" s="20"/>
      <c r="AK472" s="21"/>
      <c r="AL472" s="22"/>
      <c r="AM472" s="18">
        <v>108.97</v>
      </c>
      <c r="AN472" s="18">
        <v>107.31</v>
      </c>
      <c r="AO472" s="18">
        <v>108.14</v>
      </c>
      <c r="AP472" s="17">
        <v>39.119999999999997</v>
      </c>
      <c r="AQ472" s="18">
        <v>37.519999999999996</v>
      </c>
      <c r="AR472" s="19">
        <v>38.319999999999993</v>
      </c>
      <c r="AS472" s="18">
        <v>39.82</v>
      </c>
      <c r="AT472" s="18">
        <v>38.46</v>
      </c>
      <c r="AU472" s="18">
        <v>39.14</v>
      </c>
      <c r="AV472" s="17">
        <v>19.97</v>
      </c>
      <c r="AW472" s="18">
        <v>19.369999999999997</v>
      </c>
      <c r="AX472" s="19">
        <v>19.669999999999998</v>
      </c>
      <c r="AY472" s="17">
        <v>4.33</v>
      </c>
      <c r="AZ472" s="18">
        <v>4.17</v>
      </c>
      <c r="BA472" s="19">
        <v>4.25</v>
      </c>
      <c r="BB472" s="17">
        <v>1.83</v>
      </c>
      <c r="BC472" s="23">
        <v>1.53</v>
      </c>
      <c r="BD472" s="24">
        <v>1.6800000000000002</v>
      </c>
      <c r="BE472" s="18">
        <v>0.67</v>
      </c>
      <c r="BF472" s="23">
        <v>0.37000000000000005</v>
      </c>
      <c r="BG472" s="23">
        <v>0.52</v>
      </c>
      <c r="BH472" s="17">
        <v>473.28</v>
      </c>
      <c r="BI472" s="18">
        <v>457.28</v>
      </c>
      <c r="BJ472" s="19">
        <v>465.28</v>
      </c>
      <c r="BK472" s="18">
        <v>40.18</v>
      </c>
      <c r="BL472" s="18">
        <v>38.82</v>
      </c>
      <c r="BM472" s="18">
        <v>39.5</v>
      </c>
      <c r="BN472" s="25">
        <v>0.98</v>
      </c>
      <c r="BO472" s="23">
        <v>0.74</v>
      </c>
      <c r="BP472" s="24">
        <v>0.86</v>
      </c>
      <c r="BQ472" s="18">
        <v>7.98</v>
      </c>
      <c r="BR472" s="18">
        <v>5.98</v>
      </c>
      <c r="BS472" s="18">
        <v>6.98</v>
      </c>
      <c r="BT472" s="17">
        <v>10.11</v>
      </c>
      <c r="BU472" s="18">
        <v>9.7099999999999991</v>
      </c>
      <c r="BV472" s="19">
        <v>9.91</v>
      </c>
      <c r="BW472" s="17">
        <v>2.67</v>
      </c>
      <c r="BX472" s="23">
        <v>2.3899999999999997</v>
      </c>
      <c r="BY472" s="24">
        <v>2.5299999999999998</v>
      </c>
      <c r="BZ472" s="17">
        <v>8.89</v>
      </c>
      <c r="CA472" s="18">
        <v>5.8900000000000006</v>
      </c>
      <c r="CB472" s="19">
        <v>7.3900000000000006</v>
      </c>
      <c r="CC472" s="17">
        <v>6.6</v>
      </c>
      <c r="CD472" s="18">
        <v>6.3599999999999994</v>
      </c>
      <c r="CE472" s="19">
        <v>6.4799999999999995</v>
      </c>
      <c r="CF472" s="17">
        <v>1.97</v>
      </c>
      <c r="CG472" s="18">
        <v>1.47</v>
      </c>
      <c r="CH472" s="19">
        <v>1.72</v>
      </c>
      <c r="CI472" s="17">
        <v>0.42</v>
      </c>
      <c r="CJ472" s="18">
        <v>0.38</v>
      </c>
      <c r="CK472" s="19">
        <v>0.4</v>
      </c>
      <c r="CL472" s="17">
        <v>39.28</v>
      </c>
      <c r="CM472">
        <v>36.880000000000003</v>
      </c>
      <c r="CN472">
        <v>38.08</v>
      </c>
      <c r="CO472">
        <v>6.29</v>
      </c>
      <c r="CP472">
        <v>1.29</v>
      </c>
      <c r="CQ472">
        <v>3.79</v>
      </c>
    </row>
    <row r="473" spans="1:95">
      <c r="A473" s="223">
        <v>45759</v>
      </c>
      <c r="B473" s="16" t="s">
        <v>307</v>
      </c>
      <c r="C473" s="17"/>
      <c r="D473" s="18"/>
      <c r="E473" s="19"/>
      <c r="F473" s="17"/>
      <c r="G473" s="18"/>
      <c r="H473" s="19"/>
      <c r="I473" s="17"/>
      <c r="J473" s="18"/>
      <c r="K473" s="19"/>
      <c r="L473" s="18"/>
      <c r="M473" s="18"/>
      <c r="N473" s="18"/>
      <c r="O473" s="17"/>
      <c r="P473" s="18"/>
      <c r="Q473" s="19"/>
      <c r="R473" s="18"/>
      <c r="S473" s="18"/>
      <c r="T473" s="18"/>
      <c r="U473" s="17"/>
      <c r="V473" s="18"/>
      <c r="W473" s="19"/>
      <c r="X473" s="17"/>
      <c r="Y473" s="18"/>
      <c r="Z473" s="19"/>
      <c r="AA473" s="17"/>
      <c r="AB473" s="18"/>
      <c r="AC473" s="19"/>
      <c r="AD473" s="17"/>
      <c r="AE473" s="18"/>
      <c r="AF473" s="19"/>
      <c r="AG473" s="18"/>
      <c r="AH473" s="18"/>
      <c r="AI473" s="18"/>
      <c r="AJ473" s="20"/>
      <c r="AK473" s="21"/>
      <c r="AL473" s="22"/>
      <c r="AM473" s="18"/>
      <c r="AN473" s="18"/>
      <c r="AO473" s="18"/>
      <c r="AP473" s="17"/>
      <c r="AQ473" s="18"/>
      <c r="AR473" s="19"/>
      <c r="AS473" s="18"/>
      <c r="AT473" s="18"/>
      <c r="AU473" s="18"/>
      <c r="AV473" s="17"/>
      <c r="AW473" s="18"/>
      <c r="AX473" s="19"/>
      <c r="AY473" s="17"/>
      <c r="AZ473" s="18"/>
      <c r="BA473" s="19"/>
      <c r="BB473" s="17"/>
      <c r="BC473" s="23"/>
      <c r="BD473" s="24"/>
      <c r="BE473" s="18"/>
      <c r="BF473" s="23"/>
      <c r="BG473" s="23"/>
      <c r="BH473" s="17"/>
      <c r="BI473" s="18"/>
      <c r="BJ473" s="19"/>
      <c r="BK473" s="18"/>
      <c r="BL473" s="18"/>
      <c r="BM473" s="18"/>
      <c r="BN473" s="25"/>
      <c r="BO473" s="23"/>
      <c r="BP473" s="24"/>
      <c r="BQ473" s="18"/>
      <c r="BR473" s="18"/>
      <c r="BS473" s="18"/>
      <c r="BT473" s="17"/>
      <c r="BU473" s="18"/>
      <c r="BV473" s="19"/>
      <c r="BW473" s="17"/>
      <c r="BX473" s="23"/>
      <c r="BY473" s="24"/>
      <c r="BZ473" s="17"/>
      <c r="CA473" s="18"/>
      <c r="CB473" s="19"/>
      <c r="CC473" s="17"/>
      <c r="CD473" s="18"/>
      <c r="CE473" s="19"/>
      <c r="CF473" s="17"/>
      <c r="CG473" s="18"/>
      <c r="CH473" s="19"/>
      <c r="CI473" s="17"/>
      <c r="CJ473" s="18"/>
      <c r="CK473" s="19"/>
      <c r="CL473" s="17"/>
    </row>
    <row r="474" spans="1:95">
      <c r="A474" s="223">
        <v>45760</v>
      </c>
      <c r="B474" s="16" t="s">
        <v>308</v>
      </c>
      <c r="C474" s="17"/>
      <c r="D474" s="18"/>
      <c r="E474" s="19"/>
      <c r="F474" s="17"/>
      <c r="G474" s="18"/>
      <c r="H474" s="19"/>
      <c r="I474" s="17"/>
      <c r="J474" s="18"/>
      <c r="K474" s="19"/>
      <c r="L474" s="18"/>
      <c r="M474" s="18"/>
      <c r="N474" s="18"/>
      <c r="O474" s="17"/>
      <c r="P474" s="18"/>
      <c r="Q474" s="19"/>
      <c r="R474" s="18"/>
      <c r="S474" s="18"/>
      <c r="T474" s="18"/>
      <c r="U474" s="17"/>
      <c r="V474" s="18"/>
      <c r="W474" s="19"/>
      <c r="X474" s="17"/>
      <c r="Y474" s="18"/>
      <c r="Z474" s="19"/>
      <c r="AA474" s="17"/>
      <c r="AB474" s="18"/>
      <c r="AC474" s="19"/>
      <c r="AD474" s="17"/>
      <c r="AE474" s="18"/>
      <c r="AF474" s="19"/>
      <c r="AG474" s="18"/>
      <c r="AH474" s="18"/>
      <c r="AI474" s="18"/>
      <c r="AJ474" s="20"/>
      <c r="AK474" s="21"/>
      <c r="AL474" s="22"/>
      <c r="AM474" s="18"/>
      <c r="AN474" s="18"/>
      <c r="AO474" s="18"/>
      <c r="AP474" s="17"/>
      <c r="AQ474" s="18"/>
      <c r="AR474" s="19"/>
      <c r="AS474" s="18"/>
      <c r="AT474" s="18"/>
      <c r="AU474" s="18"/>
      <c r="AV474" s="17"/>
      <c r="AW474" s="18"/>
      <c r="AX474" s="19"/>
      <c r="AY474" s="17"/>
      <c r="AZ474" s="18"/>
      <c r="BA474" s="19"/>
      <c r="BB474" s="17"/>
      <c r="BC474" s="23"/>
      <c r="BD474" s="24"/>
      <c r="BE474" s="18"/>
      <c r="BF474" s="23"/>
      <c r="BG474" s="23"/>
      <c r="BH474" s="17"/>
      <c r="BI474" s="18"/>
      <c r="BJ474" s="19"/>
      <c r="BK474" s="18"/>
      <c r="BL474" s="18"/>
      <c r="BM474" s="18"/>
      <c r="BN474" s="25"/>
      <c r="BO474" s="23"/>
      <c r="BP474" s="24"/>
      <c r="BQ474" s="18"/>
      <c r="BR474" s="18"/>
      <c r="BS474" s="18"/>
      <c r="BT474" s="17"/>
      <c r="BU474" s="18"/>
      <c r="BV474" s="19"/>
      <c r="BW474" s="17"/>
      <c r="BX474" s="23"/>
      <c r="BY474" s="24"/>
      <c r="BZ474" s="17"/>
      <c r="CA474" s="18"/>
      <c r="CB474" s="19"/>
      <c r="CC474" s="17"/>
      <c r="CD474" s="18"/>
      <c r="CE474" s="19"/>
      <c r="CF474" s="17"/>
      <c r="CG474" s="18"/>
      <c r="CH474" s="19"/>
      <c r="CI474" s="17"/>
      <c r="CJ474" s="18"/>
      <c r="CK474" s="19"/>
      <c r="CL474" s="17"/>
    </row>
    <row r="475" spans="1:95">
      <c r="A475" s="223">
        <v>45761</v>
      </c>
      <c r="B475" s="16" t="s">
        <v>96</v>
      </c>
      <c r="C475" s="17">
        <v>144.22999999999999</v>
      </c>
      <c r="D475" s="18">
        <v>142.22999999999999</v>
      </c>
      <c r="E475" s="19">
        <v>143.22999999999999</v>
      </c>
      <c r="F475" s="17">
        <v>164.11</v>
      </c>
      <c r="G475" s="18">
        <v>161.11000000000001</v>
      </c>
      <c r="H475" s="19">
        <v>162.61000000000001</v>
      </c>
      <c r="I475" s="17">
        <v>104.83</v>
      </c>
      <c r="J475" s="18">
        <v>101.63</v>
      </c>
      <c r="K475" s="19">
        <v>103.22999999999999</v>
      </c>
      <c r="L475" s="18">
        <v>191.5</v>
      </c>
      <c r="M475" s="18">
        <v>183.5</v>
      </c>
      <c r="N475" s="18">
        <v>187.5</v>
      </c>
      <c r="O475" s="17">
        <v>176.15</v>
      </c>
      <c r="P475" s="18">
        <v>174.35</v>
      </c>
      <c r="Q475" s="19">
        <v>175.25</v>
      </c>
      <c r="R475" s="18">
        <v>22.08</v>
      </c>
      <c r="S475" s="18">
        <v>21.479999999999997</v>
      </c>
      <c r="T475" s="18">
        <v>21.779999999999998</v>
      </c>
      <c r="U475" s="17">
        <v>13.75</v>
      </c>
      <c r="V475" s="18">
        <v>13.15</v>
      </c>
      <c r="W475" s="19">
        <v>13.45</v>
      </c>
      <c r="X475" s="17">
        <v>15.03</v>
      </c>
      <c r="Y475" s="18">
        <v>14.229999999999999</v>
      </c>
      <c r="Z475" s="19">
        <v>14.629999999999999</v>
      </c>
      <c r="AA475" s="17">
        <v>92.13</v>
      </c>
      <c r="AB475" s="18">
        <v>88.13</v>
      </c>
      <c r="AC475" s="19">
        <v>90.13</v>
      </c>
      <c r="AD475" s="17">
        <v>85.65</v>
      </c>
      <c r="AE475" s="18">
        <v>81.650000000000006</v>
      </c>
      <c r="AF475" s="19">
        <v>83.65</v>
      </c>
      <c r="AG475" s="18">
        <v>18.89</v>
      </c>
      <c r="AH475" s="18">
        <v>18.03</v>
      </c>
      <c r="AI475" s="18">
        <v>18.46</v>
      </c>
      <c r="AJ475" s="20"/>
      <c r="AK475" s="21"/>
      <c r="AL475" s="22"/>
      <c r="AM475" s="18">
        <v>109.52</v>
      </c>
      <c r="AN475" s="18">
        <v>107.86</v>
      </c>
      <c r="AO475" s="18">
        <v>108.69</v>
      </c>
      <c r="AP475" s="17">
        <v>39.049999999999997</v>
      </c>
      <c r="AQ475" s="18">
        <v>37.449999999999996</v>
      </c>
      <c r="AR475" s="19">
        <v>38.25</v>
      </c>
      <c r="AS475" s="18">
        <v>39.74</v>
      </c>
      <c r="AT475" s="18">
        <v>38.380000000000003</v>
      </c>
      <c r="AU475" s="18">
        <v>39.06</v>
      </c>
      <c r="AV475" s="17">
        <v>19.93</v>
      </c>
      <c r="AW475" s="18">
        <v>19.329999999999998</v>
      </c>
      <c r="AX475" s="19">
        <v>19.63</v>
      </c>
      <c r="AY475" s="17">
        <v>4.34</v>
      </c>
      <c r="AZ475" s="18">
        <v>4.18</v>
      </c>
      <c r="BA475" s="19">
        <v>4.26</v>
      </c>
      <c r="BB475" s="17">
        <v>1.82</v>
      </c>
      <c r="BC475" s="23">
        <v>1.52</v>
      </c>
      <c r="BD475" s="24">
        <v>1.67</v>
      </c>
      <c r="BE475" s="18">
        <v>0.67</v>
      </c>
      <c r="BF475" s="23">
        <v>0.37000000000000005</v>
      </c>
      <c r="BG475" s="23">
        <v>0.52</v>
      </c>
      <c r="BH475" s="17">
        <v>477.15</v>
      </c>
      <c r="BI475" s="18">
        <v>461.15</v>
      </c>
      <c r="BJ475" s="19">
        <v>469.15</v>
      </c>
      <c r="BK475" s="18">
        <v>40.090000000000003</v>
      </c>
      <c r="BL475" s="18">
        <v>38.730000000000004</v>
      </c>
      <c r="BM475" s="18">
        <v>39.410000000000004</v>
      </c>
      <c r="BN475" s="25">
        <v>0.98</v>
      </c>
      <c r="BO475" s="23">
        <v>0.74</v>
      </c>
      <c r="BP475" s="24">
        <v>0.86</v>
      </c>
      <c r="BQ475" s="18">
        <v>8.06</v>
      </c>
      <c r="BR475" s="18">
        <v>6.0600000000000005</v>
      </c>
      <c r="BS475" s="18">
        <v>7.0600000000000005</v>
      </c>
      <c r="BT475" s="17">
        <v>10.23</v>
      </c>
      <c r="BU475" s="18">
        <v>9.83</v>
      </c>
      <c r="BV475" s="19">
        <v>10.030000000000001</v>
      </c>
      <c r="BW475" s="17">
        <v>2.68</v>
      </c>
      <c r="BX475" s="23">
        <v>2.4000000000000004</v>
      </c>
      <c r="BY475" s="24">
        <v>2.54</v>
      </c>
      <c r="BZ475" s="17">
        <v>9</v>
      </c>
      <c r="CA475" s="18">
        <v>6</v>
      </c>
      <c r="CB475" s="19">
        <v>7.5</v>
      </c>
      <c r="CC475" s="17">
        <v>6.61</v>
      </c>
      <c r="CD475" s="18">
        <v>6.37</v>
      </c>
      <c r="CE475" s="19">
        <v>6.49</v>
      </c>
      <c r="CF475" s="17">
        <v>1.97</v>
      </c>
      <c r="CG475" s="18">
        <v>1.47</v>
      </c>
      <c r="CH475" s="19">
        <v>1.72</v>
      </c>
      <c r="CI475" s="17">
        <v>0.42</v>
      </c>
      <c r="CJ475" s="18">
        <v>0.38</v>
      </c>
      <c r="CK475" s="19">
        <v>0.4</v>
      </c>
      <c r="CL475" s="17">
        <v>39.21</v>
      </c>
      <c r="CM475">
        <v>36.81</v>
      </c>
      <c r="CN475">
        <v>38.010000000000005</v>
      </c>
      <c r="CO475">
        <v>6.28</v>
      </c>
      <c r="CP475">
        <v>1.2800000000000002</v>
      </c>
      <c r="CQ475">
        <v>3.7800000000000002</v>
      </c>
    </row>
    <row r="476" spans="1:95">
      <c r="A476" s="223">
        <v>45762</v>
      </c>
      <c r="B476" s="16" t="s">
        <v>97</v>
      </c>
      <c r="C476" s="17">
        <v>144.63999999999999</v>
      </c>
      <c r="D476" s="18">
        <v>142.63999999999999</v>
      </c>
      <c r="E476" s="19">
        <v>143.63999999999999</v>
      </c>
      <c r="F476" s="17">
        <v>164.16</v>
      </c>
      <c r="G476" s="18">
        <v>161.16</v>
      </c>
      <c r="H476" s="19">
        <v>162.66</v>
      </c>
      <c r="I476" s="17">
        <v>104.98</v>
      </c>
      <c r="J476" s="18">
        <v>101.78</v>
      </c>
      <c r="K476" s="19">
        <v>103.38</v>
      </c>
      <c r="L476" s="18">
        <v>193.23</v>
      </c>
      <c r="M476" s="18">
        <v>185.23</v>
      </c>
      <c r="N476" s="18">
        <v>189.23</v>
      </c>
      <c r="O476" s="17">
        <v>176.56</v>
      </c>
      <c r="P476" s="18">
        <v>174.76</v>
      </c>
      <c r="Q476" s="19">
        <v>175.66</v>
      </c>
      <c r="R476" s="18">
        <v>22.08</v>
      </c>
      <c r="S476" s="18">
        <v>21.479999999999997</v>
      </c>
      <c r="T476" s="18">
        <v>21.779999999999998</v>
      </c>
      <c r="U476" s="17">
        <v>13.85</v>
      </c>
      <c r="V476" s="18">
        <v>13.25</v>
      </c>
      <c r="W476" s="19">
        <v>13.55</v>
      </c>
      <c r="X476" s="17">
        <v>15.08</v>
      </c>
      <c r="Y476" s="18">
        <v>14.28</v>
      </c>
      <c r="Z476" s="19">
        <v>14.68</v>
      </c>
      <c r="AA476" s="17">
        <v>92.9</v>
      </c>
      <c r="AB476" s="18">
        <v>88.9</v>
      </c>
      <c r="AC476" s="19">
        <v>90.9</v>
      </c>
      <c r="AD476" s="17">
        <v>86.49</v>
      </c>
      <c r="AE476" s="18">
        <v>82.49</v>
      </c>
      <c r="AF476" s="19">
        <v>84.49</v>
      </c>
      <c r="AG476" s="18">
        <v>18.95</v>
      </c>
      <c r="AH476" s="18">
        <v>18.09</v>
      </c>
      <c r="AI476" s="18">
        <v>18.52</v>
      </c>
      <c r="AJ476" s="20"/>
      <c r="AK476" s="21"/>
      <c r="AL476" s="22"/>
      <c r="AM476" s="18">
        <v>109.94</v>
      </c>
      <c r="AN476" s="18">
        <v>108.28</v>
      </c>
      <c r="AO476" s="18">
        <v>109.11</v>
      </c>
      <c r="AP476" s="17">
        <v>39.159999999999997</v>
      </c>
      <c r="AQ476" s="18">
        <v>37.559999999999995</v>
      </c>
      <c r="AR476" s="19">
        <v>38.36</v>
      </c>
      <c r="AS476" s="18">
        <v>39.85</v>
      </c>
      <c r="AT476" s="18">
        <v>38.49</v>
      </c>
      <c r="AU476" s="18">
        <v>39.17</v>
      </c>
      <c r="AV476" s="17">
        <v>19.940000000000001</v>
      </c>
      <c r="AW476" s="18">
        <v>19.34</v>
      </c>
      <c r="AX476" s="19">
        <v>19.64</v>
      </c>
      <c r="AY476" s="17">
        <v>4.3499999999999996</v>
      </c>
      <c r="AZ476" s="18">
        <v>4.1899999999999995</v>
      </c>
      <c r="BA476" s="19">
        <v>4.2699999999999996</v>
      </c>
      <c r="BB476" s="17">
        <v>1.83</v>
      </c>
      <c r="BC476" s="23">
        <v>1.53</v>
      </c>
      <c r="BD476" s="24">
        <v>1.6800000000000002</v>
      </c>
      <c r="BE476" s="18">
        <v>0.67</v>
      </c>
      <c r="BF476" s="23">
        <v>0.37000000000000005</v>
      </c>
      <c r="BG476" s="23">
        <v>0.52</v>
      </c>
      <c r="BH476" s="17">
        <v>478.8</v>
      </c>
      <c r="BI476" s="18">
        <v>462.8</v>
      </c>
      <c r="BJ476" s="19">
        <v>470.8</v>
      </c>
      <c r="BK476" s="18">
        <v>40.21</v>
      </c>
      <c r="BL476" s="18">
        <v>38.85</v>
      </c>
      <c r="BM476" s="18">
        <v>39.53</v>
      </c>
      <c r="BN476" s="25">
        <v>0.98</v>
      </c>
      <c r="BO476" s="23">
        <v>0.74</v>
      </c>
      <c r="BP476" s="24">
        <v>0.86</v>
      </c>
      <c r="BQ476" s="18">
        <v>8.16</v>
      </c>
      <c r="BR476" s="18">
        <v>6.16</v>
      </c>
      <c r="BS476" s="18">
        <v>7.16</v>
      </c>
      <c r="BT476" s="17">
        <v>10.28</v>
      </c>
      <c r="BU476" s="18">
        <v>9.879999999999999</v>
      </c>
      <c r="BV476" s="19">
        <v>10.079999999999998</v>
      </c>
      <c r="BW476" s="17">
        <v>2.68</v>
      </c>
      <c r="BX476" s="23">
        <v>2.4000000000000004</v>
      </c>
      <c r="BY476" s="24">
        <v>2.54</v>
      </c>
      <c r="BZ476" s="17">
        <v>9.09</v>
      </c>
      <c r="CA476" s="18">
        <v>6.09</v>
      </c>
      <c r="CB476" s="19">
        <v>7.59</v>
      </c>
      <c r="CC476" s="17">
        <v>6.61</v>
      </c>
      <c r="CD476" s="18">
        <v>6.37</v>
      </c>
      <c r="CE476" s="19">
        <v>6.49</v>
      </c>
      <c r="CF476" s="17">
        <v>2</v>
      </c>
      <c r="CG476" s="18">
        <v>1.5</v>
      </c>
      <c r="CH476" s="19">
        <v>1.75</v>
      </c>
      <c r="CI476" s="17">
        <v>0.42</v>
      </c>
      <c r="CJ476" s="18">
        <v>0.38</v>
      </c>
      <c r="CK476" s="19">
        <v>0.4</v>
      </c>
      <c r="CL476" s="17">
        <v>39.229999999999997</v>
      </c>
      <c r="CM476">
        <v>36.83</v>
      </c>
      <c r="CN476">
        <v>38.03</v>
      </c>
      <c r="CO476">
        <v>6.28</v>
      </c>
      <c r="CP476">
        <v>1.2800000000000002</v>
      </c>
      <c r="CQ476">
        <v>3.7800000000000002</v>
      </c>
    </row>
    <row r="477" spans="1:95">
      <c r="A477" s="223">
        <v>45763</v>
      </c>
      <c r="B477" s="16" t="s">
        <v>98</v>
      </c>
      <c r="C477" s="17">
        <v>143.93</v>
      </c>
      <c r="D477" s="18">
        <v>141.93</v>
      </c>
      <c r="E477" s="19">
        <v>142.93</v>
      </c>
      <c r="F477" s="17">
        <v>163.19999999999999</v>
      </c>
      <c r="G477" s="18">
        <v>160.19999999999999</v>
      </c>
      <c r="H477" s="19">
        <v>161.69999999999999</v>
      </c>
      <c r="I477" s="17">
        <v>104.04</v>
      </c>
      <c r="J477" s="18">
        <v>100.84</v>
      </c>
      <c r="K477" s="19">
        <v>102.44</v>
      </c>
      <c r="L477" s="18">
        <v>193.37</v>
      </c>
      <c r="M477" s="18">
        <v>185.37</v>
      </c>
      <c r="N477" s="18">
        <v>189.37</v>
      </c>
      <c r="O477" s="17">
        <v>175.48</v>
      </c>
      <c r="P477" s="18">
        <v>173.67999999999998</v>
      </c>
      <c r="Q477" s="19">
        <v>174.57999999999998</v>
      </c>
      <c r="R477" s="18">
        <v>21.95</v>
      </c>
      <c r="S477" s="18">
        <v>21.349999999999998</v>
      </c>
      <c r="T477" s="18">
        <v>21.65</v>
      </c>
      <c r="U477" s="17">
        <v>13.74</v>
      </c>
      <c r="V477" s="18">
        <v>13.14</v>
      </c>
      <c r="W477" s="19">
        <v>13.440000000000001</v>
      </c>
      <c r="X477" s="17">
        <v>14.9</v>
      </c>
      <c r="Y477" s="18">
        <v>14.1</v>
      </c>
      <c r="Z477" s="19">
        <v>14.5</v>
      </c>
      <c r="AA477" s="17">
        <v>92.5</v>
      </c>
      <c r="AB477" s="18">
        <v>88.5</v>
      </c>
      <c r="AC477" s="19">
        <v>90.5</v>
      </c>
      <c r="AD477" s="17">
        <v>86.23</v>
      </c>
      <c r="AE477" s="18">
        <v>82.23</v>
      </c>
      <c r="AF477" s="19">
        <v>84.23</v>
      </c>
      <c r="AG477" s="18">
        <v>18.850000000000001</v>
      </c>
      <c r="AH477" s="18">
        <v>17.990000000000002</v>
      </c>
      <c r="AI477" s="18">
        <v>18.420000000000002</v>
      </c>
      <c r="AJ477" s="20"/>
      <c r="AK477" s="21"/>
      <c r="AL477" s="22"/>
      <c r="AM477" s="18">
        <v>109.36</v>
      </c>
      <c r="AN477" s="18">
        <v>107.7</v>
      </c>
      <c r="AO477" s="18">
        <v>108.53</v>
      </c>
      <c r="AP477" s="17">
        <v>38.979999999999997</v>
      </c>
      <c r="AQ477" s="18">
        <v>37.379999999999995</v>
      </c>
      <c r="AR477" s="19">
        <v>38.179999999999993</v>
      </c>
      <c r="AS477" s="18">
        <v>39.659999999999997</v>
      </c>
      <c r="AT477" s="18">
        <v>38.299999999999997</v>
      </c>
      <c r="AU477" s="18">
        <v>38.979999999999997</v>
      </c>
      <c r="AV477" s="17">
        <v>19.809999999999999</v>
      </c>
      <c r="AW477" s="18">
        <v>19.209999999999997</v>
      </c>
      <c r="AX477" s="19">
        <v>19.509999999999998</v>
      </c>
      <c r="AY477" s="17">
        <v>4.3499999999999996</v>
      </c>
      <c r="AZ477" s="18">
        <v>4.1899999999999995</v>
      </c>
      <c r="BA477" s="19">
        <v>4.2699999999999996</v>
      </c>
      <c r="BB477" s="17">
        <v>1.83</v>
      </c>
      <c r="BC477" s="23">
        <v>1.53</v>
      </c>
      <c r="BD477" s="24">
        <v>1.6800000000000002</v>
      </c>
      <c r="BE477" s="18">
        <v>0.66</v>
      </c>
      <c r="BF477" s="23">
        <v>0.36000000000000004</v>
      </c>
      <c r="BG477" s="23">
        <v>0.51</v>
      </c>
      <c r="BH477" s="17">
        <v>476.32</v>
      </c>
      <c r="BI477" s="18">
        <v>460.32</v>
      </c>
      <c r="BJ477" s="19">
        <v>468.32</v>
      </c>
      <c r="BK477" s="18">
        <v>40.01</v>
      </c>
      <c r="BL477" s="18">
        <v>38.65</v>
      </c>
      <c r="BM477" s="18">
        <v>39.33</v>
      </c>
      <c r="BN477" s="25">
        <v>0.97</v>
      </c>
      <c r="BO477" s="23">
        <v>0.73</v>
      </c>
      <c r="BP477" s="24">
        <v>0.85</v>
      </c>
      <c r="BQ477" s="18">
        <v>8.11</v>
      </c>
      <c r="BR477" s="18">
        <v>6.1099999999999994</v>
      </c>
      <c r="BS477" s="18">
        <v>7.1099999999999994</v>
      </c>
      <c r="BT477" s="17">
        <v>10.210000000000001</v>
      </c>
      <c r="BU477" s="18">
        <v>9.81</v>
      </c>
      <c r="BV477" s="19">
        <v>10.010000000000002</v>
      </c>
      <c r="BW477" s="17">
        <v>2.69</v>
      </c>
      <c r="BX477" s="23">
        <v>2.41</v>
      </c>
      <c r="BY477" s="24">
        <v>2.5499999999999998</v>
      </c>
      <c r="BZ477" s="17">
        <v>9.01</v>
      </c>
      <c r="CA477" s="18">
        <v>6.01</v>
      </c>
      <c r="CB477" s="19">
        <v>7.51</v>
      </c>
      <c r="CC477" s="17">
        <v>6.56</v>
      </c>
      <c r="CD477" s="18">
        <v>6.3199999999999994</v>
      </c>
      <c r="CE477" s="19">
        <v>6.4399999999999995</v>
      </c>
      <c r="CF477" s="17">
        <v>1.96</v>
      </c>
      <c r="CG477" s="18">
        <v>1.46</v>
      </c>
      <c r="CH477" s="19">
        <v>1.71</v>
      </c>
      <c r="CI477" s="17">
        <v>0.42</v>
      </c>
      <c r="CJ477" s="18">
        <v>0.38</v>
      </c>
      <c r="CK477" s="19">
        <v>0.4</v>
      </c>
      <c r="CL477" s="17">
        <v>38.79</v>
      </c>
      <c r="CM477">
        <v>36.39</v>
      </c>
      <c r="CN477">
        <v>37.590000000000003</v>
      </c>
      <c r="CO477">
        <v>6.26</v>
      </c>
      <c r="CP477">
        <v>1.2599999999999998</v>
      </c>
      <c r="CQ477">
        <v>3.76</v>
      </c>
    </row>
    <row r="478" spans="1:95">
      <c r="A478" s="223">
        <v>45764</v>
      </c>
      <c r="B478" s="16" t="s">
        <v>99</v>
      </c>
      <c r="C478" s="17">
        <v>143.53</v>
      </c>
      <c r="D478" s="18">
        <v>141.53</v>
      </c>
      <c r="E478" s="19">
        <v>142.53</v>
      </c>
      <c r="F478" s="17">
        <v>163.57</v>
      </c>
      <c r="G478" s="18">
        <v>160.57</v>
      </c>
      <c r="H478" s="19">
        <v>162.07</v>
      </c>
      <c r="I478" s="17">
        <v>104.38</v>
      </c>
      <c r="J478" s="18">
        <v>101.17999999999999</v>
      </c>
      <c r="K478" s="19">
        <v>102.78</v>
      </c>
      <c r="L478" s="18">
        <v>192.38</v>
      </c>
      <c r="M478" s="18">
        <v>184.38</v>
      </c>
      <c r="N478" s="18">
        <v>188.38</v>
      </c>
      <c r="O478" s="17">
        <v>175.68</v>
      </c>
      <c r="P478" s="18">
        <v>173.88</v>
      </c>
      <c r="Q478" s="19">
        <v>174.78</v>
      </c>
      <c r="R478" s="18">
        <v>22</v>
      </c>
      <c r="S478" s="18">
        <v>21.4</v>
      </c>
      <c r="T478" s="18">
        <v>21.7</v>
      </c>
      <c r="U478" s="17">
        <v>13.78</v>
      </c>
      <c r="V478" s="18">
        <v>13.18</v>
      </c>
      <c r="W478" s="19">
        <v>13.48</v>
      </c>
      <c r="X478" s="17">
        <v>15</v>
      </c>
      <c r="Y478" s="18">
        <v>14.2</v>
      </c>
      <c r="Z478" s="19">
        <v>14.6</v>
      </c>
      <c r="AA478" s="17">
        <v>92.71</v>
      </c>
      <c r="AB478" s="18">
        <v>88.71</v>
      </c>
      <c r="AC478" s="19">
        <v>90.71</v>
      </c>
      <c r="AD478" s="17">
        <v>86.43</v>
      </c>
      <c r="AE478" s="18">
        <v>82.43</v>
      </c>
      <c r="AF478" s="19">
        <v>84.43</v>
      </c>
      <c r="AG478" s="18">
        <v>18.79</v>
      </c>
      <c r="AH478" s="18">
        <v>17.93</v>
      </c>
      <c r="AI478" s="18">
        <v>18.36</v>
      </c>
      <c r="AJ478" s="20"/>
      <c r="AK478" s="21"/>
      <c r="AL478" s="22"/>
      <c r="AM478" s="18">
        <v>109.38</v>
      </c>
      <c r="AN478" s="18">
        <v>107.72</v>
      </c>
      <c r="AO478" s="18">
        <v>108.55</v>
      </c>
      <c r="AP478" s="17">
        <v>38.869999999999997</v>
      </c>
      <c r="AQ478" s="18">
        <v>37.269999999999996</v>
      </c>
      <c r="AR478" s="19">
        <v>38.069999999999993</v>
      </c>
      <c r="AS478" s="18">
        <v>39.549999999999997</v>
      </c>
      <c r="AT478" s="18">
        <v>38.19</v>
      </c>
      <c r="AU478" s="18">
        <v>38.869999999999997</v>
      </c>
      <c r="AV478" s="17">
        <v>19.8</v>
      </c>
      <c r="AW478" s="18">
        <v>19.2</v>
      </c>
      <c r="AX478" s="19">
        <v>19.5</v>
      </c>
      <c r="AY478" s="17">
        <v>4.38</v>
      </c>
      <c r="AZ478" s="18">
        <v>4.22</v>
      </c>
      <c r="BA478" s="19">
        <v>4.3</v>
      </c>
      <c r="BB478" s="17">
        <v>1.83</v>
      </c>
      <c r="BC478" s="23">
        <v>1.53</v>
      </c>
      <c r="BD478" s="24">
        <v>1.6800000000000002</v>
      </c>
      <c r="BE478" s="18">
        <v>0.66</v>
      </c>
      <c r="BF478" s="23">
        <v>0.36000000000000004</v>
      </c>
      <c r="BG478" s="23">
        <v>0.51</v>
      </c>
      <c r="BH478" s="17">
        <v>470.46</v>
      </c>
      <c r="BI478" s="18">
        <v>454.46</v>
      </c>
      <c r="BJ478" s="19">
        <v>462.46</v>
      </c>
      <c r="BK478" s="18">
        <v>39.9</v>
      </c>
      <c r="BL478" s="18">
        <v>38.54</v>
      </c>
      <c r="BM478" s="18">
        <v>39.22</v>
      </c>
      <c r="BN478" s="25">
        <v>0.97</v>
      </c>
      <c r="BO478" s="23">
        <v>0.73</v>
      </c>
      <c r="BP478" s="24">
        <v>0.85</v>
      </c>
      <c r="BQ478" s="18">
        <v>8.15</v>
      </c>
      <c r="BR478" s="18">
        <v>6.15</v>
      </c>
      <c r="BS478" s="18">
        <v>7.15</v>
      </c>
      <c r="BT478" s="17">
        <v>10.25</v>
      </c>
      <c r="BU478" s="18">
        <v>9.85</v>
      </c>
      <c r="BV478" s="19">
        <v>10.050000000000001</v>
      </c>
      <c r="BW478" s="17">
        <v>2.68</v>
      </c>
      <c r="BX478" s="23">
        <v>2.4000000000000004</v>
      </c>
      <c r="BY478" s="24">
        <v>2.54</v>
      </c>
      <c r="BZ478" s="17">
        <v>9.06</v>
      </c>
      <c r="CA478" s="18">
        <v>6.0600000000000005</v>
      </c>
      <c r="CB478" s="19">
        <v>7.5600000000000005</v>
      </c>
      <c r="CC478" s="17">
        <v>6.6</v>
      </c>
      <c r="CD478" s="18">
        <v>6.3599999999999994</v>
      </c>
      <c r="CE478" s="19">
        <v>6.4799999999999995</v>
      </c>
      <c r="CF478" s="17">
        <v>1.97</v>
      </c>
      <c r="CG478" s="18">
        <v>1.47</v>
      </c>
      <c r="CH478" s="19">
        <v>1.72</v>
      </c>
      <c r="CI478" s="17">
        <v>0.42</v>
      </c>
      <c r="CJ478" s="18">
        <v>0.38</v>
      </c>
      <c r="CK478" s="19">
        <v>0.4</v>
      </c>
      <c r="CL478" s="17">
        <v>39.11</v>
      </c>
      <c r="CM478">
        <v>36.71</v>
      </c>
      <c r="CN478">
        <v>37.909999999999997</v>
      </c>
      <c r="CO478">
        <v>6.24</v>
      </c>
      <c r="CP478">
        <v>1.2400000000000002</v>
      </c>
      <c r="CQ478">
        <v>3.74</v>
      </c>
    </row>
    <row r="479" spans="1:95">
      <c r="A479" s="223">
        <v>45765</v>
      </c>
      <c r="B479" s="16" t="s">
        <v>100</v>
      </c>
      <c r="C479" s="17">
        <v>143.46</v>
      </c>
      <c r="D479" s="18">
        <v>141.46</v>
      </c>
      <c r="E479" s="19">
        <v>142.46</v>
      </c>
      <c r="F479" s="17">
        <v>163.28</v>
      </c>
      <c r="G479" s="18">
        <v>160.28</v>
      </c>
      <c r="H479" s="19">
        <v>161.78</v>
      </c>
      <c r="I479" s="17">
        <v>104.48</v>
      </c>
      <c r="J479" s="18">
        <v>101.28</v>
      </c>
      <c r="K479" s="19">
        <v>102.88</v>
      </c>
      <c r="L479" s="18">
        <v>193.29</v>
      </c>
      <c r="M479" s="18">
        <v>185.29</v>
      </c>
      <c r="N479" s="18">
        <v>189.29</v>
      </c>
      <c r="O479" s="17">
        <v>174.65</v>
      </c>
      <c r="P479" s="18">
        <v>172.85</v>
      </c>
      <c r="Q479" s="19">
        <v>173.75</v>
      </c>
      <c r="R479" s="18">
        <v>21.97</v>
      </c>
      <c r="S479" s="18">
        <v>21.369999999999997</v>
      </c>
      <c r="T479" s="18">
        <v>21.669999999999998</v>
      </c>
      <c r="U479" s="17">
        <v>13.9</v>
      </c>
      <c r="V479" s="18">
        <v>13.3</v>
      </c>
      <c r="W479" s="19">
        <v>13.600000000000001</v>
      </c>
      <c r="X479" s="17">
        <v>15.19</v>
      </c>
      <c r="Y479" s="18">
        <v>14.389999999999999</v>
      </c>
      <c r="Z479" s="19">
        <v>14.79</v>
      </c>
      <c r="AA479" s="17">
        <v>93</v>
      </c>
      <c r="AB479" s="18">
        <v>89</v>
      </c>
      <c r="AC479" s="19">
        <v>91</v>
      </c>
      <c r="AD479" s="17">
        <v>87.06</v>
      </c>
      <c r="AE479" s="18">
        <v>83.06</v>
      </c>
      <c r="AF479" s="19">
        <v>85.06</v>
      </c>
      <c r="AG479" s="18">
        <v>18.78</v>
      </c>
      <c r="AH479" s="18">
        <v>17.920000000000002</v>
      </c>
      <c r="AI479" s="18">
        <v>18.350000000000001</v>
      </c>
      <c r="AJ479" s="20"/>
      <c r="AK479" s="21"/>
      <c r="AL479" s="22"/>
      <c r="AM479" s="18">
        <v>109.55</v>
      </c>
      <c r="AN479" s="18">
        <v>107.89</v>
      </c>
      <c r="AO479" s="18">
        <v>108.72</v>
      </c>
      <c r="AP479" s="17">
        <v>38.85</v>
      </c>
      <c r="AQ479" s="18">
        <v>37.25</v>
      </c>
      <c r="AR479" s="19">
        <v>38.049999999999997</v>
      </c>
      <c r="AS479" s="18">
        <v>39.53</v>
      </c>
      <c r="AT479" s="18">
        <v>38.17</v>
      </c>
      <c r="AU479" s="18">
        <v>38.85</v>
      </c>
      <c r="AV479" s="17">
        <v>19.809999999999999</v>
      </c>
      <c r="AW479" s="18">
        <v>19.209999999999997</v>
      </c>
      <c r="AX479" s="19">
        <v>19.509999999999998</v>
      </c>
      <c r="AY479" s="17">
        <v>4.3600000000000003</v>
      </c>
      <c r="AZ479" s="18">
        <v>4.2</v>
      </c>
      <c r="BA479" s="19">
        <v>4.28</v>
      </c>
      <c r="BB479" s="17">
        <v>1.83</v>
      </c>
      <c r="BC479" s="23">
        <v>1.53</v>
      </c>
      <c r="BD479" s="24">
        <v>1.6800000000000002</v>
      </c>
      <c r="BE479" s="18">
        <v>0.66</v>
      </c>
      <c r="BF479" s="23">
        <v>0.36000000000000004</v>
      </c>
      <c r="BG479" s="23">
        <v>0.51</v>
      </c>
      <c r="BH479" s="17">
        <v>475.08</v>
      </c>
      <c r="BI479" s="18">
        <v>459.08</v>
      </c>
      <c r="BJ479" s="19">
        <v>467.08</v>
      </c>
      <c r="BK479" s="18">
        <v>39.89</v>
      </c>
      <c r="BL479" s="18">
        <v>38.53</v>
      </c>
      <c r="BM479" s="18">
        <v>39.21</v>
      </c>
      <c r="BN479" s="25">
        <v>0.97</v>
      </c>
      <c r="BO479" s="23">
        <v>0.73</v>
      </c>
      <c r="BP479" s="24">
        <v>0.85</v>
      </c>
      <c r="BQ479" s="18">
        <v>8.23</v>
      </c>
      <c r="BR479" s="18">
        <v>6.23</v>
      </c>
      <c r="BS479" s="18">
        <v>7.23</v>
      </c>
      <c r="BT479" s="17">
        <v>10.26</v>
      </c>
      <c r="BU479" s="18">
        <v>9.86</v>
      </c>
      <c r="BV479" s="19">
        <v>10.059999999999999</v>
      </c>
      <c r="BW479" s="17">
        <v>2.65</v>
      </c>
      <c r="BX479" s="23">
        <v>2.37</v>
      </c>
      <c r="BY479" s="24">
        <v>2.5099999999999998</v>
      </c>
      <c r="BZ479" s="17">
        <v>9.06</v>
      </c>
      <c r="CA479" s="18">
        <v>6.0600000000000005</v>
      </c>
      <c r="CB479" s="19">
        <v>7.5600000000000005</v>
      </c>
      <c r="CC479" s="17">
        <v>6.58</v>
      </c>
      <c r="CD479" s="18">
        <v>6.34</v>
      </c>
      <c r="CE479" s="19">
        <v>6.46</v>
      </c>
      <c r="CF479" s="17">
        <v>1.99</v>
      </c>
      <c r="CG479" s="18">
        <v>1.49</v>
      </c>
      <c r="CH479" s="19">
        <v>1.74</v>
      </c>
      <c r="CI479" s="17">
        <v>0.42</v>
      </c>
      <c r="CJ479" s="18">
        <v>0.38</v>
      </c>
      <c r="CK479" s="19">
        <v>0.4</v>
      </c>
      <c r="CL479" s="17">
        <v>39.1</v>
      </c>
      <c r="CM479">
        <v>36.700000000000003</v>
      </c>
      <c r="CN479">
        <v>37.900000000000006</v>
      </c>
      <c r="CO479">
        <v>6.26</v>
      </c>
      <c r="CP479">
        <v>1.2599999999999998</v>
      </c>
      <c r="CQ479">
        <v>3.76</v>
      </c>
    </row>
    <row r="480" spans="1:95">
      <c r="A480" s="223">
        <v>45766</v>
      </c>
      <c r="B480" s="16" t="s">
        <v>307</v>
      </c>
      <c r="C480" s="17"/>
      <c r="D480" s="18"/>
      <c r="E480" s="19"/>
      <c r="F480" s="17"/>
      <c r="G480" s="18"/>
      <c r="H480" s="19"/>
      <c r="I480" s="17"/>
      <c r="J480" s="18"/>
      <c r="K480" s="19"/>
      <c r="L480" s="18"/>
      <c r="M480" s="18"/>
      <c r="N480" s="18"/>
      <c r="O480" s="17"/>
      <c r="P480" s="18"/>
      <c r="Q480" s="19"/>
      <c r="R480" s="18"/>
      <c r="S480" s="18"/>
      <c r="T480" s="18"/>
      <c r="U480" s="17"/>
      <c r="V480" s="18"/>
      <c r="W480" s="19"/>
      <c r="X480" s="17"/>
      <c r="Y480" s="18"/>
      <c r="Z480" s="19"/>
      <c r="AA480" s="17"/>
      <c r="AB480" s="18"/>
      <c r="AC480" s="19"/>
      <c r="AD480" s="17"/>
      <c r="AE480" s="18"/>
      <c r="AF480" s="19"/>
      <c r="AG480" s="18"/>
      <c r="AH480" s="18"/>
      <c r="AI480" s="18"/>
      <c r="AJ480" s="20"/>
      <c r="AK480" s="21"/>
      <c r="AL480" s="22"/>
      <c r="AM480" s="18"/>
      <c r="AN480" s="18"/>
      <c r="AO480" s="18"/>
      <c r="AP480" s="17"/>
      <c r="AQ480" s="18"/>
      <c r="AR480" s="19"/>
      <c r="AS480" s="18"/>
      <c r="AT480" s="18"/>
      <c r="AU480" s="18"/>
      <c r="AV480" s="17"/>
      <c r="AW480" s="18"/>
      <c r="AX480" s="19"/>
      <c r="AY480" s="17"/>
      <c r="AZ480" s="18"/>
      <c r="BA480" s="19"/>
      <c r="BB480" s="17"/>
      <c r="BC480" s="23"/>
      <c r="BD480" s="24"/>
      <c r="BE480" s="18"/>
      <c r="BF480" s="23"/>
      <c r="BG480" s="23"/>
      <c r="BH480" s="17"/>
      <c r="BI480" s="18"/>
      <c r="BJ480" s="19"/>
      <c r="BK480" s="18"/>
      <c r="BL480" s="18"/>
      <c r="BM480" s="18"/>
      <c r="BN480" s="25"/>
      <c r="BO480" s="23"/>
      <c r="BP480" s="24"/>
      <c r="BQ480" s="18"/>
      <c r="BR480" s="18"/>
      <c r="BS480" s="18"/>
      <c r="BT480" s="17"/>
      <c r="BU480" s="18"/>
      <c r="BV480" s="19"/>
      <c r="BW480" s="17"/>
      <c r="BX480" s="23"/>
      <c r="BY480" s="24"/>
      <c r="BZ480" s="17"/>
      <c r="CA480" s="18"/>
      <c r="CB480" s="19"/>
      <c r="CC480" s="17"/>
      <c r="CD480" s="18"/>
      <c r="CE480" s="19"/>
      <c r="CF480" s="17"/>
      <c r="CG480" s="18"/>
      <c r="CH480" s="19"/>
      <c r="CI480" s="17"/>
      <c r="CJ480" s="18"/>
      <c r="CK480" s="19"/>
      <c r="CL480" s="17"/>
    </row>
    <row r="481" spans="1:95">
      <c r="A481" s="223">
        <v>45767</v>
      </c>
      <c r="B481" s="16" t="s">
        <v>308</v>
      </c>
      <c r="C481" s="17"/>
      <c r="D481" s="18"/>
      <c r="E481" s="19"/>
      <c r="F481" s="17"/>
      <c r="G481" s="18"/>
      <c r="H481" s="19"/>
      <c r="I481" s="17"/>
      <c r="J481" s="18"/>
      <c r="K481" s="19"/>
      <c r="L481" s="18"/>
      <c r="M481" s="18"/>
      <c r="N481" s="18"/>
      <c r="O481" s="17"/>
      <c r="P481" s="18"/>
      <c r="Q481" s="19"/>
      <c r="R481" s="18"/>
      <c r="S481" s="18"/>
      <c r="T481" s="18"/>
      <c r="U481" s="17"/>
      <c r="V481" s="18"/>
      <c r="W481" s="19"/>
      <c r="X481" s="17"/>
      <c r="Y481" s="18"/>
      <c r="Z481" s="19"/>
      <c r="AA481" s="17"/>
      <c r="AB481" s="18"/>
      <c r="AC481" s="19"/>
      <c r="AD481" s="17"/>
      <c r="AE481" s="18"/>
      <c r="AF481" s="19"/>
      <c r="AG481" s="18"/>
      <c r="AH481" s="18"/>
      <c r="AI481" s="18"/>
      <c r="AJ481" s="20"/>
      <c r="AK481" s="21"/>
      <c r="AL481" s="22"/>
      <c r="AM481" s="18"/>
      <c r="AN481" s="18"/>
      <c r="AO481" s="18"/>
      <c r="AP481" s="17"/>
      <c r="AQ481" s="18"/>
      <c r="AR481" s="19"/>
      <c r="AS481" s="18"/>
      <c r="AT481" s="18"/>
      <c r="AU481" s="18"/>
      <c r="AV481" s="17"/>
      <c r="AW481" s="18"/>
      <c r="AX481" s="19"/>
      <c r="AY481" s="17"/>
      <c r="AZ481" s="18"/>
      <c r="BA481" s="19"/>
      <c r="BB481" s="17"/>
      <c r="BC481" s="23"/>
      <c r="BD481" s="24"/>
      <c r="BE481" s="18"/>
      <c r="BF481" s="23"/>
      <c r="BG481" s="23"/>
      <c r="BH481" s="17"/>
      <c r="BI481" s="18"/>
      <c r="BJ481" s="19"/>
      <c r="BK481" s="18"/>
      <c r="BL481" s="18"/>
      <c r="BM481" s="18"/>
      <c r="BN481" s="25"/>
      <c r="BO481" s="23"/>
      <c r="BP481" s="24"/>
      <c r="BQ481" s="18"/>
      <c r="BR481" s="18"/>
      <c r="BS481" s="18"/>
      <c r="BT481" s="17"/>
      <c r="BU481" s="18"/>
      <c r="BV481" s="19"/>
      <c r="BW481" s="17"/>
      <c r="BX481" s="23"/>
      <c r="BY481" s="24"/>
      <c r="BZ481" s="17"/>
      <c r="CA481" s="18"/>
      <c r="CB481" s="19"/>
      <c r="CC481" s="17"/>
      <c r="CD481" s="18"/>
      <c r="CE481" s="19"/>
      <c r="CF481" s="17"/>
      <c r="CG481" s="18"/>
      <c r="CH481" s="19"/>
      <c r="CI481" s="17"/>
      <c r="CJ481" s="18"/>
      <c r="CK481" s="19"/>
      <c r="CL481" s="17"/>
    </row>
    <row r="482" spans="1:95">
      <c r="A482" s="223">
        <v>45768</v>
      </c>
      <c r="B482" s="16" t="s">
        <v>96</v>
      </c>
      <c r="C482" s="17">
        <v>142.24</v>
      </c>
      <c r="D482" s="18">
        <v>140.24</v>
      </c>
      <c r="E482" s="19">
        <v>141.24</v>
      </c>
      <c r="F482" s="17">
        <v>163.44999999999999</v>
      </c>
      <c r="G482" s="18">
        <v>160.44999999999999</v>
      </c>
      <c r="H482" s="19">
        <v>161.94999999999999</v>
      </c>
      <c r="I482" s="17">
        <v>103.81</v>
      </c>
      <c r="J482" s="18">
        <v>100.61</v>
      </c>
      <c r="K482" s="19">
        <v>102.21000000000001</v>
      </c>
      <c r="L482" s="18">
        <v>192.53</v>
      </c>
      <c r="M482" s="18">
        <v>184.53</v>
      </c>
      <c r="N482" s="18">
        <v>188.53</v>
      </c>
      <c r="O482" s="17">
        <v>174.91</v>
      </c>
      <c r="P482" s="18">
        <v>173.10999999999999</v>
      </c>
      <c r="Q482" s="19">
        <v>174.01</v>
      </c>
      <c r="R482" s="18">
        <v>21.99</v>
      </c>
      <c r="S482" s="18">
        <v>21.389999999999997</v>
      </c>
      <c r="T482" s="18">
        <v>21.689999999999998</v>
      </c>
      <c r="U482" s="17">
        <v>13.83</v>
      </c>
      <c r="V482" s="18">
        <v>13.23</v>
      </c>
      <c r="W482" s="19">
        <v>13.530000000000001</v>
      </c>
      <c r="X482" s="17">
        <v>15.18</v>
      </c>
      <c r="Y482" s="18">
        <v>14.379999999999999</v>
      </c>
      <c r="Z482" s="19">
        <v>14.78</v>
      </c>
      <c r="AA482" s="17">
        <v>92.17</v>
      </c>
      <c r="AB482" s="18">
        <v>88.17</v>
      </c>
      <c r="AC482" s="19">
        <v>90.17</v>
      </c>
      <c r="AD482" s="17">
        <v>86.15</v>
      </c>
      <c r="AE482" s="18">
        <v>82.15</v>
      </c>
      <c r="AF482" s="19">
        <v>84.15</v>
      </c>
      <c r="AG482" s="18">
        <v>18.63</v>
      </c>
      <c r="AH482" s="18">
        <v>17.77</v>
      </c>
      <c r="AI482" s="18">
        <v>18.2</v>
      </c>
      <c r="AJ482" s="20"/>
      <c r="AK482" s="21"/>
      <c r="AL482" s="22"/>
      <c r="AM482" s="18">
        <v>108.96</v>
      </c>
      <c r="AN482" s="18">
        <v>107.3</v>
      </c>
      <c r="AO482" s="18">
        <v>108.13</v>
      </c>
      <c r="AP482" s="17">
        <v>38.520000000000003</v>
      </c>
      <c r="AQ482" s="18">
        <v>36.92</v>
      </c>
      <c r="AR482" s="19">
        <v>37.72</v>
      </c>
      <c r="AS482" s="18">
        <v>39.200000000000003</v>
      </c>
      <c r="AT482" s="18">
        <v>37.840000000000003</v>
      </c>
      <c r="AU482" s="18">
        <v>38.520000000000003</v>
      </c>
      <c r="AV482" s="17">
        <v>19.66</v>
      </c>
      <c r="AW482" s="18">
        <v>19.059999999999999</v>
      </c>
      <c r="AX482" s="19">
        <v>19.36</v>
      </c>
      <c r="AY482" s="17">
        <v>4.34</v>
      </c>
      <c r="AZ482" s="18">
        <v>4.18</v>
      </c>
      <c r="BA482" s="19">
        <v>4.26</v>
      </c>
      <c r="BB482" s="17">
        <v>1.81</v>
      </c>
      <c r="BC482" s="23">
        <v>1.51</v>
      </c>
      <c r="BD482" s="24">
        <v>1.6600000000000001</v>
      </c>
      <c r="BE482" s="18">
        <v>0.66</v>
      </c>
      <c r="BF482" s="23">
        <v>0.36000000000000004</v>
      </c>
      <c r="BG482" s="23">
        <v>0.51</v>
      </c>
      <c r="BH482" s="17">
        <v>471.08</v>
      </c>
      <c r="BI482" s="18">
        <v>455.08</v>
      </c>
      <c r="BJ482" s="19">
        <v>463.08</v>
      </c>
      <c r="BK482" s="18">
        <v>39.549999999999997</v>
      </c>
      <c r="BL482" s="18">
        <v>38.19</v>
      </c>
      <c r="BM482" s="18">
        <v>38.869999999999997</v>
      </c>
      <c r="BN482" s="25">
        <v>0.96</v>
      </c>
      <c r="BO482" s="23">
        <v>0.72</v>
      </c>
      <c r="BP482" s="24">
        <v>0.84</v>
      </c>
      <c r="BQ482" s="18">
        <v>8.17</v>
      </c>
      <c r="BR482" s="18">
        <v>6.17</v>
      </c>
      <c r="BS482" s="18">
        <v>7.17</v>
      </c>
      <c r="BT482" s="17">
        <v>10.16</v>
      </c>
      <c r="BU482" s="18">
        <v>9.76</v>
      </c>
      <c r="BV482" s="19">
        <v>9.9600000000000009</v>
      </c>
      <c r="BW482" s="17">
        <v>2.63</v>
      </c>
      <c r="BX482" s="23">
        <v>2.3499999999999996</v>
      </c>
      <c r="BY482" s="24">
        <v>2.4899999999999998</v>
      </c>
      <c r="BZ482" s="17">
        <v>9.02</v>
      </c>
      <c r="CA482" s="18">
        <v>6.02</v>
      </c>
      <c r="CB482" s="19">
        <v>7.52</v>
      </c>
      <c r="CC482" s="17">
        <v>6.59</v>
      </c>
      <c r="CD482" s="18">
        <v>6.35</v>
      </c>
      <c r="CE482" s="19">
        <v>6.47</v>
      </c>
      <c r="CF482" s="17">
        <v>1.97</v>
      </c>
      <c r="CG482" s="18">
        <v>1.47</v>
      </c>
      <c r="CH482" s="19">
        <v>1.72</v>
      </c>
      <c r="CI482" s="17">
        <v>0.42</v>
      </c>
      <c r="CJ482" s="18">
        <v>0.38</v>
      </c>
      <c r="CK482" s="19">
        <v>0.4</v>
      </c>
      <c r="CL482" s="17">
        <v>39.04</v>
      </c>
      <c r="CM482">
        <v>36.64</v>
      </c>
      <c r="CN482">
        <v>37.840000000000003</v>
      </c>
      <c r="CO482">
        <v>6.22</v>
      </c>
      <c r="CP482">
        <v>1.2199999999999998</v>
      </c>
      <c r="CQ482">
        <v>3.7199999999999998</v>
      </c>
    </row>
    <row r="483" spans="1:95">
      <c r="A483" s="223">
        <v>45769</v>
      </c>
      <c r="B483" s="16" t="s">
        <v>97</v>
      </c>
      <c r="C483" s="17">
        <v>141.96</v>
      </c>
      <c r="D483" s="18">
        <v>139.96</v>
      </c>
      <c r="E483" s="19">
        <v>140.96</v>
      </c>
      <c r="F483" s="17">
        <v>163.38</v>
      </c>
      <c r="G483" s="18">
        <v>160.38</v>
      </c>
      <c r="H483" s="19">
        <v>161.88</v>
      </c>
      <c r="I483" s="17">
        <v>103.39</v>
      </c>
      <c r="J483" s="18">
        <v>100.19</v>
      </c>
      <c r="K483" s="19">
        <v>101.78999999999999</v>
      </c>
      <c r="L483" s="18">
        <v>192.36</v>
      </c>
      <c r="M483" s="18">
        <v>184.36</v>
      </c>
      <c r="N483" s="18">
        <v>188.36</v>
      </c>
      <c r="O483" s="17">
        <v>174.56</v>
      </c>
      <c r="P483" s="18">
        <v>172.76</v>
      </c>
      <c r="Q483" s="19">
        <v>173.66</v>
      </c>
      <c r="R483" s="18">
        <v>21.98</v>
      </c>
      <c r="S483" s="18">
        <v>21.38</v>
      </c>
      <c r="T483" s="18">
        <v>21.68</v>
      </c>
      <c r="U483" s="17">
        <v>13.88</v>
      </c>
      <c r="V483" s="18">
        <v>13.280000000000001</v>
      </c>
      <c r="W483" s="19">
        <v>13.580000000000002</v>
      </c>
      <c r="X483" s="17">
        <v>15.17</v>
      </c>
      <c r="Y483" s="18">
        <v>14.37</v>
      </c>
      <c r="Z483" s="19">
        <v>14.77</v>
      </c>
      <c r="AA483" s="17">
        <v>92.24</v>
      </c>
      <c r="AB483" s="18">
        <v>88.24</v>
      </c>
      <c r="AC483" s="19">
        <v>90.24</v>
      </c>
      <c r="AD483" s="17">
        <v>86.31</v>
      </c>
      <c r="AE483" s="18">
        <v>82.31</v>
      </c>
      <c r="AF483" s="19">
        <v>84.31</v>
      </c>
      <c r="AG483" s="18">
        <v>18.59</v>
      </c>
      <c r="AH483" s="18">
        <v>17.73</v>
      </c>
      <c r="AI483" s="18">
        <v>18.16</v>
      </c>
      <c r="AJ483" s="20"/>
      <c r="AK483" s="21"/>
      <c r="AL483" s="22"/>
      <c r="AM483" s="18">
        <v>108.63</v>
      </c>
      <c r="AN483" s="18">
        <v>106.97</v>
      </c>
      <c r="AO483" s="18">
        <v>107.8</v>
      </c>
      <c r="AP483" s="17">
        <v>38.450000000000003</v>
      </c>
      <c r="AQ483" s="18">
        <v>36.85</v>
      </c>
      <c r="AR483" s="19">
        <v>37.650000000000006</v>
      </c>
      <c r="AS483" s="18">
        <v>39.119999999999997</v>
      </c>
      <c r="AT483" s="18">
        <v>37.76</v>
      </c>
      <c r="AU483" s="18">
        <v>38.44</v>
      </c>
      <c r="AV483" s="17">
        <v>19.61</v>
      </c>
      <c r="AW483" s="18">
        <v>19.009999999999998</v>
      </c>
      <c r="AX483" s="19">
        <v>19.309999999999999</v>
      </c>
      <c r="AY483" s="17">
        <v>4.32</v>
      </c>
      <c r="AZ483" s="18">
        <v>4.16</v>
      </c>
      <c r="BA483" s="19">
        <v>4.24</v>
      </c>
      <c r="BB483" s="17">
        <v>1.82</v>
      </c>
      <c r="BC483" s="23">
        <v>1.52</v>
      </c>
      <c r="BD483" s="24">
        <v>1.67</v>
      </c>
      <c r="BE483" s="18">
        <v>0.66</v>
      </c>
      <c r="BF483" s="23">
        <v>0.36000000000000004</v>
      </c>
      <c r="BG483" s="23">
        <v>0.51</v>
      </c>
      <c r="BH483" s="17">
        <v>470.92</v>
      </c>
      <c r="BI483" s="18">
        <v>454.92</v>
      </c>
      <c r="BJ483" s="19">
        <v>462.92</v>
      </c>
      <c r="BK483" s="18">
        <v>39.47</v>
      </c>
      <c r="BL483" s="18">
        <v>38.11</v>
      </c>
      <c r="BM483" s="18">
        <v>38.79</v>
      </c>
      <c r="BN483" s="25">
        <v>0.96</v>
      </c>
      <c r="BO483" s="23">
        <v>0.72</v>
      </c>
      <c r="BP483" s="24">
        <v>0.84</v>
      </c>
      <c r="BQ483" s="18">
        <v>8.15</v>
      </c>
      <c r="BR483" s="18">
        <v>6.15</v>
      </c>
      <c r="BS483" s="18">
        <v>7.15</v>
      </c>
      <c r="BT483" s="17">
        <v>10.1</v>
      </c>
      <c r="BU483" s="18">
        <v>9.6999999999999993</v>
      </c>
      <c r="BV483" s="19">
        <v>9.8999999999999986</v>
      </c>
      <c r="BW483" s="17">
        <v>2.66</v>
      </c>
      <c r="BX483" s="23">
        <v>2.38</v>
      </c>
      <c r="BY483" s="24">
        <v>2.52</v>
      </c>
      <c r="BZ483" s="17">
        <v>9.02</v>
      </c>
      <c r="CA483" s="18">
        <v>6.02</v>
      </c>
      <c r="CB483" s="19">
        <v>7.52</v>
      </c>
      <c r="CC483" s="17">
        <v>6.59</v>
      </c>
      <c r="CD483" s="18">
        <v>6.35</v>
      </c>
      <c r="CE483" s="19">
        <v>6.47</v>
      </c>
      <c r="CF483" s="17">
        <v>1.99</v>
      </c>
      <c r="CG483" s="18">
        <v>1.49</v>
      </c>
      <c r="CH483" s="19">
        <v>1.74</v>
      </c>
      <c r="CI483" s="17">
        <v>0.42</v>
      </c>
      <c r="CJ483" s="18">
        <v>0.38</v>
      </c>
      <c r="CK483" s="19">
        <v>0.4</v>
      </c>
      <c r="CL483" s="17">
        <v>39.15</v>
      </c>
      <c r="CM483">
        <v>36.75</v>
      </c>
      <c r="CN483">
        <v>37.950000000000003</v>
      </c>
      <c r="CO483">
        <v>6.19</v>
      </c>
      <c r="CP483">
        <v>1.1900000000000004</v>
      </c>
      <c r="CQ483">
        <v>3.6900000000000004</v>
      </c>
    </row>
    <row r="484" spans="1:95">
      <c r="A484" s="223">
        <v>45770</v>
      </c>
      <c r="B484" s="16" t="s">
        <v>98</v>
      </c>
      <c r="C484" s="53">
        <v>143.1</v>
      </c>
      <c r="D484" s="54">
        <v>141.1</v>
      </c>
      <c r="E484" s="55">
        <v>142.1</v>
      </c>
      <c r="F484" s="53">
        <v>163.32</v>
      </c>
      <c r="G484" s="54">
        <v>160.32</v>
      </c>
      <c r="H484" s="55">
        <v>161.82</v>
      </c>
      <c r="I484" s="53">
        <v>104.36</v>
      </c>
      <c r="J484" s="54">
        <v>101.16</v>
      </c>
      <c r="K484" s="55">
        <v>102.75999999999999</v>
      </c>
      <c r="L484" s="54">
        <v>193.01</v>
      </c>
      <c r="M484" s="54">
        <v>185.01</v>
      </c>
      <c r="N484" s="54">
        <v>189.01</v>
      </c>
      <c r="O484" s="53">
        <v>173.48</v>
      </c>
      <c r="P484" s="54">
        <v>171.67999999999998</v>
      </c>
      <c r="Q484" s="55">
        <v>172.57999999999998</v>
      </c>
      <c r="R484" s="54">
        <v>21.97</v>
      </c>
      <c r="S484" s="54">
        <v>21.369999999999997</v>
      </c>
      <c r="T484" s="54">
        <v>21.669999999999998</v>
      </c>
      <c r="U484" s="53">
        <v>13.97</v>
      </c>
      <c r="V484" s="54">
        <v>13.370000000000001</v>
      </c>
      <c r="W484" s="55">
        <v>13.670000000000002</v>
      </c>
      <c r="X484" s="53">
        <v>15.22</v>
      </c>
      <c r="Y484" s="54">
        <v>14.42</v>
      </c>
      <c r="Z484" s="55">
        <v>14.82</v>
      </c>
      <c r="AA484" s="53">
        <v>92.87</v>
      </c>
      <c r="AB484" s="54">
        <v>88.87</v>
      </c>
      <c r="AC484" s="55">
        <v>90.87</v>
      </c>
      <c r="AD484" s="53">
        <v>86.99</v>
      </c>
      <c r="AE484" s="54">
        <v>82.99</v>
      </c>
      <c r="AF484" s="55">
        <v>84.99</v>
      </c>
      <c r="AG484" s="54">
        <v>18.75</v>
      </c>
      <c r="AH484" s="54">
        <v>17.89</v>
      </c>
      <c r="AI484" s="54">
        <v>18.32</v>
      </c>
      <c r="AJ484" s="56"/>
      <c r="AK484" s="57"/>
      <c r="AL484" s="58"/>
      <c r="AM484" s="54">
        <v>109.16</v>
      </c>
      <c r="AN484" s="54">
        <v>107.5</v>
      </c>
      <c r="AO484" s="54">
        <v>108.33</v>
      </c>
      <c r="AP484" s="53">
        <v>38.76</v>
      </c>
      <c r="AQ484" s="54">
        <v>37.159999999999997</v>
      </c>
      <c r="AR484" s="55">
        <v>37.959999999999994</v>
      </c>
      <c r="AS484" s="54">
        <v>39.43</v>
      </c>
      <c r="AT484" s="54">
        <v>38.07</v>
      </c>
      <c r="AU484" s="54">
        <v>38.75</v>
      </c>
      <c r="AV484" s="53">
        <v>19.760000000000002</v>
      </c>
      <c r="AW484" s="54">
        <v>19.16</v>
      </c>
      <c r="AX484" s="55">
        <v>19.46</v>
      </c>
      <c r="AY484" s="17">
        <v>4.32</v>
      </c>
      <c r="AZ484" s="18">
        <v>4.16</v>
      </c>
      <c r="BA484" s="19">
        <v>4.24</v>
      </c>
      <c r="BB484" s="17">
        <v>1.83</v>
      </c>
      <c r="BC484" s="23">
        <v>1.53</v>
      </c>
      <c r="BD484" s="24">
        <v>1.6800000000000002</v>
      </c>
      <c r="BE484" s="18">
        <v>0.66</v>
      </c>
      <c r="BF484" s="23">
        <v>0.36000000000000004</v>
      </c>
      <c r="BG484" s="23">
        <v>0.51</v>
      </c>
      <c r="BH484" s="17">
        <v>475.28</v>
      </c>
      <c r="BI484" s="18">
        <v>459.28</v>
      </c>
      <c r="BJ484" s="19">
        <v>467.28</v>
      </c>
      <c r="BK484" s="18">
        <v>39.78</v>
      </c>
      <c r="BL484" s="18">
        <v>38.42</v>
      </c>
      <c r="BM484" s="18">
        <v>39.1</v>
      </c>
      <c r="BN484" s="25">
        <v>0.97</v>
      </c>
      <c r="BO484" s="23">
        <v>0.73</v>
      </c>
      <c r="BP484" s="24">
        <v>0.85</v>
      </c>
      <c r="BQ484" s="18">
        <v>8.25</v>
      </c>
      <c r="BR484" s="18">
        <v>6.25</v>
      </c>
      <c r="BS484" s="18">
        <v>7.25</v>
      </c>
      <c r="BT484" s="17">
        <v>10.16</v>
      </c>
      <c r="BU484" s="18">
        <v>9.76</v>
      </c>
      <c r="BV484" s="19">
        <v>9.9600000000000009</v>
      </c>
      <c r="BW484" s="17">
        <v>2.67</v>
      </c>
      <c r="BX484" s="23">
        <v>2.3899999999999997</v>
      </c>
      <c r="BY484" s="24">
        <v>2.5299999999999998</v>
      </c>
      <c r="BZ484" s="17">
        <v>9.16</v>
      </c>
      <c r="CA484" s="18">
        <v>6.16</v>
      </c>
      <c r="CB484" s="19">
        <v>7.66</v>
      </c>
      <c r="CC484" s="17">
        <v>6.58</v>
      </c>
      <c r="CD484" s="18">
        <v>6.34</v>
      </c>
      <c r="CE484" s="19">
        <v>6.46</v>
      </c>
      <c r="CF484" s="17">
        <v>2</v>
      </c>
      <c r="CG484" s="18">
        <v>1.5</v>
      </c>
      <c r="CH484" s="19">
        <v>1.75</v>
      </c>
      <c r="CI484" s="17">
        <v>0.42</v>
      </c>
      <c r="CJ484" s="18">
        <v>0.38</v>
      </c>
      <c r="CK484" s="19">
        <v>0.4</v>
      </c>
      <c r="CL484" s="17">
        <v>39.020000000000003</v>
      </c>
      <c r="CM484">
        <v>36.620000000000005</v>
      </c>
      <c r="CN484">
        <v>37.820000000000007</v>
      </c>
      <c r="CO484">
        <v>6.22</v>
      </c>
      <c r="CP484">
        <v>1.2199999999999998</v>
      </c>
      <c r="CQ484">
        <v>3.7199999999999998</v>
      </c>
    </row>
    <row r="485" spans="1:95">
      <c r="A485" s="223">
        <v>45771</v>
      </c>
      <c r="B485" s="16" t="s">
        <v>99</v>
      </c>
      <c r="C485" s="17">
        <v>143.96</v>
      </c>
      <c r="D485" s="18">
        <v>141.96</v>
      </c>
      <c r="E485" s="19">
        <v>142.96</v>
      </c>
      <c r="F485" s="17">
        <v>163.6</v>
      </c>
      <c r="G485" s="18">
        <v>160.6</v>
      </c>
      <c r="H485" s="19">
        <v>162.1</v>
      </c>
      <c r="I485" s="17">
        <v>104.67</v>
      </c>
      <c r="J485" s="18">
        <v>101.47</v>
      </c>
      <c r="K485" s="19">
        <v>103.07</v>
      </c>
      <c r="L485" s="18">
        <v>193.82</v>
      </c>
      <c r="M485" s="18">
        <v>185.82</v>
      </c>
      <c r="N485" s="18">
        <v>189.82</v>
      </c>
      <c r="O485" s="17">
        <v>173.37</v>
      </c>
      <c r="P485" s="18">
        <v>171.57</v>
      </c>
      <c r="Q485" s="19">
        <v>172.47</v>
      </c>
      <c r="R485" s="18">
        <v>22.01</v>
      </c>
      <c r="S485" s="18">
        <v>21.41</v>
      </c>
      <c r="T485" s="18">
        <v>21.71</v>
      </c>
      <c r="U485" s="17">
        <v>13.89</v>
      </c>
      <c r="V485" s="18">
        <v>13.290000000000001</v>
      </c>
      <c r="W485" s="19">
        <v>13.59</v>
      </c>
      <c r="X485" s="17">
        <v>15.18</v>
      </c>
      <c r="Y485" s="18">
        <v>14.379999999999999</v>
      </c>
      <c r="Z485" s="19">
        <v>14.78</v>
      </c>
      <c r="AA485" s="17">
        <v>92.97</v>
      </c>
      <c r="AB485" s="18">
        <v>88.97</v>
      </c>
      <c r="AC485" s="19">
        <v>90.97</v>
      </c>
      <c r="AD485" s="17">
        <v>87.03</v>
      </c>
      <c r="AE485" s="18">
        <v>83.03</v>
      </c>
      <c r="AF485" s="19">
        <v>85.03</v>
      </c>
      <c r="AG485" s="18">
        <v>18.850000000000001</v>
      </c>
      <c r="AH485" s="18">
        <v>17.990000000000002</v>
      </c>
      <c r="AI485" s="18">
        <v>18.420000000000002</v>
      </c>
      <c r="AJ485" s="20"/>
      <c r="AK485" s="21"/>
      <c r="AL485" s="22"/>
      <c r="AM485" s="18">
        <v>109.53</v>
      </c>
      <c r="AN485" s="18">
        <v>107.87</v>
      </c>
      <c r="AO485" s="18">
        <v>108.7</v>
      </c>
      <c r="AP485" s="17">
        <v>38.99</v>
      </c>
      <c r="AQ485" s="18">
        <v>37.39</v>
      </c>
      <c r="AR485" s="19">
        <v>38.19</v>
      </c>
      <c r="AS485" s="18">
        <v>39.67</v>
      </c>
      <c r="AT485" s="18">
        <v>38.31</v>
      </c>
      <c r="AU485" s="18">
        <v>38.99</v>
      </c>
      <c r="AV485" s="17">
        <v>19.89</v>
      </c>
      <c r="AW485" s="18">
        <v>19.29</v>
      </c>
      <c r="AX485" s="19">
        <v>19.59</v>
      </c>
      <c r="AY485" s="17">
        <v>4.3499999999999996</v>
      </c>
      <c r="AZ485" s="18">
        <v>4.1899999999999995</v>
      </c>
      <c r="BA485" s="19">
        <v>4.2699999999999996</v>
      </c>
      <c r="BB485" s="17">
        <v>1.84</v>
      </c>
      <c r="BC485" s="23">
        <v>1.54</v>
      </c>
      <c r="BD485" s="24">
        <v>1.69</v>
      </c>
      <c r="BE485" s="18">
        <v>0.66</v>
      </c>
      <c r="BF485" s="23">
        <v>0.36000000000000004</v>
      </c>
      <c r="BG485" s="23">
        <v>0.51</v>
      </c>
      <c r="BH485" s="17">
        <v>476.72</v>
      </c>
      <c r="BI485" s="18">
        <v>460.72</v>
      </c>
      <c r="BJ485" s="19">
        <v>468.72</v>
      </c>
      <c r="BK485" s="18">
        <v>40.020000000000003</v>
      </c>
      <c r="BL485" s="18">
        <v>38.660000000000004</v>
      </c>
      <c r="BM485" s="18">
        <v>39.340000000000003</v>
      </c>
      <c r="BN485" s="25">
        <v>0.97</v>
      </c>
      <c r="BO485" s="23">
        <v>0.73</v>
      </c>
      <c r="BP485" s="24">
        <v>0.85</v>
      </c>
      <c r="BQ485" s="18">
        <v>8.2899999999999991</v>
      </c>
      <c r="BR485" s="18">
        <v>6.2899999999999991</v>
      </c>
      <c r="BS485" s="18">
        <v>7.2899999999999991</v>
      </c>
      <c r="BT485" s="17">
        <v>10.23</v>
      </c>
      <c r="BU485" s="18">
        <v>9.83</v>
      </c>
      <c r="BV485" s="19">
        <v>10.030000000000001</v>
      </c>
      <c r="BW485" s="17">
        <v>2.7</v>
      </c>
      <c r="BX485" s="23">
        <v>2.42</v>
      </c>
      <c r="BY485" s="24">
        <v>2.56</v>
      </c>
      <c r="BZ485" s="17">
        <v>9.17</v>
      </c>
      <c r="CA485" s="18">
        <v>6.17</v>
      </c>
      <c r="CB485" s="19">
        <v>7.67</v>
      </c>
      <c r="CC485" s="17">
        <v>6.61</v>
      </c>
      <c r="CD485" s="18">
        <v>6.37</v>
      </c>
      <c r="CE485" s="19">
        <v>6.49</v>
      </c>
      <c r="CF485" s="17">
        <v>1.98</v>
      </c>
      <c r="CG485" s="18">
        <v>1.48</v>
      </c>
      <c r="CH485" s="19">
        <v>1.73</v>
      </c>
      <c r="CI485" s="17">
        <v>0.42</v>
      </c>
      <c r="CJ485" s="18">
        <v>0.38</v>
      </c>
      <c r="CK485" s="19">
        <v>0.4</v>
      </c>
      <c r="CL485" s="17">
        <v>39.01</v>
      </c>
      <c r="CM485">
        <v>36.61</v>
      </c>
      <c r="CN485">
        <v>37.81</v>
      </c>
      <c r="CO485">
        <v>6.24</v>
      </c>
      <c r="CP485">
        <v>1.2400000000000002</v>
      </c>
      <c r="CQ485">
        <v>3.74</v>
      </c>
    </row>
    <row r="486" spans="1:95">
      <c r="A486" s="223">
        <v>45772</v>
      </c>
      <c r="B486" s="16" t="s">
        <v>100</v>
      </c>
      <c r="C486" s="17">
        <v>144.11000000000001</v>
      </c>
      <c r="D486" s="18">
        <v>142.11000000000001</v>
      </c>
      <c r="E486" s="19">
        <v>143.11000000000001</v>
      </c>
      <c r="F486" s="17">
        <v>164.02</v>
      </c>
      <c r="G486" s="18">
        <v>161.02000000000001</v>
      </c>
      <c r="H486" s="19">
        <v>162.52000000000001</v>
      </c>
      <c r="I486" s="17">
        <v>104.8</v>
      </c>
      <c r="J486" s="18">
        <v>101.6</v>
      </c>
      <c r="K486" s="19">
        <v>103.19999999999999</v>
      </c>
      <c r="L486" s="18">
        <v>194.52</v>
      </c>
      <c r="M486" s="18">
        <v>186.52</v>
      </c>
      <c r="N486" s="18">
        <v>190.52</v>
      </c>
      <c r="O486" s="17">
        <v>173.26</v>
      </c>
      <c r="P486" s="18">
        <v>171.45999999999998</v>
      </c>
      <c r="Q486" s="19">
        <v>172.35999999999999</v>
      </c>
      <c r="R486" s="18">
        <v>22.07</v>
      </c>
      <c r="S486" s="18">
        <v>21.47</v>
      </c>
      <c r="T486" s="18">
        <v>21.77</v>
      </c>
      <c r="U486" s="17">
        <v>14.04</v>
      </c>
      <c r="V486" s="18">
        <v>13.44</v>
      </c>
      <c r="W486" s="19">
        <v>13.739999999999998</v>
      </c>
      <c r="X486" s="17">
        <v>15.26</v>
      </c>
      <c r="Y486" s="18">
        <v>14.459999999999999</v>
      </c>
      <c r="Z486" s="19">
        <v>14.86</v>
      </c>
      <c r="AA486" s="17">
        <v>93.62</v>
      </c>
      <c r="AB486" s="18">
        <v>89.62</v>
      </c>
      <c r="AC486" s="19">
        <v>91.62</v>
      </c>
      <c r="AD486" s="17">
        <v>87.67</v>
      </c>
      <c r="AE486" s="18">
        <v>83.67</v>
      </c>
      <c r="AF486" s="19">
        <v>85.67</v>
      </c>
      <c r="AG486" s="18">
        <v>18.87</v>
      </c>
      <c r="AH486" s="18">
        <v>18.010000000000002</v>
      </c>
      <c r="AI486" s="18">
        <v>18.440000000000001</v>
      </c>
      <c r="AJ486" s="20"/>
      <c r="AK486" s="21"/>
      <c r="AL486" s="22"/>
      <c r="AM486" s="18">
        <v>109.86</v>
      </c>
      <c r="AN486" s="18">
        <v>108.2</v>
      </c>
      <c r="AO486" s="18">
        <v>109.03</v>
      </c>
      <c r="AP486" s="17">
        <v>39.03</v>
      </c>
      <c r="AQ486" s="18">
        <v>37.43</v>
      </c>
      <c r="AR486" s="19">
        <v>38.230000000000004</v>
      </c>
      <c r="AS486" s="18">
        <v>39.71</v>
      </c>
      <c r="AT486" s="18">
        <v>38.35</v>
      </c>
      <c r="AU486" s="18">
        <v>39.03</v>
      </c>
      <c r="AV486" s="17">
        <v>19.920000000000002</v>
      </c>
      <c r="AW486" s="18">
        <v>19.32</v>
      </c>
      <c r="AX486" s="19">
        <v>19.62</v>
      </c>
      <c r="AY486" s="17">
        <v>4.37</v>
      </c>
      <c r="AZ486" s="18">
        <v>4.21</v>
      </c>
      <c r="BA486" s="19">
        <v>4.29</v>
      </c>
      <c r="BB486" s="17">
        <v>1.84</v>
      </c>
      <c r="BC486" s="23">
        <v>1.54</v>
      </c>
      <c r="BD486" s="24">
        <v>1.69</v>
      </c>
      <c r="BE486" s="18">
        <v>0.66</v>
      </c>
      <c r="BF486" s="23">
        <v>0.36000000000000004</v>
      </c>
      <c r="BG486" s="23">
        <v>0.51</v>
      </c>
      <c r="BH486" s="17">
        <v>477.06</v>
      </c>
      <c r="BI486" s="18">
        <v>461.06</v>
      </c>
      <c r="BJ486" s="19">
        <v>469.06</v>
      </c>
      <c r="BK486" s="18">
        <v>40.06</v>
      </c>
      <c r="BL486" s="18">
        <v>38.700000000000003</v>
      </c>
      <c r="BM486" s="18">
        <v>39.380000000000003</v>
      </c>
      <c r="BN486" s="25">
        <v>0.97</v>
      </c>
      <c r="BO486" s="23">
        <v>0.73</v>
      </c>
      <c r="BP486" s="24">
        <v>0.85</v>
      </c>
      <c r="BQ486" s="18">
        <v>8.31</v>
      </c>
      <c r="BR486" s="18">
        <v>6.3100000000000005</v>
      </c>
      <c r="BS486" s="18">
        <v>7.3100000000000005</v>
      </c>
      <c r="BT486" s="17">
        <v>10.199999999999999</v>
      </c>
      <c r="BU486" s="18">
        <v>9.7999999999999989</v>
      </c>
      <c r="BV486" s="19">
        <v>10</v>
      </c>
      <c r="BW486" s="17">
        <v>2.7</v>
      </c>
      <c r="BX486" s="23">
        <v>2.42</v>
      </c>
      <c r="BY486" s="24">
        <v>2.56</v>
      </c>
      <c r="BZ486" s="17">
        <v>9.11</v>
      </c>
      <c r="CA486" s="18">
        <v>6.1099999999999994</v>
      </c>
      <c r="CB486" s="19">
        <v>7.6099999999999994</v>
      </c>
      <c r="CC486" s="17">
        <v>6.64</v>
      </c>
      <c r="CD486" s="18">
        <v>6.3999999999999995</v>
      </c>
      <c r="CE486" s="19">
        <v>6.52</v>
      </c>
      <c r="CF486" s="17">
        <v>1.98</v>
      </c>
      <c r="CG486" s="18">
        <v>1.48</v>
      </c>
      <c r="CH486" s="19">
        <v>1.73</v>
      </c>
      <c r="CI486" s="17">
        <v>0.42</v>
      </c>
      <c r="CJ486" s="18">
        <v>0.38</v>
      </c>
      <c r="CK486" s="19">
        <v>0.4</v>
      </c>
      <c r="CL486" s="17">
        <v>39.229999999999997</v>
      </c>
      <c r="CM486">
        <v>36.83</v>
      </c>
      <c r="CN486">
        <v>38.03</v>
      </c>
      <c r="CO486">
        <v>6.24</v>
      </c>
      <c r="CP486">
        <v>1.2400000000000002</v>
      </c>
      <c r="CQ486">
        <v>3.74</v>
      </c>
    </row>
    <row r="487" spans="1:95">
      <c r="A487" s="223">
        <v>45773</v>
      </c>
      <c r="B487" s="16" t="s">
        <v>307</v>
      </c>
      <c r="C487" s="17"/>
      <c r="D487" s="18"/>
      <c r="E487" s="19"/>
      <c r="F487" s="17"/>
      <c r="G487" s="18"/>
      <c r="H487" s="19"/>
      <c r="I487" s="17"/>
      <c r="J487" s="18"/>
      <c r="K487" s="19"/>
      <c r="L487" s="18"/>
      <c r="M487" s="18"/>
      <c r="N487" s="18"/>
      <c r="O487" s="17"/>
      <c r="P487" s="18"/>
      <c r="Q487" s="19"/>
      <c r="R487" s="18"/>
      <c r="S487" s="18"/>
      <c r="T487" s="18"/>
      <c r="U487" s="17"/>
      <c r="V487" s="18"/>
      <c r="W487" s="19"/>
      <c r="X487" s="17"/>
      <c r="Y487" s="18"/>
      <c r="Z487" s="19"/>
      <c r="AA487" s="17"/>
      <c r="AB487" s="18"/>
      <c r="AC487" s="19"/>
      <c r="AD487" s="17"/>
      <c r="AE487" s="18"/>
      <c r="AF487" s="19"/>
      <c r="AG487" s="18"/>
      <c r="AH487" s="18"/>
      <c r="AI487" s="18"/>
      <c r="AJ487" s="20"/>
      <c r="AK487" s="21"/>
      <c r="AL487" s="22"/>
      <c r="AM487" s="18"/>
      <c r="AN487" s="18"/>
      <c r="AO487" s="18"/>
      <c r="AP487" s="17"/>
      <c r="AQ487" s="18"/>
      <c r="AR487" s="19"/>
      <c r="AS487" s="18"/>
      <c r="AT487" s="18"/>
      <c r="AU487" s="18"/>
      <c r="AV487" s="17"/>
      <c r="AW487" s="18"/>
      <c r="AX487" s="19"/>
      <c r="AY487" s="17"/>
      <c r="AZ487" s="18"/>
      <c r="BA487" s="19"/>
      <c r="BB487" s="17"/>
      <c r="BC487" s="23"/>
      <c r="BD487" s="24"/>
      <c r="BE487" s="18"/>
      <c r="BF487" s="23"/>
      <c r="BG487" s="23"/>
      <c r="BH487" s="17"/>
      <c r="BI487" s="18"/>
      <c r="BJ487" s="19"/>
      <c r="BK487" s="18"/>
      <c r="BL487" s="18"/>
      <c r="BM487" s="18"/>
      <c r="BN487" s="25"/>
      <c r="BO487" s="23"/>
      <c r="BP487" s="24"/>
      <c r="BQ487" s="18"/>
      <c r="BR487" s="18"/>
      <c r="BS487" s="18"/>
      <c r="BT487" s="17"/>
      <c r="BU487" s="18"/>
      <c r="BV487" s="19"/>
      <c r="BW487" s="17"/>
      <c r="BX487" s="23"/>
      <c r="BY487" s="24"/>
      <c r="BZ487" s="17"/>
      <c r="CA487" s="18"/>
      <c r="CB487" s="19"/>
      <c r="CC487" s="17"/>
      <c r="CD487" s="18"/>
      <c r="CE487" s="19"/>
      <c r="CF487" s="17"/>
      <c r="CG487" s="18"/>
      <c r="CH487" s="19"/>
      <c r="CI487" s="17"/>
      <c r="CJ487" s="18"/>
      <c r="CK487" s="19"/>
      <c r="CL487" s="17"/>
    </row>
    <row r="488" spans="1:95">
      <c r="A488" s="223">
        <v>45774</v>
      </c>
      <c r="B488" s="16" t="s">
        <v>308</v>
      </c>
      <c r="C488" s="17"/>
      <c r="D488" s="18"/>
      <c r="E488" s="19"/>
      <c r="F488" s="17"/>
      <c r="G488" s="18"/>
      <c r="H488" s="19"/>
      <c r="I488" s="17"/>
      <c r="J488" s="18"/>
      <c r="K488" s="19"/>
      <c r="L488" s="18"/>
      <c r="M488" s="18"/>
      <c r="N488" s="18"/>
      <c r="O488" s="17"/>
      <c r="P488" s="18"/>
      <c r="Q488" s="19"/>
      <c r="R488" s="18"/>
      <c r="S488" s="18"/>
      <c r="T488" s="18"/>
      <c r="U488" s="17"/>
      <c r="V488" s="18"/>
      <c r="W488" s="19"/>
      <c r="X488" s="17"/>
      <c r="Y488" s="18"/>
      <c r="Z488" s="19"/>
      <c r="AA488" s="17"/>
      <c r="AB488" s="18"/>
      <c r="AC488" s="19"/>
      <c r="AD488" s="17"/>
      <c r="AE488" s="18"/>
      <c r="AF488" s="19"/>
      <c r="AG488" s="18"/>
      <c r="AH488" s="18"/>
      <c r="AI488" s="18"/>
      <c r="AJ488" s="20"/>
      <c r="AK488" s="21"/>
      <c r="AL488" s="22"/>
      <c r="AM488" s="18"/>
      <c r="AN488" s="18"/>
      <c r="AO488" s="18"/>
      <c r="AP488" s="17"/>
      <c r="AQ488" s="18"/>
      <c r="AR488" s="19"/>
      <c r="AS488" s="18"/>
      <c r="AT488" s="18"/>
      <c r="AU488" s="18"/>
      <c r="AV488" s="17"/>
      <c r="AW488" s="18"/>
      <c r="AX488" s="19"/>
      <c r="AY488" s="17"/>
      <c r="AZ488" s="18"/>
      <c r="BA488" s="19"/>
      <c r="BB488" s="17"/>
      <c r="BC488" s="23"/>
      <c r="BD488" s="24"/>
      <c r="BE488" s="18"/>
      <c r="BF488" s="23"/>
      <c r="BG488" s="23"/>
      <c r="BH488" s="17"/>
      <c r="BI488" s="18"/>
      <c r="BJ488" s="19"/>
      <c r="BK488" s="18"/>
      <c r="BL488" s="18"/>
      <c r="BM488" s="18"/>
      <c r="BN488" s="25"/>
      <c r="BO488" s="23"/>
      <c r="BP488" s="24"/>
      <c r="BQ488" s="18"/>
      <c r="BR488" s="18"/>
      <c r="BS488" s="18"/>
      <c r="BT488" s="17"/>
      <c r="BU488" s="18"/>
      <c r="BV488" s="19"/>
      <c r="BW488" s="17"/>
      <c r="BX488" s="23"/>
      <c r="BY488" s="24"/>
      <c r="BZ488" s="17"/>
      <c r="CA488" s="18"/>
      <c r="CB488" s="19"/>
      <c r="CC488" s="17"/>
      <c r="CD488" s="18"/>
      <c r="CE488" s="19"/>
      <c r="CF488" s="17"/>
      <c r="CG488" s="18"/>
      <c r="CH488" s="19"/>
      <c r="CI488" s="17"/>
      <c r="CJ488" s="18"/>
      <c r="CK488" s="19"/>
      <c r="CL488" s="17"/>
    </row>
    <row r="489" spans="1:95">
      <c r="A489" s="223">
        <v>45775</v>
      </c>
      <c r="B489" s="16" t="s">
        <v>96</v>
      </c>
      <c r="C489" s="17">
        <v>144.66</v>
      </c>
      <c r="D489" s="18">
        <v>142.66</v>
      </c>
      <c r="E489" s="19">
        <v>143.66</v>
      </c>
      <c r="F489" s="17">
        <v>164.64</v>
      </c>
      <c r="G489" s="18">
        <v>161.63999999999999</v>
      </c>
      <c r="H489" s="19">
        <v>163.13999999999999</v>
      </c>
      <c r="I489" s="17">
        <v>105.12</v>
      </c>
      <c r="J489" s="18">
        <v>101.92</v>
      </c>
      <c r="K489" s="19">
        <v>103.52000000000001</v>
      </c>
      <c r="L489" s="18">
        <v>195.02</v>
      </c>
      <c r="M489" s="18">
        <v>187.02</v>
      </c>
      <c r="N489" s="18">
        <v>191.02</v>
      </c>
      <c r="O489" s="17">
        <v>174.42</v>
      </c>
      <c r="P489" s="18">
        <v>172.61999999999998</v>
      </c>
      <c r="Q489" s="19">
        <v>173.51999999999998</v>
      </c>
      <c r="R489" s="18">
        <v>22.16</v>
      </c>
      <c r="S489" s="18">
        <v>21.56</v>
      </c>
      <c r="T489" s="18">
        <v>21.86</v>
      </c>
      <c r="U489" s="17">
        <v>14.05</v>
      </c>
      <c r="V489" s="18">
        <v>13.450000000000001</v>
      </c>
      <c r="W489" s="19">
        <v>13.75</v>
      </c>
      <c r="X489" s="17">
        <v>15.24</v>
      </c>
      <c r="Y489" s="18">
        <v>14.44</v>
      </c>
      <c r="Z489" s="19">
        <v>14.84</v>
      </c>
      <c r="AA489" s="17">
        <v>93.76</v>
      </c>
      <c r="AB489" s="18">
        <v>89.76</v>
      </c>
      <c r="AC489" s="19">
        <v>91.76</v>
      </c>
      <c r="AD489" s="17">
        <v>87.51</v>
      </c>
      <c r="AE489" s="18">
        <v>83.51</v>
      </c>
      <c r="AF489" s="19">
        <v>85.51</v>
      </c>
      <c r="AG489" s="18">
        <v>18.95</v>
      </c>
      <c r="AH489" s="18">
        <v>18.09</v>
      </c>
      <c r="AI489" s="18">
        <v>18.52</v>
      </c>
      <c r="AJ489" s="20"/>
      <c r="AK489" s="21"/>
      <c r="AL489" s="22"/>
      <c r="AM489" s="18">
        <v>110.05</v>
      </c>
      <c r="AN489" s="18">
        <v>108.39</v>
      </c>
      <c r="AO489" s="18">
        <v>109.22</v>
      </c>
      <c r="AP489" s="17">
        <v>39.19</v>
      </c>
      <c r="AQ489" s="18">
        <v>37.589999999999996</v>
      </c>
      <c r="AR489" s="19">
        <v>38.39</v>
      </c>
      <c r="AS489" s="18">
        <v>39.86</v>
      </c>
      <c r="AT489" s="18">
        <v>38.5</v>
      </c>
      <c r="AU489" s="18">
        <v>39.18</v>
      </c>
      <c r="AV489" s="17">
        <v>20</v>
      </c>
      <c r="AW489" s="18">
        <v>19.399999999999999</v>
      </c>
      <c r="AX489" s="19">
        <v>19.7</v>
      </c>
      <c r="AY489" s="17">
        <v>4.3600000000000003</v>
      </c>
      <c r="AZ489" s="18">
        <v>4.2</v>
      </c>
      <c r="BA489" s="19">
        <v>4.28</v>
      </c>
      <c r="BB489" s="17">
        <v>1.84</v>
      </c>
      <c r="BC489" s="23">
        <v>1.54</v>
      </c>
      <c r="BD489" s="24">
        <v>1.69</v>
      </c>
      <c r="BE489" s="18">
        <v>0.67</v>
      </c>
      <c r="BF489" s="23">
        <v>0.37000000000000005</v>
      </c>
      <c r="BG489" s="23">
        <v>0.52</v>
      </c>
      <c r="BH489" s="17">
        <v>478.86</v>
      </c>
      <c r="BI489" s="18">
        <v>462.86</v>
      </c>
      <c r="BJ489" s="19">
        <v>470.86</v>
      </c>
      <c r="BK489" s="18">
        <v>40.21</v>
      </c>
      <c r="BL489" s="18">
        <v>38.85</v>
      </c>
      <c r="BM489" s="18">
        <v>39.53</v>
      </c>
      <c r="BN489" s="25">
        <v>0.98</v>
      </c>
      <c r="BO489" s="23">
        <v>0.74</v>
      </c>
      <c r="BP489" s="24">
        <v>0.86</v>
      </c>
      <c r="BQ489" s="18">
        <v>8.36</v>
      </c>
      <c r="BR489" s="18">
        <v>6.3599999999999994</v>
      </c>
      <c r="BS489" s="18">
        <v>7.3599999999999994</v>
      </c>
      <c r="BT489" s="17">
        <v>10.210000000000001</v>
      </c>
      <c r="BU489" s="18">
        <v>9.81</v>
      </c>
      <c r="BV489" s="19">
        <v>10.010000000000002</v>
      </c>
      <c r="BW489" s="17">
        <v>2.72</v>
      </c>
      <c r="BX489" s="23">
        <v>2.4400000000000004</v>
      </c>
      <c r="BY489" s="24">
        <v>2.58</v>
      </c>
      <c r="BZ489" s="17">
        <v>9.19</v>
      </c>
      <c r="CA489" s="18">
        <v>6.1899999999999995</v>
      </c>
      <c r="CB489" s="19">
        <v>7.6899999999999995</v>
      </c>
      <c r="CC489" s="17">
        <v>6.66</v>
      </c>
      <c r="CD489" s="18">
        <v>6.42</v>
      </c>
      <c r="CE489" s="19">
        <v>6.54</v>
      </c>
      <c r="CF489" s="17">
        <v>1.99</v>
      </c>
      <c r="CG489" s="18">
        <v>1.49</v>
      </c>
      <c r="CH489" s="19">
        <v>1.74</v>
      </c>
      <c r="CI489" s="17">
        <v>0.42</v>
      </c>
      <c r="CJ489" s="18">
        <v>0.38</v>
      </c>
      <c r="CK489" s="19">
        <v>0.4</v>
      </c>
      <c r="CL489" s="17">
        <v>39.42</v>
      </c>
      <c r="CM489">
        <v>37.020000000000003</v>
      </c>
      <c r="CN489">
        <v>38.22</v>
      </c>
      <c r="CO489">
        <v>6.25</v>
      </c>
      <c r="CP489">
        <v>1.25</v>
      </c>
      <c r="CQ489">
        <v>3.75</v>
      </c>
    </row>
    <row r="490" spans="1:95">
      <c r="A490" s="223">
        <v>45776</v>
      </c>
      <c r="B490" s="16" t="s">
        <v>97</v>
      </c>
      <c r="C490" s="17"/>
      <c r="D490" s="18"/>
      <c r="E490" s="19"/>
      <c r="F490" s="17"/>
      <c r="G490" s="18"/>
      <c r="H490" s="19"/>
      <c r="I490" s="17"/>
      <c r="J490" s="18"/>
      <c r="K490" s="19"/>
      <c r="L490" s="18"/>
      <c r="M490" s="18"/>
      <c r="N490" s="18"/>
      <c r="O490" s="17"/>
      <c r="P490" s="18"/>
      <c r="Q490" s="19"/>
      <c r="R490" s="18"/>
      <c r="S490" s="18"/>
      <c r="T490" s="18"/>
      <c r="U490" s="17"/>
      <c r="V490" s="18"/>
      <c r="W490" s="19"/>
      <c r="X490" s="17"/>
      <c r="Y490" s="18"/>
      <c r="Z490" s="19"/>
      <c r="AA490" s="17"/>
      <c r="AB490" s="18"/>
      <c r="AC490" s="19"/>
      <c r="AD490" s="17"/>
      <c r="AE490" s="18"/>
      <c r="AF490" s="19"/>
      <c r="AG490" s="18"/>
      <c r="AH490" s="18"/>
      <c r="AI490" s="18"/>
      <c r="AJ490" s="20"/>
      <c r="AK490" s="21"/>
      <c r="AL490" s="22"/>
      <c r="AM490" s="18"/>
      <c r="AN490" s="18"/>
      <c r="AO490" s="18"/>
      <c r="AP490" s="17"/>
      <c r="AQ490" s="18"/>
      <c r="AR490" s="19"/>
      <c r="AS490" s="18"/>
      <c r="AT490" s="18"/>
      <c r="AU490" s="18"/>
      <c r="AV490" s="17"/>
      <c r="AW490" s="18"/>
      <c r="AX490" s="19"/>
      <c r="AY490" s="17"/>
      <c r="AZ490" s="18"/>
      <c r="BA490" s="19"/>
      <c r="BB490" s="17"/>
      <c r="BC490" s="23"/>
      <c r="BD490" s="24"/>
      <c r="BE490" s="18"/>
      <c r="BF490" s="23"/>
      <c r="BG490" s="23"/>
      <c r="BH490" s="17"/>
      <c r="BI490" s="18"/>
      <c r="BJ490" s="19"/>
      <c r="BK490" s="18"/>
      <c r="BL490" s="18"/>
      <c r="BM490" s="18"/>
      <c r="BN490" s="25"/>
      <c r="BO490" s="23"/>
      <c r="BP490" s="24"/>
      <c r="BQ490" s="18"/>
      <c r="BR490" s="18"/>
      <c r="BS490" s="18"/>
      <c r="BT490" s="17"/>
      <c r="BU490" s="18"/>
      <c r="BV490" s="19"/>
      <c r="BW490" s="17"/>
      <c r="BX490" s="23"/>
      <c r="BY490" s="24"/>
      <c r="BZ490" s="17"/>
      <c r="CA490" s="18"/>
      <c r="CB490" s="19"/>
      <c r="CC490" s="17"/>
      <c r="CD490" s="18"/>
      <c r="CE490" s="19"/>
      <c r="CF490" s="17"/>
      <c r="CG490" s="18"/>
      <c r="CH490" s="19"/>
      <c r="CI490" s="17"/>
      <c r="CJ490" s="18"/>
      <c r="CK490" s="19"/>
      <c r="CL490" s="17"/>
    </row>
    <row r="491" spans="1:95">
      <c r="A491" s="223">
        <v>45777</v>
      </c>
      <c r="B491" s="16" t="s">
        <v>98</v>
      </c>
      <c r="C491" s="17">
        <v>143.57</v>
      </c>
      <c r="D491" s="18">
        <v>141.57</v>
      </c>
      <c r="E491" s="19">
        <v>142.57</v>
      </c>
      <c r="F491" s="17">
        <v>163.66999999999999</v>
      </c>
      <c r="G491" s="18">
        <v>160.66999999999999</v>
      </c>
      <c r="H491" s="19">
        <v>162.16999999999999</v>
      </c>
      <c r="I491" s="17">
        <v>104.65</v>
      </c>
      <c r="J491" s="18">
        <v>101.45</v>
      </c>
      <c r="K491" s="19">
        <v>103.05000000000001</v>
      </c>
      <c r="L491" s="18">
        <v>195.09</v>
      </c>
      <c r="M491" s="18">
        <v>187.09</v>
      </c>
      <c r="N491" s="18">
        <v>191.09</v>
      </c>
      <c r="O491" s="17">
        <v>173.77</v>
      </c>
      <c r="P491" s="18">
        <v>171.97</v>
      </c>
      <c r="Q491" s="19">
        <v>172.87</v>
      </c>
      <c r="R491" s="18">
        <v>22.03</v>
      </c>
      <c r="S491" s="18">
        <v>21.43</v>
      </c>
      <c r="T491" s="18">
        <v>21.73</v>
      </c>
      <c r="U491" s="17">
        <v>14.02</v>
      </c>
      <c r="V491" s="18">
        <v>13.42</v>
      </c>
      <c r="W491" s="19">
        <v>13.719999999999999</v>
      </c>
      <c r="X491" s="17">
        <v>15.18</v>
      </c>
      <c r="Y491" s="18">
        <v>14.379999999999999</v>
      </c>
      <c r="Z491" s="19">
        <v>14.78</v>
      </c>
      <c r="AA491" s="17">
        <v>92.96</v>
      </c>
      <c r="AB491" s="18">
        <v>88.96</v>
      </c>
      <c r="AC491" s="19">
        <v>90.96</v>
      </c>
      <c r="AD491" s="17">
        <v>86.5</v>
      </c>
      <c r="AE491" s="18">
        <v>82.5</v>
      </c>
      <c r="AF491" s="19">
        <v>84.5</v>
      </c>
      <c r="AG491" s="18">
        <v>18.8</v>
      </c>
      <c r="AH491" s="18">
        <v>17.940000000000001</v>
      </c>
      <c r="AI491" s="18">
        <v>18.37</v>
      </c>
      <c r="AJ491" s="20"/>
      <c r="AK491" s="21"/>
      <c r="AL491" s="22"/>
      <c r="AM491" s="18">
        <v>109.78</v>
      </c>
      <c r="AN491" s="18">
        <v>108.12</v>
      </c>
      <c r="AO491" s="18">
        <v>108.95</v>
      </c>
      <c r="AP491" s="17">
        <v>38.89</v>
      </c>
      <c r="AQ491" s="18">
        <v>37.29</v>
      </c>
      <c r="AR491" s="19">
        <v>38.090000000000003</v>
      </c>
      <c r="AS491" s="18">
        <v>39.56</v>
      </c>
      <c r="AT491" s="18">
        <v>38.200000000000003</v>
      </c>
      <c r="AU491" s="18">
        <v>38.880000000000003</v>
      </c>
      <c r="AV491" s="17">
        <v>19.91</v>
      </c>
      <c r="AW491" s="18">
        <v>19.309999999999999</v>
      </c>
      <c r="AX491" s="19">
        <v>19.61</v>
      </c>
      <c r="AY491" s="17">
        <v>4.33</v>
      </c>
      <c r="AZ491" s="18">
        <v>4.17</v>
      </c>
      <c r="BA491" s="19">
        <v>4.25</v>
      </c>
      <c r="BB491" s="17">
        <v>1.83</v>
      </c>
      <c r="BC491" s="23">
        <v>1.53</v>
      </c>
      <c r="BD491" s="24">
        <v>1.6800000000000002</v>
      </c>
      <c r="BE491" s="18">
        <v>0.66</v>
      </c>
      <c r="BF491" s="23">
        <v>0.36000000000000004</v>
      </c>
      <c r="BG491" s="23">
        <v>0.51</v>
      </c>
      <c r="BH491" s="17">
        <v>475.9</v>
      </c>
      <c r="BI491" s="18">
        <v>459.9</v>
      </c>
      <c r="BJ491" s="19">
        <v>467.9</v>
      </c>
      <c r="BK491" s="18">
        <v>39.909999999999997</v>
      </c>
      <c r="BL491" s="18">
        <v>38.549999999999997</v>
      </c>
      <c r="BM491" s="18">
        <v>39.229999999999997</v>
      </c>
      <c r="BN491" s="25">
        <v>0.97</v>
      </c>
      <c r="BO491" s="23">
        <v>0.73</v>
      </c>
      <c r="BP491" s="24">
        <v>0.85</v>
      </c>
      <c r="BQ491" s="18">
        <v>8.2899999999999991</v>
      </c>
      <c r="BR491" s="18">
        <v>6.2899999999999991</v>
      </c>
      <c r="BS491" s="18">
        <v>7.2899999999999991</v>
      </c>
      <c r="BT491" s="17">
        <v>10.210000000000001</v>
      </c>
      <c r="BU491" s="18">
        <v>9.81</v>
      </c>
      <c r="BV491" s="19">
        <v>10.010000000000002</v>
      </c>
      <c r="BW491" s="17">
        <v>2.71</v>
      </c>
      <c r="BX491" s="23">
        <v>2.4299999999999997</v>
      </c>
      <c r="BY491" s="24">
        <v>2.57</v>
      </c>
      <c r="BZ491" s="17">
        <v>9.17</v>
      </c>
      <c r="CA491" s="18">
        <v>6.17</v>
      </c>
      <c r="CB491" s="19">
        <v>7.67</v>
      </c>
      <c r="CC491" s="17">
        <v>6.64</v>
      </c>
      <c r="CD491" s="18">
        <v>6.3999999999999995</v>
      </c>
      <c r="CE491" s="19">
        <v>6.52</v>
      </c>
      <c r="CF491" s="17">
        <v>2</v>
      </c>
      <c r="CG491" s="18">
        <v>1.5</v>
      </c>
      <c r="CH491" s="19">
        <v>1.75</v>
      </c>
      <c r="CI491" s="17">
        <v>0.42</v>
      </c>
      <c r="CJ491" s="18">
        <v>0.38</v>
      </c>
      <c r="CK491" s="19">
        <v>0.4</v>
      </c>
      <c r="CL491" s="17">
        <v>39.229999999999997</v>
      </c>
      <c r="CM491">
        <v>36.83</v>
      </c>
      <c r="CN491">
        <v>38.03</v>
      </c>
      <c r="CO491">
        <v>6.21</v>
      </c>
      <c r="CP491">
        <v>1.21</v>
      </c>
      <c r="CQ491">
        <v>3.71</v>
      </c>
    </row>
    <row r="492" spans="1:95">
      <c r="A492" s="223">
        <v>45778</v>
      </c>
      <c r="B492" s="16" t="s">
        <v>99</v>
      </c>
      <c r="C492" s="17">
        <v>144.06</v>
      </c>
      <c r="D492" s="18">
        <v>142.06</v>
      </c>
      <c r="E492" s="19">
        <v>143.06</v>
      </c>
      <c r="F492" s="17">
        <v>163.41999999999999</v>
      </c>
      <c r="G492" s="18">
        <v>160.41999999999999</v>
      </c>
      <c r="H492" s="19">
        <v>161.91999999999999</v>
      </c>
      <c r="I492" s="17">
        <v>105.35</v>
      </c>
      <c r="J492" s="18">
        <v>102.14999999999999</v>
      </c>
      <c r="K492" s="19">
        <v>103.75</v>
      </c>
      <c r="L492" s="18">
        <v>194.57</v>
      </c>
      <c r="M492" s="18">
        <v>186.57</v>
      </c>
      <c r="N492" s="18">
        <v>190.57</v>
      </c>
      <c r="O492" s="17">
        <v>173.93</v>
      </c>
      <c r="P492" s="18">
        <v>172.13</v>
      </c>
      <c r="Q492" s="19">
        <v>173.03</v>
      </c>
      <c r="R492" s="18">
        <v>21.99</v>
      </c>
      <c r="S492" s="18">
        <v>21.389999999999997</v>
      </c>
      <c r="T492" s="18">
        <v>21.689999999999998</v>
      </c>
      <c r="U492" s="17">
        <v>14.04</v>
      </c>
      <c r="V492" s="18">
        <v>13.44</v>
      </c>
      <c r="W492" s="19">
        <v>13.739999999999998</v>
      </c>
      <c r="X492" s="17">
        <v>15.19</v>
      </c>
      <c r="Y492" s="18">
        <v>14.389999999999999</v>
      </c>
      <c r="Z492" s="19">
        <v>14.79</v>
      </c>
      <c r="AA492" s="17">
        <v>93.72</v>
      </c>
      <c r="AB492" s="18">
        <v>89.72</v>
      </c>
      <c r="AC492" s="19">
        <v>91.72</v>
      </c>
      <c r="AD492" s="17">
        <v>87.02</v>
      </c>
      <c r="AE492" s="18">
        <v>83.02</v>
      </c>
      <c r="AF492" s="19">
        <v>85.02</v>
      </c>
      <c r="AG492" s="18">
        <v>18.87</v>
      </c>
      <c r="AH492" s="18">
        <v>18.010000000000002</v>
      </c>
      <c r="AI492" s="18">
        <v>18.440000000000001</v>
      </c>
      <c r="AJ492" s="20"/>
      <c r="AK492" s="21"/>
      <c r="AL492" s="22"/>
      <c r="AM492" s="18">
        <v>110.31</v>
      </c>
      <c r="AN492" s="18">
        <v>108.65</v>
      </c>
      <c r="AO492" s="18">
        <v>109.48</v>
      </c>
      <c r="AP492" s="17">
        <v>39.03</v>
      </c>
      <c r="AQ492" s="18">
        <v>37.43</v>
      </c>
      <c r="AR492" s="19">
        <v>38.230000000000004</v>
      </c>
      <c r="AS492" s="18">
        <v>39.69</v>
      </c>
      <c r="AT492" s="18">
        <v>38.33</v>
      </c>
      <c r="AU492" s="18">
        <v>39.01</v>
      </c>
      <c r="AV492" s="17">
        <v>19.96</v>
      </c>
      <c r="AW492" s="18">
        <v>19.36</v>
      </c>
      <c r="AX492" s="19">
        <v>19.66</v>
      </c>
      <c r="AY492" s="17">
        <v>4.3499999999999996</v>
      </c>
      <c r="AZ492" s="18">
        <v>4.1899999999999995</v>
      </c>
      <c r="BA492" s="19">
        <v>4.2699999999999996</v>
      </c>
      <c r="BB492" s="17">
        <v>1.85</v>
      </c>
      <c r="BC492" s="23">
        <v>1.55</v>
      </c>
      <c r="BD492" s="24">
        <v>1.7000000000000002</v>
      </c>
      <c r="BE492" s="18">
        <v>0.66</v>
      </c>
      <c r="BF492" s="23">
        <v>0.36000000000000004</v>
      </c>
      <c r="BG492" s="23">
        <v>0.51</v>
      </c>
      <c r="BH492" s="17">
        <v>477.2</v>
      </c>
      <c r="BI492" s="18">
        <v>461.2</v>
      </c>
      <c r="BJ492" s="19">
        <v>469.2</v>
      </c>
      <c r="BK492" s="18">
        <v>40.049999999999997</v>
      </c>
      <c r="BL492" s="18">
        <v>38.69</v>
      </c>
      <c r="BM492" s="18">
        <v>39.369999999999997</v>
      </c>
      <c r="BN492" s="25">
        <v>0.99</v>
      </c>
      <c r="BO492" s="23">
        <v>0.75</v>
      </c>
      <c r="BP492" s="24">
        <v>0.87</v>
      </c>
      <c r="BQ492" s="18">
        <v>8.3000000000000007</v>
      </c>
      <c r="BR492" s="18">
        <v>6.3000000000000007</v>
      </c>
      <c r="BS492" s="18">
        <v>7.3000000000000007</v>
      </c>
      <c r="BT492" s="17">
        <v>10.27</v>
      </c>
      <c r="BU492" s="18">
        <v>9.8699999999999992</v>
      </c>
      <c r="BV492" s="19">
        <v>10.07</v>
      </c>
      <c r="BW492" s="17">
        <v>2.73</v>
      </c>
      <c r="BX492" s="23">
        <v>2.4500000000000002</v>
      </c>
      <c r="BY492" s="24">
        <v>2.59</v>
      </c>
      <c r="BZ492" s="17">
        <v>9.1999999999999993</v>
      </c>
      <c r="CA492" s="18">
        <v>6.1999999999999993</v>
      </c>
      <c r="CB492" s="19">
        <v>7.6999999999999993</v>
      </c>
      <c r="CC492" s="17">
        <v>6.62</v>
      </c>
      <c r="CD492" s="18">
        <v>6.38</v>
      </c>
      <c r="CE492" s="19">
        <v>6.5</v>
      </c>
      <c r="CF492" s="17">
        <v>2</v>
      </c>
      <c r="CG492" s="18">
        <v>1.5</v>
      </c>
      <c r="CH492" s="19">
        <v>1.75</v>
      </c>
      <c r="CI492" s="17">
        <v>0.42</v>
      </c>
      <c r="CJ492" s="18">
        <v>0.38</v>
      </c>
      <c r="CK492" s="19">
        <v>0.4</v>
      </c>
      <c r="CL492" s="17">
        <v>39.01</v>
      </c>
      <c r="CM492">
        <v>36.61</v>
      </c>
      <c r="CN492">
        <v>37.81</v>
      </c>
      <c r="CO492">
        <v>6.22</v>
      </c>
      <c r="CP492">
        <v>1.2199999999999998</v>
      </c>
      <c r="CQ492">
        <v>3.7199999999999998</v>
      </c>
    </row>
    <row r="493" spans="1:95">
      <c r="A493" s="223">
        <v>45779</v>
      </c>
      <c r="B493" s="16" t="s">
        <v>100</v>
      </c>
      <c r="C493" s="17">
        <v>146.99</v>
      </c>
      <c r="D493" s="18">
        <v>144.99</v>
      </c>
      <c r="E493" s="19">
        <v>145.99</v>
      </c>
      <c r="F493" s="17">
        <v>166.15</v>
      </c>
      <c r="G493" s="18">
        <v>163.15</v>
      </c>
      <c r="H493" s="19">
        <v>164.65</v>
      </c>
      <c r="I493" s="17">
        <v>107.05</v>
      </c>
      <c r="J493" s="18">
        <v>103.85</v>
      </c>
      <c r="K493" s="19">
        <v>105.44999999999999</v>
      </c>
      <c r="L493" s="18">
        <v>197.83</v>
      </c>
      <c r="M493" s="18">
        <v>189.83</v>
      </c>
      <c r="N493" s="18">
        <v>193.83</v>
      </c>
      <c r="O493" s="17">
        <v>176.39</v>
      </c>
      <c r="P493" s="18">
        <v>174.58999999999997</v>
      </c>
      <c r="Q493" s="19">
        <v>175.48999999999998</v>
      </c>
      <c r="R493" s="18">
        <v>22.36</v>
      </c>
      <c r="S493" s="18">
        <v>21.759999999999998</v>
      </c>
      <c r="T493" s="18">
        <v>22.06</v>
      </c>
      <c r="U493" s="17">
        <v>14.3</v>
      </c>
      <c r="V493" s="18">
        <v>13.700000000000001</v>
      </c>
      <c r="W493" s="19">
        <v>14</v>
      </c>
      <c r="X493" s="17">
        <v>15.38</v>
      </c>
      <c r="Y493" s="18">
        <v>14.58</v>
      </c>
      <c r="Z493" s="19">
        <v>14.98</v>
      </c>
      <c r="AA493" s="17">
        <v>95.51</v>
      </c>
      <c r="AB493" s="18">
        <v>91.51</v>
      </c>
      <c r="AC493" s="19">
        <v>93.51</v>
      </c>
      <c r="AD493" s="17">
        <v>88.47</v>
      </c>
      <c r="AE493" s="18">
        <v>84.47</v>
      </c>
      <c r="AF493" s="19">
        <v>86.47</v>
      </c>
      <c r="AG493" s="18">
        <v>19.25</v>
      </c>
      <c r="AH493" s="18">
        <v>18.39</v>
      </c>
      <c r="AI493" s="18">
        <v>18.82</v>
      </c>
      <c r="AJ493" s="20"/>
      <c r="AK493" s="21"/>
      <c r="AL493" s="22"/>
      <c r="AM493" s="18">
        <v>112.09</v>
      </c>
      <c r="AN493" s="18">
        <v>110.43</v>
      </c>
      <c r="AO493" s="18">
        <v>111.26</v>
      </c>
      <c r="AP493" s="17">
        <v>39.81</v>
      </c>
      <c r="AQ493" s="18">
        <v>38.21</v>
      </c>
      <c r="AR493" s="19">
        <v>39.010000000000005</v>
      </c>
      <c r="AS493" s="18">
        <v>40.49</v>
      </c>
      <c r="AT493" s="18">
        <v>39.130000000000003</v>
      </c>
      <c r="AU493" s="18">
        <v>39.81</v>
      </c>
      <c r="AV493" s="17">
        <v>20.38</v>
      </c>
      <c r="AW493" s="18">
        <v>19.779999999999998</v>
      </c>
      <c r="AX493" s="19">
        <v>20.079999999999998</v>
      </c>
      <c r="AY493" s="17">
        <v>4.43</v>
      </c>
      <c r="AZ493" s="18">
        <v>4.2699999999999996</v>
      </c>
      <c r="BA493" s="19">
        <v>4.3499999999999996</v>
      </c>
      <c r="BB493" s="17">
        <v>1.89</v>
      </c>
      <c r="BC493" s="23">
        <v>1.5899999999999999</v>
      </c>
      <c r="BD493" s="24">
        <v>1.7399999999999998</v>
      </c>
      <c r="BE493" s="18">
        <v>0.67</v>
      </c>
      <c r="BF493" s="23">
        <v>0.37000000000000005</v>
      </c>
      <c r="BG493" s="23">
        <v>0.52</v>
      </c>
      <c r="BH493" s="17">
        <v>485.87</v>
      </c>
      <c r="BI493" s="18">
        <v>469.87</v>
      </c>
      <c r="BJ493" s="19">
        <v>477.87</v>
      </c>
      <c r="BK493" s="18">
        <v>40.86</v>
      </c>
      <c r="BL493" s="18">
        <v>39.5</v>
      </c>
      <c r="BM493" s="18">
        <v>40.18</v>
      </c>
      <c r="BN493" s="25">
        <v>1</v>
      </c>
      <c r="BO493" s="23">
        <v>0.76</v>
      </c>
      <c r="BP493" s="24">
        <v>0.88</v>
      </c>
      <c r="BQ493" s="18">
        <v>8.4499999999999993</v>
      </c>
      <c r="BR493" s="18">
        <v>6.4499999999999993</v>
      </c>
      <c r="BS493" s="18">
        <v>7.4499999999999993</v>
      </c>
      <c r="BT493" s="17">
        <v>10.38</v>
      </c>
      <c r="BU493" s="18">
        <v>9.98</v>
      </c>
      <c r="BV493" s="19">
        <v>10.18</v>
      </c>
      <c r="BW493" s="17">
        <v>2.75</v>
      </c>
      <c r="BX493" s="23">
        <v>2.4699999999999998</v>
      </c>
      <c r="BY493" s="24">
        <v>2.61</v>
      </c>
      <c r="BZ493" s="17">
        <v>9.3800000000000008</v>
      </c>
      <c r="CA493" s="18">
        <v>6.3800000000000008</v>
      </c>
      <c r="CB493" s="19">
        <v>7.8800000000000008</v>
      </c>
      <c r="CC493" s="17">
        <v>6.73</v>
      </c>
      <c r="CD493" s="18">
        <v>6.49</v>
      </c>
      <c r="CE493" s="19">
        <v>6.61</v>
      </c>
      <c r="CF493" s="17">
        <v>2.04</v>
      </c>
      <c r="CG493" s="18">
        <v>1.54</v>
      </c>
      <c r="CH493" s="19">
        <v>1.79</v>
      </c>
      <c r="CI493" s="17">
        <v>0.43</v>
      </c>
      <c r="CJ493" s="18">
        <v>0.39</v>
      </c>
      <c r="CK493" s="19">
        <v>0.41000000000000003</v>
      </c>
      <c r="CL493" s="17">
        <v>39.68</v>
      </c>
      <c r="CM493">
        <v>37.28</v>
      </c>
      <c r="CN493">
        <v>38.480000000000004</v>
      </c>
      <c r="CO493">
        <v>6.3</v>
      </c>
      <c r="CP493">
        <v>1.2999999999999998</v>
      </c>
      <c r="CQ493">
        <v>3.8</v>
      </c>
    </row>
    <row r="494" spans="1:95">
      <c r="A494" s="223">
        <v>45780</v>
      </c>
      <c r="B494" s="16" t="s">
        <v>307</v>
      </c>
      <c r="C494" s="17"/>
      <c r="D494" s="18"/>
      <c r="E494" s="19"/>
      <c r="F494" s="17"/>
      <c r="G494" s="18"/>
      <c r="H494" s="19"/>
      <c r="I494" s="17"/>
      <c r="J494" s="18"/>
      <c r="K494" s="19"/>
      <c r="L494" s="18"/>
      <c r="M494" s="18"/>
      <c r="N494" s="18"/>
      <c r="O494" s="17"/>
      <c r="P494" s="18"/>
      <c r="Q494" s="19"/>
      <c r="R494" s="18"/>
      <c r="S494" s="18"/>
      <c r="T494" s="18"/>
      <c r="U494" s="17"/>
      <c r="V494" s="18"/>
      <c r="W494" s="19"/>
      <c r="X494" s="17"/>
      <c r="Y494" s="18"/>
      <c r="Z494" s="19"/>
      <c r="AA494" s="17"/>
      <c r="AB494" s="18"/>
      <c r="AC494" s="19"/>
      <c r="AD494" s="17"/>
      <c r="AE494" s="18"/>
      <c r="AF494" s="19"/>
      <c r="AG494" s="18"/>
      <c r="AH494" s="18"/>
      <c r="AI494" s="18"/>
      <c r="AJ494" s="20"/>
      <c r="AK494" s="21"/>
      <c r="AL494" s="22"/>
      <c r="AM494" s="18"/>
      <c r="AN494" s="18"/>
      <c r="AO494" s="18"/>
      <c r="AP494" s="17"/>
      <c r="AQ494" s="18"/>
      <c r="AR494" s="19"/>
      <c r="AS494" s="18"/>
      <c r="AT494" s="18"/>
      <c r="AU494" s="18"/>
      <c r="AV494" s="17"/>
      <c r="AW494" s="18"/>
      <c r="AX494" s="19"/>
      <c r="AY494" s="17"/>
      <c r="AZ494" s="18"/>
      <c r="BA494" s="19"/>
      <c r="BB494" s="17"/>
      <c r="BC494" s="23"/>
      <c r="BD494" s="24"/>
      <c r="BE494" s="18"/>
      <c r="BF494" s="23"/>
      <c r="BG494" s="23"/>
      <c r="BH494" s="17"/>
      <c r="BI494" s="18"/>
      <c r="BJ494" s="19"/>
      <c r="BK494" s="18"/>
      <c r="BL494" s="18"/>
      <c r="BM494" s="18"/>
      <c r="BN494" s="25"/>
      <c r="BO494" s="23"/>
      <c r="BP494" s="24"/>
      <c r="BQ494" s="18"/>
      <c r="BR494" s="18"/>
      <c r="BS494" s="18"/>
      <c r="BT494" s="17"/>
      <c r="BU494" s="18"/>
      <c r="BV494" s="19"/>
      <c r="BW494" s="17"/>
      <c r="BX494" s="23"/>
      <c r="BY494" s="24"/>
      <c r="BZ494" s="17"/>
      <c r="CA494" s="18"/>
      <c r="CB494" s="19"/>
      <c r="CC494" s="17"/>
      <c r="CD494" s="18"/>
      <c r="CE494" s="19"/>
      <c r="CF494" s="17"/>
      <c r="CG494" s="18"/>
      <c r="CH494" s="19"/>
      <c r="CI494" s="17"/>
      <c r="CJ494" s="18"/>
      <c r="CK494" s="19"/>
      <c r="CL494" s="17"/>
    </row>
    <row r="495" spans="1:95">
      <c r="A495" s="223">
        <v>45781</v>
      </c>
      <c r="B495" s="16" t="s">
        <v>308</v>
      </c>
      <c r="C495" s="17"/>
      <c r="D495" s="18"/>
      <c r="E495" s="19"/>
      <c r="F495" s="17"/>
      <c r="G495" s="18"/>
      <c r="H495" s="19"/>
      <c r="I495" s="17"/>
      <c r="J495" s="18"/>
      <c r="K495" s="19"/>
      <c r="L495" s="18"/>
      <c r="M495" s="18"/>
      <c r="N495" s="18"/>
      <c r="O495" s="17"/>
      <c r="P495" s="18"/>
      <c r="Q495" s="19"/>
      <c r="R495" s="18"/>
      <c r="S495" s="18"/>
      <c r="T495" s="18"/>
      <c r="U495" s="17"/>
      <c r="V495" s="18"/>
      <c r="W495" s="19"/>
      <c r="X495" s="17"/>
      <c r="Y495" s="18"/>
      <c r="Z495" s="19"/>
      <c r="AA495" s="17"/>
      <c r="AB495" s="18"/>
      <c r="AC495" s="19"/>
      <c r="AD495" s="17"/>
      <c r="AE495" s="18"/>
      <c r="AF495" s="19"/>
      <c r="AG495" s="18"/>
      <c r="AH495" s="18"/>
      <c r="AI495" s="18"/>
      <c r="AJ495" s="20"/>
      <c r="AK495" s="21"/>
      <c r="AL495" s="22"/>
      <c r="AM495" s="18"/>
      <c r="AN495" s="18"/>
      <c r="AO495" s="18"/>
      <c r="AP495" s="17"/>
      <c r="AQ495" s="18"/>
      <c r="AR495" s="19"/>
      <c r="AS495" s="18"/>
      <c r="AT495" s="18"/>
      <c r="AU495" s="18"/>
      <c r="AV495" s="17"/>
      <c r="AW495" s="18"/>
      <c r="AX495" s="19"/>
      <c r="AY495" s="17"/>
      <c r="AZ495" s="18"/>
      <c r="BA495" s="19"/>
      <c r="BB495" s="17"/>
      <c r="BC495" s="23"/>
      <c r="BD495" s="24"/>
      <c r="BE495" s="18"/>
      <c r="BF495" s="23"/>
      <c r="BG495" s="23"/>
      <c r="BH495" s="17"/>
      <c r="BI495" s="18"/>
      <c r="BJ495" s="19"/>
      <c r="BK495" s="18"/>
      <c r="BL495" s="18"/>
      <c r="BM495" s="18"/>
      <c r="BN495" s="25"/>
      <c r="BO495" s="23"/>
      <c r="BP495" s="24"/>
      <c r="BQ495" s="18"/>
      <c r="BR495" s="18"/>
      <c r="BS495" s="18"/>
      <c r="BT495" s="17"/>
      <c r="BU495" s="18"/>
      <c r="BV495" s="19"/>
      <c r="BW495" s="17"/>
      <c r="BX495" s="23"/>
      <c r="BY495" s="24"/>
      <c r="BZ495" s="17"/>
      <c r="CA495" s="18"/>
      <c r="CB495" s="19"/>
      <c r="CC495" s="17"/>
      <c r="CD495" s="18"/>
      <c r="CE495" s="19"/>
      <c r="CF495" s="17"/>
      <c r="CG495" s="18"/>
      <c r="CH495" s="19"/>
      <c r="CI495" s="17"/>
      <c r="CJ495" s="18"/>
      <c r="CK495" s="19"/>
      <c r="CL495" s="17"/>
    </row>
    <row r="496" spans="1:95" ht="18.600000000000001" thickBot="1">
      <c r="A496" s="223">
        <v>45782</v>
      </c>
      <c r="B496" s="16" t="s">
        <v>96</v>
      </c>
      <c r="C496" s="17"/>
      <c r="D496" s="18"/>
      <c r="E496" s="19"/>
      <c r="F496" s="17"/>
      <c r="G496" s="18"/>
      <c r="H496" s="19"/>
      <c r="I496" s="17"/>
      <c r="J496" s="18"/>
      <c r="K496" s="19"/>
      <c r="L496" s="18"/>
      <c r="M496" s="18"/>
      <c r="N496" s="18"/>
      <c r="O496" s="17"/>
      <c r="P496" s="18"/>
      <c r="Q496" s="19"/>
      <c r="R496" s="18"/>
      <c r="S496" s="18"/>
      <c r="T496" s="18"/>
      <c r="U496" s="17"/>
      <c r="V496" s="18"/>
      <c r="W496" s="19"/>
      <c r="X496" s="17"/>
      <c r="Y496" s="18"/>
      <c r="Z496" s="19"/>
      <c r="AA496" s="17"/>
      <c r="AB496" s="18"/>
      <c r="AC496" s="19"/>
      <c r="AD496" s="17"/>
      <c r="AE496" s="18"/>
      <c r="AF496" s="19"/>
      <c r="AG496" s="18"/>
      <c r="AH496" s="18"/>
      <c r="AI496" s="18"/>
      <c r="AJ496" s="20"/>
      <c r="AK496" s="21"/>
      <c r="AL496" s="22"/>
      <c r="AM496" s="18"/>
      <c r="AN496" s="18"/>
      <c r="AO496" s="18"/>
      <c r="AP496" s="17"/>
      <c r="AQ496" s="18"/>
      <c r="AR496" s="19"/>
      <c r="AS496" s="18"/>
      <c r="AT496" s="18"/>
      <c r="AU496" s="18"/>
      <c r="AV496" s="17"/>
      <c r="AW496" s="18"/>
      <c r="AX496" s="19"/>
      <c r="AY496" s="17"/>
      <c r="AZ496" s="18"/>
      <c r="BA496" s="19"/>
      <c r="BB496" s="17"/>
      <c r="BC496" s="23"/>
      <c r="BD496" s="24"/>
      <c r="BE496" s="18"/>
      <c r="BF496" s="23"/>
      <c r="BG496" s="23"/>
      <c r="BH496" s="17"/>
      <c r="BI496" s="18"/>
      <c r="BJ496" s="19"/>
      <c r="BK496" s="18"/>
      <c r="BL496" s="18"/>
      <c r="BM496" s="18"/>
      <c r="BN496" s="25"/>
      <c r="BO496" s="23"/>
      <c r="BP496" s="24"/>
      <c r="BQ496" s="18"/>
      <c r="BR496" s="18"/>
      <c r="BS496" s="18"/>
      <c r="BT496" s="17"/>
      <c r="BU496" s="18"/>
      <c r="BV496" s="19"/>
      <c r="BW496" s="17"/>
      <c r="BX496" s="23"/>
      <c r="BY496" s="24"/>
      <c r="BZ496" s="17"/>
      <c r="CA496" s="18"/>
      <c r="CB496" s="19"/>
      <c r="CC496" s="17"/>
      <c r="CD496" s="18"/>
      <c r="CE496" s="19"/>
      <c r="CF496" s="17"/>
      <c r="CG496" s="18"/>
      <c r="CH496" s="19"/>
      <c r="CI496" s="17"/>
      <c r="CJ496" s="18"/>
      <c r="CK496" s="19"/>
      <c r="CL496" s="17"/>
    </row>
    <row r="497" spans="1:95">
      <c r="A497" s="225">
        <v>45783</v>
      </c>
      <c r="B497" s="59" t="s">
        <v>97</v>
      </c>
      <c r="C497" s="60"/>
      <c r="D497" s="61"/>
      <c r="E497" s="62"/>
      <c r="F497" s="60"/>
      <c r="G497" s="61"/>
      <c r="H497" s="62"/>
      <c r="I497" s="60"/>
      <c r="J497" s="61"/>
      <c r="K497" s="62"/>
      <c r="L497" s="61"/>
      <c r="M497" s="61"/>
      <c r="N497" s="61"/>
      <c r="O497" s="60"/>
      <c r="P497" s="61"/>
      <c r="Q497" s="62"/>
      <c r="R497" s="61"/>
      <c r="S497" s="61"/>
      <c r="T497" s="61"/>
      <c r="U497" s="60"/>
      <c r="V497" s="61"/>
      <c r="W497" s="62"/>
      <c r="X497" s="60"/>
      <c r="Y497" s="61"/>
      <c r="Z497" s="62"/>
      <c r="AA497" s="60"/>
      <c r="AB497" s="61"/>
      <c r="AC497" s="62"/>
      <c r="AD497" s="60"/>
      <c r="AE497" s="61"/>
      <c r="AF497" s="62"/>
      <c r="AG497" s="61"/>
      <c r="AH497" s="61"/>
      <c r="AI497" s="61"/>
      <c r="AJ497" s="63"/>
      <c r="AK497" s="64"/>
      <c r="AL497" s="65"/>
      <c r="AM497" s="61"/>
      <c r="AN497" s="61"/>
      <c r="AO497" s="61"/>
      <c r="AP497" s="60"/>
      <c r="AQ497" s="61"/>
      <c r="AR497" s="62"/>
      <c r="AS497" s="61"/>
      <c r="AT497" s="61"/>
      <c r="AU497" s="61"/>
      <c r="AV497" s="60"/>
      <c r="AW497" s="61"/>
      <c r="AX497" s="62"/>
      <c r="AY497" s="60"/>
      <c r="AZ497" s="61"/>
      <c r="BA497" s="62"/>
      <c r="BB497" s="60"/>
      <c r="BC497" s="66"/>
      <c r="BD497" s="67"/>
      <c r="BE497" s="61"/>
      <c r="BF497" s="66"/>
      <c r="BG497" s="66"/>
      <c r="BH497" s="60"/>
      <c r="BI497" s="61"/>
      <c r="BJ497" s="62"/>
      <c r="BK497" s="61"/>
      <c r="BL497" s="61"/>
      <c r="BM497" s="61"/>
      <c r="BN497" s="68"/>
      <c r="BO497" s="66"/>
      <c r="BP497" s="67"/>
      <c r="BQ497" s="61"/>
      <c r="BR497" s="61"/>
      <c r="BS497" s="61"/>
      <c r="BT497" s="60"/>
      <c r="BU497" s="61"/>
      <c r="BV497" s="62"/>
      <c r="BW497" s="60"/>
      <c r="BX497" s="66"/>
      <c r="BY497" s="67"/>
      <c r="BZ497" s="60"/>
      <c r="CA497" s="61"/>
      <c r="CB497" s="62"/>
      <c r="CC497" s="60"/>
      <c r="CD497" s="61"/>
      <c r="CE497" s="62"/>
      <c r="CF497" s="60"/>
      <c r="CG497" s="61"/>
      <c r="CH497" s="62"/>
      <c r="CI497" s="60"/>
      <c r="CJ497" s="61"/>
      <c r="CK497" s="62"/>
      <c r="CL497" s="60"/>
    </row>
    <row r="498" spans="1:95">
      <c r="A498" s="226">
        <v>45784</v>
      </c>
      <c r="B498" s="69" t="s">
        <v>98</v>
      </c>
      <c r="C498" s="17">
        <v>144.03</v>
      </c>
      <c r="D498" s="18">
        <v>142.03</v>
      </c>
      <c r="E498" s="19">
        <v>143.03</v>
      </c>
      <c r="F498" s="17">
        <v>163.68</v>
      </c>
      <c r="G498" s="18">
        <v>160.68</v>
      </c>
      <c r="H498" s="19">
        <v>162.18</v>
      </c>
      <c r="I498" s="17">
        <v>105.43</v>
      </c>
      <c r="J498" s="18">
        <v>102.23</v>
      </c>
      <c r="K498" s="19">
        <v>103.83000000000001</v>
      </c>
      <c r="L498" s="18">
        <v>194.97</v>
      </c>
      <c r="M498" s="18">
        <v>186.97</v>
      </c>
      <c r="N498" s="18">
        <v>190.97</v>
      </c>
      <c r="O498" s="17">
        <v>173.98</v>
      </c>
      <c r="P498" s="18">
        <v>172.17999999999998</v>
      </c>
      <c r="Q498" s="19">
        <v>173.07999999999998</v>
      </c>
      <c r="R498" s="18">
        <v>22.04</v>
      </c>
      <c r="S498" s="18">
        <v>21.439999999999998</v>
      </c>
      <c r="T498" s="18">
        <v>21.74</v>
      </c>
      <c r="U498" s="17">
        <v>14.23</v>
      </c>
      <c r="V498" s="18">
        <v>13.63</v>
      </c>
      <c r="W498" s="19">
        <v>13.93</v>
      </c>
      <c r="X498" s="17">
        <v>15.34</v>
      </c>
      <c r="Y498" s="18">
        <v>14.54</v>
      </c>
      <c r="Z498" s="19">
        <v>14.94</v>
      </c>
      <c r="AA498" s="17">
        <v>94.97</v>
      </c>
      <c r="AB498" s="18">
        <v>90.97</v>
      </c>
      <c r="AC498" s="19">
        <v>92.97</v>
      </c>
      <c r="AD498" s="17">
        <v>88.05</v>
      </c>
      <c r="AE498" s="18">
        <v>84.05</v>
      </c>
      <c r="AF498" s="19">
        <v>86.05</v>
      </c>
      <c r="AG498" s="18">
        <v>18.88</v>
      </c>
      <c r="AH498" s="18">
        <v>18.02</v>
      </c>
      <c r="AI498" s="18">
        <v>18.45</v>
      </c>
      <c r="AJ498" s="20"/>
      <c r="AK498" s="21"/>
      <c r="AL498" s="22"/>
      <c r="AM498" s="18">
        <v>111.74</v>
      </c>
      <c r="AN498" s="18">
        <v>110.08</v>
      </c>
      <c r="AO498" s="18">
        <v>110.91</v>
      </c>
      <c r="AP498" s="17">
        <v>39.020000000000003</v>
      </c>
      <c r="AQ498" s="18">
        <v>37.42</v>
      </c>
      <c r="AR498" s="19">
        <v>38.22</v>
      </c>
      <c r="AS498" s="18">
        <v>39.68</v>
      </c>
      <c r="AT498" s="18">
        <v>38.32</v>
      </c>
      <c r="AU498" s="18">
        <v>39</v>
      </c>
      <c r="AV498" s="17">
        <v>20.16</v>
      </c>
      <c r="AW498" s="18">
        <v>19.559999999999999</v>
      </c>
      <c r="AX498" s="19">
        <v>19.86</v>
      </c>
      <c r="AY498" s="17">
        <v>4.4400000000000004</v>
      </c>
      <c r="AZ498" s="18">
        <v>4.28</v>
      </c>
      <c r="BA498" s="19">
        <v>4.3600000000000003</v>
      </c>
      <c r="BB498" s="17">
        <v>1.86</v>
      </c>
      <c r="BC498" s="23">
        <v>1.56</v>
      </c>
      <c r="BD498" s="24">
        <v>1.71</v>
      </c>
      <c r="BE498" s="18">
        <v>0.66</v>
      </c>
      <c r="BF498" s="23">
        <v>0.36000000000000004</v>
      </c>
      <c r="BG498" s="23">
        <v>0.51</v>
      </c>
      <c r="BH498" s="17">
        <v>472.23</v>
      </c>
      <c r="BI498" s="18">
        <v>456.23</v>
      </c>
      <c r="BJ498" s="19">
        <v>464.23</v>
      </c>
      <c r="BK498" s="18">
        <v>40.04</v>
      </c>
      <c r="BL498" s="18">
        <v>38.68</v>
      </c>
      <c r="BM498" s="18">
        <v>39.36</v>
      </c>
      <c r="BN498" s="25">
        <v>0.99</v>
      </c>
      <c r="BO498" s="23">
        <v>0.75</v>
      </c>
      <c r="BP498" s="24">
        <v>0.87</v>
      </c>
      <c r="BQ498" s="18">
        <v>8.2799999999999994</v>
      </c>
      <c r="BR498" s="18">
        <v>6.2799999999999994</v>
      </c>
      <c r="BS498" s="18">
        <v>7.2799999999999994</v>
      </c>
      <c r="BT498" s="17">
        <v>10.53</v>
      </c>
      <c r="BU498" s="18">
        <v>10.129999999999999</v>
      </c>
      <c r="BV498" s="19">
        <v>10.329999999999998</v>
      </c>
      <c r="BW498" s="17">
        <v>2.74</v>
      </c>
      <c r="BX498" s="23">
        <v>2.46</v>
      </c>
      <c r="BY498" s="24">
        <v>2.6</v>
      </c>
      <c r="BZ498" s="17">
        <v>9.36</v>
      </c>
      <c r="CA498" s="18">
        <v>6.3599999999999994</v>
      </c>
      <c r="CB498" s="19">
        <v>7.8599999999999994</v>
      </c>
      <c r="CC498" s="17">
        <v>6.62</v>
      </c>
      <c r="CD498" s="18">
        <v>6.38</v>
      </c>
      <c r="CE498" s="19">
        <v>6.5</v>
      </c>
      <c r="CF498" s="17">
        <v>2.0099999999999998</v>
      </c>
      <c r="CG498" s="18">
        <v>1.5099999999999998</v>
      </c>
      <c r="CH498" s="19">
        <v>1.7599999999999998</v>
      </c>
      <c r="CI498" s="17">
        <v>0.42</v>
      </c>
      <c r="CJ498" s="18">
        <v>0.38</v>
      </c>
      <c r="CK498" s="19">
        <v>0.4</v>
      </c>
      <c r="CL498" s="17">
        <v>39.18</v>
      </c>
      <c r="CM498">
        <v>36.78</v>
      </c>
      <c r="CN498">
        <v>37.980000000000004</v>
      </c>
      <c r="CO498">
        <v>6.21</v>
      </c>
      <c r="CP498">
        <v>1.21</v>
      </c>
      <c r="CQ498">
        <v>3.71</v>
      </c>
    </row>
    <row r="499" spans="1:95" ht="18.600000000000001" thickBot="1">
      <c r="A499" s="227">
        <v>45785</v>
      </c>
      <c r="B499" s="70" t="s">
        <v>99</v>
      </c>
      <c r="C499" s="71">
        <v>144.63999999999999</v>
      </c>
      <c r="D499" s="72">
        <v>142.63999999999999</v>
      </c>
      <c r="E499" s="73">
        <v>143.63999999999999</v>
      </c>
      <c r="F499" s="71">
        <v>164.07</v>
      </c>
      <c r="G499" s="72">
        <v>161.07</v>
      </c>
      <c r="H499" s="73">
        <v>162.57</v>
      </c>
      <c r="I499" s="71">
        <v>105.49</v>
      </c>
      <c r="J499" s="72">
        <v>102.28999999999999</v>
      </c>
      <c r="K499" s="73">
        <v>103.88999999999999</v>
      </c>
      <c r="L499" s="72">
        <v>195.13</v>
      </c>
      <c r="M499" s="72">
        <v>187.13</v>
      </c>
      <c r="N499" s="72">
        <v>191.13</v>
      </c>
      <c r="O499" s="71">
        <v>175.41</v>
      </c>
      <c r="P499" s="72">
        <v>173.60999999999999</v>
      </c>
      <c r="Q499" s="73">
        <v>174.51</v>
      </c>
      <c r="R499" s="72">
        <v>22.09</v>
      </c>
      <c r="S499" s="72">
        <v>21.49</v>
      </c>
      <c r="T499" s="72">
        <v>21.79</v>
      </c>
      <c r="U499" s="71">
        <v>14.2</v>
      </c>
      <c r="V499" s="72">
        <v>13.6</v>
      </c>
      <c r="W499" s="73">
        <v>13.899999999999999</v>
      </c>
      <c r="X499" s="71">
        <v>15.27</v>
      </c>
      <c r="Y499" s="72">
        <v>14.469999999999999</v>
      </c>
      <c r="Z499" s="73">
        <v>14.87</v>
      </c>
      <c r="AA499" s="71">
        <v>94.46</v>
      </c>
      <c r="AB499" s="72">
        <v>90.46</v>
      </c>
      <c r="AC499" s="73">
        <v>92.46</v>
      </c>
      <c r="AD499" s="71">
        <v>87.41</v>
      </c>
      <c r="AE499" s="72">
        <v>83.41</v>
      </c>
      <c r="AF499" s="73">
        <v>85.41</v>
      </c>
      <c r="AG499" s="72">
        <v>18.940000000000001</v>
      </c>
      <c r="AH499" s="72">
        <v>18.080000000000002</v>
      </c>
      <c r="AI499" s="72">
        <v>18.510000000000002</v>
      </c>
      <c r="AJ499" s="74"/>
      <c r="AK499" s="75"/>
      <c r="AL499" s="76"/>
      <c r="AM499" s="72">
        <v>111.89</v>
      </c>
      <c r="AN499" s="72">
        <v>110.23</v>
      </c>
      <c r="AO499" s="72">
        <v>111.06</v>
      </c>
      <c r="AP499" s="71">
        <v>39.18</v>
      </c>
      <c r="AQ499" s="72">
        <v>37.58</v>
      </c>
      <c r="AR499" s="73">
        <v>38.379999999999995</v>
      </c>
      <c r="AS499" s="72">
        <v>39.85</v>
      </c>
      <c r="AT499" s="72">
        <v>38.49</v>
      </c>
      <c r="AU499" s="72">
        <v>39.17</v>
      </c>
      <c r="AV499" s="71">
        <v>20.18</v>
      </c>
      <c r="AW499" s="72">
        <v>19.579999999999998</v>
      </c>
      <c r="AX499" s="73">
        <v>19.88</v>
      </c>
      <c r="AY499" s="71">
        <v>4.46</v>
      </c>
      <c r="AZ499" s="72">
        <v>4.3</v>
      </c>
      <c r="BA499" s="73">
        <v>4.38</v>
      </c>
      <c r="BB499" s="71">
        <v>1.86</v>
      </c>
      <c r="BC499" s="77">
        <v>1.56</v>
      </c>
      <c r="BD499" s="78">
        <v>1.71</v>
      </c>
      <c r="BE499" s="72">
        <v>0.67</v>
      </c>
      <c r="BF499" s="77">
        <v>0.37000000000000005</v>
      </c>
      <c r="BG499" s="77">
        <v>0.52</v>
      </c>
      <c r="BH499" s="71">
        <v>478.8</v>
      </c>
      <c r="BI499" s="72">
        <v>462.8</v>
      </c>
      <c r="BJ499" s="73">
        <v>470.8</v>
      </c>
      <c r="BK499" s="72">
        <v>40.21</v>
      </c>
      <c r="BL499" s="72">
        <v>38.85</v>
      </c>
      <c r="BM499" s="72">
        <v>39.53</v>
      </c>
      <c r="BN499" s="79">
        <v>0.99</v>
      </c>
      <c r="BO499" s="77">
        <v>0.75</v>
      </c>
      <c r="BP499" s="78">
        <v>0.87</v>
      </c>
      <c r="BQ499" s="72">
        <v>8.33</v>
      </c>
      <c r="BR499" s="72">
        <v>6.33</v>
      </c>
      <c r="BS499" s="72">
        <v>7.33</v>
      </c>
      <c r="BT499" s="71">
        <v>10.51</v>
      </c>
      <c r="BU499" s="72">
        <v>10.11</v>
      </c>
      <c r="BV499" s="73">
        <v>10.309999999999999</v>
      </c>
      <c r="BW499" s="71">
        <v>2.76</v>
      </c>
      <c r="BX499" s="77">
        <v>2.4799999999999995</v>
      </c>
      <c r="BY499" s="78">
        <v>2.6199999999999997</v>
      </c>
      <c r="BZ499" s="71">
        <v>9.3699999999999992</v>
      </c>
      <c r="CA499" s="72">
        <v>6.3699999999999992</v>
      </c>
      <c r="CB499" s="73">
        <v>7.8699999999999992</v>
      </c>
      <c r="CC499" s="71">
        <v>6.66</v>
      </c>
      <c r="CD499" s="72">
        <v>6.42</v>
      </c>
      <c r="CE499" s="73">
        <v>6.54</v>
      </c>
      <c r="CF499" s="71">
        <v>2.04</v>
      </c>
      <c r="CG499" s="72">
        <v>1.54</v>
      </c>
      <c r="CH499" s="73">
        <v>1.79</v>
      </c>
      <c r="CI499" s="71">
        <v>0.42</v>
      </c>
      <c r="CJ499" s="72">
        <v>0.38</v>
      </c>
      <c r="CK499" s="73">
        <v>0.4</v>
      </c>
      <c r="CL499" s="71">
        <v>39.299999999999997</v>
      </c>
      <c r="CM499">
        <v>36.9</v>
      </c>
      <c r="CN499">
        <v>38.099999999999994</v>
      </c>
      <c r="CO499">
        <v>6.22</v>
      </c>
      <c r="CP499">
        <v>1.2199999999999998</v>
      </c>
      <c r="CQ499">
        <v>3.7199999999999998</v>
      </c>
    </row>
    <row r="500" spans="1:95">
      <c r="A500" s="223">
        <v>45786</v>
      </c>
      <c r="B500" s="132" t="s">
        <v>100</v>
      </c>
      <c r="C500" s="17">
        <v>146.82</v>
      </c>
      <c r="D500" s="18">
        <v>144.82</v>
      </c>
      <c r="E500" s="19">
        <v>145.82</v>
      </c>
      <c r="F500" s="17">
        <v>165.12</v>
      </c>
      <c r="G500" s="18">
        <v>162.12</v>
      </c>
      <c r="H500" s="19">
        <v>163.62</v>
      </c>
      <c r="I500" s="17">
        <v>106.29</v>
      </c>
      <c r="J500" s="18">
        <v>103.09</v>
      </c>
      <c r="K500" s="19">
        <v>104.69</v>
      </c>
      <c r="L500" s="18">
        <v>196.98</v>
      </c>
      <c r="M500" s="18">
        <v>188.98</v>
      </c>
      <c r="N500" s="18">
        <v>192.98</v>
      </c>
      <c r="O500" s="17">
        <v>176.31</v>
      </c>
      <c r="P500" s="18">
        <v>174.51</v>
      </c>
      <c r="Q500" s="19">
        <v>175.41</v>
      </c>
      <c r="R500" s="18">
        <v>22.23</v>
      </c>
      <c r="S500" s="18">
        <v>21.63</v>
      </c>
      <c r="T500" s="18">
        <v>21.93</v>
      </c>
      <c r="U500" s="17">
        <v>14.27</v>
      </c>
      <c r="V500" s="18">
        <v>13.67</v>
      </c>
      <c r="W500" s="19">
        <v>13.969999999999999</v>
      </c>
      <c r="X500" s="17">
        <v>15.36</v>
      </c>
      <c r="Y500" s="18">
        <v>14.559999999999999</v>
      </c>
      <c r="Z500" s="19">
        <v>14.959999999999999</v>
      </c>
      <c r="AA500" s="17">
        <v>95.15</v>
      </c>
      <c r="AB500" s="18">
        <v>91.15</v>
      </c>
      <c r="AC500" s="19">
        <v>93.15</v>
      </c>
      <c r="AD500" s="17">
        <v>87.93</v>
      </c>
      <c r="AE500" s="18">
        <v>83.93</v>
      </c>
      <c r="AF500" s="19">
        <v>85.93</v>
      </c>
      <c r="AG500" s="18">
        <v>19.18</v>
      </c>
      <c r="AH500" s="18">
        <v>18.32</v>
      </c>
      <c r="AI500" s="18">
        <v>18.75</v>
      </c>
      <c r="AJ500" s="20"/>
      <c r="AK500" s="21"/>
      <c r="AL500" s="22"/>
      <c r="AM500" s="18">
        <v>112.95</v>
      </c>
      <c r="AN500" s="18">
        <v>111.29</v>
      </c>
      <c r="AO500" s="18">
        <v>112.12</v>
      </c>
      <c r="AP500" s="17">
        <v>39.76</v>
      </c>
      <c r="AQ500" s="18">
        <v>38.159999999999997</v>
      </c>
      <c r="AR500" s="19">
        <v>38.959999999999994</v>
      </c>
      <c r="AS500" s="18">
        <v>40.46</v>
      </c>
      <c r="AT500" s="18">
        <v>39.1</v>
      </c>
      <c r="AU500" s="18">
        <v>39.78</v>
      </c>
      <c r="AV500" s="17">
        <v>20.43</v>
      </c>
      <c r="AW500" s="18">
        <v>19.829999999999998</v>
      </c>
      <c r="AX500" s="19">
        <v>20.13</v>
      </c>
      <c r="AY500" s="17">
        <v>4.49</v>
      </c>
      <c r="AZ500" s="18">
        <v>4.33</v>
      </c>
      <c r="BA500" s="19">
        <v>4.41</v>
      </c>
      <c r="BB500" s="17">
        <v>1.87</v>
      </c>
      <c r="BC500" s="23">
        <v>1.57</v>
      </c>
      <c r="BD500" s="24">
        <v>1.7200000000000002</v>
      </c>
      <c r="BE500" s="18">
        <v>0.67</v>
      </c>
      <c r="BF500" s="23">
        <v>0.37000000000000005</v>
      </c>
      <c r="BG500" s="23">
        <v>0.52</v>
      </c>
      <c r="BH500" s="17">
        <v>485.47</v>
      </c>
      <c r="BI500" s="18">
        <v>469.47</v>
      </c>
      <c r="BJ500" s="19">
        <v>477.47</v>
      </c>
      <c r="BK500" s="18">
        <v>40.81</v>
      </c>
      <c r="BL500" s="18">
        <v>39.450000000000003</v>
      </c>
      <c r="BM500" s="18">
        <v>40.130000000000003</v>
      </c>
      <c r="BN500" s="25">
        <v>1.01</v>
      </c>
      <c r="BO500" s="23">
        <v>0.77</v>
      </c>
      <c r="BP500" s="24">
        <v>0.89</v>
      </c>
      <c r="BQ500" s="18">
        <v>8.4700000000000006</v>
      </c>
      <c r="BR500" s="18">
        <v>6.4700000000000006</v>
      </c>
      <c r="BS500" s="18">
        <v>7.4700000000000006</v>
      </c>
      <c r="BT500" s="17">
        <v>10.57</v>
      </c>
      <c r="BU500" s="18">
        <v>10.17</v>
      </c>
      <c r="BV500" s="19">
        <v>10.370000000000001</v>
      </c>
      <c r="BW500" s="17">
        <v>2.79</v>
      </c>
      <c r="BX500" s="23">
        <v>2.5099999999999998</v>
      </c>
      <c r="BY500" s="24">
        <v>2.65</v>
      </c>
      <c r="BZ500" s="17">
        <v>9.5</v>
      </c>
      <c r="CA500" s="18">
        <v>6.5</v>
      </c>
      <c r="CB500" s="19">
        <v>8</v>
      </c>
      <c r="CC500" s="17">
        <v>6.68</v>
      </c>
      <c r="CD500" s="18">
        <v>6.4399999999999995</v>
      </c>
      <c r="CE500" s="19">
        <v>6.56</v>
      </c>
      <c r="CF500" s="17">
        <v>2.0299999999999998</v>
      </c>
      <c r="CG500" s="18">
        <v>1.5299999999999998</v>
      </c>
      <c r="CH500" s="19">
        <v>1.7799999999999998</v>
      </c>
      <c r="CI500" s="17">
        <v>0.42</v>
      </c>
      <c r="CJ500" s="18">
        <v>0.38</v>
      </c>
      <c r="CK500" s="19">
        <v>0.4</v>
      </c>
      <c r="CL500" s="17">
        <v>39.74</v>
      </c>
      <c r="CM500">
        <v>37.340000000000003</v>
      </c>
      <c r="CN500">
        <v>38.540000000000006</v>
      </c>
      <c r="CO500">
        <v>6.29</v>
      </c>
      <c r="CP500">
        <v>1.29</v>
      </c>
      <c r="CQ500">
        <v>3.79</v>
      </c>
    </row>
    <row r="501" spans="1:95">
      <c r="A501" s="223">
        <v>45787</v>
      </c>
      <c r="B501" s="132" t="s">
        <v>307</v>
      </c>
      <c r="C501" s="17"/>
      <c r="D501" s="18"/>
      <c r="E501" s="19"/>
      <c r="F501" s="17"/>
      <c r="G501" s="18"/>
      <c r="H501" s="19"/>
      <c r="I501" s="17"/>
      <c r="J501" s="18"/>
      <c r="K501" s="19"/>
      <c r="L501" s="18"/>
      <c r="M501" s="18"/>
      <c r="N501" s="18"/>
      <c r="O501" s="17"/>
      <c r="P501" s="18"/>
      <c r="Q501" s="19"/>
      <c r="R501" s="18"/>
      <c r="S501" s="18"/>
      <c r="T501" s="18"/>
      <c r="U501" s="17"/>
      <c r="V501" s="18"/>
      <c r="W501" s="19"/>
      <c r="X501" s="17"/>
      <c r="Y501" s="18"/>
      <c r="Z501" s="19"/>
      <c r="AA501" s="17"/>
      <c r="AB501" s="18"/>
      <c r="AC501" s="19"/>
      <c r="AD501" s="17"/>
      <c r="AE501" s="18"/>
      <c r="AF501" s="19"/>
      <c r="AG501" s="18"/>
      <c r="AH501" s="18"/>
      <c r="AI501" s="18"/>
      <c r="AJ501" s="20"/>
      <c r="AK501" s="21"/>
      <c r="AL501" s="22"/>
      <c r="AM501" s="18"/>
      <c r="AN501" s="18"/>
      <c r="AO501" s="18"/>
      <c r="AP501" s="17"/>
      <c r="AQ501" s="18"/>
      <c r="AR501" s="19"/>
      <c r="AS501" s="18"/>
      <c r="AT501" s="18"/>
      <c r="AU501" s="18"/>
      <c r="AV501" s="17"/>
      <c r="AW501" s="18"/>
      <c r="AX501" s="19"/>
      <c r="AY501" s="17"/>
      <c r="AZ501" s="18"/>
      <c r="BA501" s="19"/>
      <c r="BB501" s="17"/>
      <c r="BC501" s="23"/>
      <c r="BD501" s="24"/>
      <c r="BE501" s="18"/>
      <c r="BF501" s="23"/>
      <c r="BG501" s="23"/>
      <c r="BH501" s="17"/>
      <c r="BI501" s="18"/>
      <c r="BJ501" s="19"/>
      <c r="BK501" s="18"/>
      <c r="BL501" s="18"/>
      <c r="BM501" s="18"/>
      <c r="BN501" s="25"/>
      <c r="BO501" s="23"/>
      <c r="BP501" s="24"/>
      <c r="BQ501" s="18"/>
      <c r="BR501" s="18"/>
      <c r="BS501" s="18"/>
      <c r="BT501" s="17"/>
      <c r="BU501" s="18"/>
      <c r="BV501" s="19"/>
      <c r="BW501" s="17"/>
      <c r="BX501" s="23"/>
      <c r="BY501" s="24"/>
      <c r="BZ501" s="17"/>
      <c r="CA501" s="18"/>
      <c r="CB501" s="19"/>
      <c r="CC501" s="17"/>
      <c r="CD501" s="18"/>
      <c r="CE501" s="19"/>
      <c r="CF501" s="17"/>
      <c r="CG501" s="18"/>
      <c r="CH501" s="19"/>
      <c r="CI501" s="17"/>
      <c r="CJ501" s="18"/>
      <c r="CK501" s="19"/>
      <c r="CL501" s="17"/>
    </row>
    <row r="502" spans="1:95">
      <c r="A502" s="223">
        <v>45788</v>
      </c>
      <c r="B502" s="132" t="s">
        <v>308</v>
      </c>
      <c r="C502" s="17"/>
      <c r="D502" s="18"/>
      <c r="E502" s="19"/>
      <c r="F502" s="17"/>
      <c r="G502" s="18"/>
      <c r="H502" s="19"/>
      <c r="I502" s="17"/>
      <c r="J502" s="18"/>
      <c r="K502" s="19"/>
      <c r="L502" s="18"/>
      <c r="M502" s="18"/>
      <c r="N502" s="18"/>
      <c r="O502" s="17"/>
      <c r="P502" s="18"/>
      <c r="Q502" s="19"/>
      <c r="R502" s="18"/>
      <c r="S502" s="18"/>
      <c r="T502" s="18"/>
      <c r="U502" s="17"/>
      <c r="V502" s="18"/>
      <c r="W502" s="19"/>
      <c r="X502" s="17"/>
      <c r="Y502" s="18"/>
      <c r="Z502" s="19"/>
      <c r="AA502" s="17"/>
      <c r="AB502" s="18"/>
      <c r="AC502" s="19"/>
      <c r="AD502" s="17"/>
      <c r="AE502" s="18"/>
      <c r="AF502" s="19"/>
      <c r="AG502" s="18"/>
      <c r="AH502" s="18"/>
      <c r="AI502" s="18"/>
      <c r="AJ502" s="20"/>
      <c r="AK502" s="21"/>
      <c r="AL502" s="22"/>
      <c r="AM502" s="18"/>
      <c r="AN502" s="18"/>
      <c r="AO502" s="18"/>
      <c r="AP502" s="17"/>
      <c r="AQ502" s="18"/>
      <c r="AR502" s="19"/>
      <c r="AS502" s="18"/>
      <c r="AT502" s="18"/>
      <c r="AU502" s="18"/>
      <c r="AV502" s="17"/>
      <c r="AW502" s="18"/>
      <c r="AX502" s="19"/>
      <c r="AY502" s="17"/>
      <c r="AZ502" s="18"/>
      <c r="BA502" s="19"/>
      <c r="BB502" s="17"/>
      <c r="BC502" s="23"/>
      <c r="BD502" s="24"/>
      <c r="BE502" s="18"/>
      <c r="BF502" s="23"/>
      <c r="BG502" s="23"/>
      <c r="BH502" s="17"/>
      <c r="BI502" s="18"/>
      <c r="BJ502" s="19"/>
      <c r="BK502" s="18"/>
      <c r="BL502" s="18"/>
      <c r="BM502" s="18"/>
      <c r="BN502" s="25"/>
      <c r="BO502" s="23"/>
      <c r="BP502" s="24"/>
      <c r="BQ502" s="18"/>
      <c r="BR502" s="18"/>
      <c r="BS502" s="18"/>
      <c r="BT502" s="17"/>
      <c r="BU502" s="18"/>
      <c r="BV502" s="19"/>
      <c r="BW502" s="17"/>
      <c r="BX502" s="23"/>
      <c r="BY502" s="24"/>
      <c r="BZ502" s="17"/>
      <c r="CA502" s="18"/>
      <c r="CB502" s="19"/>
      <c r="CC502" s="17"/>
      <c r="CD502" s="18"/>
      <c r="CE502" s="19"/>
      <c r="CF502" s="17"/>
      <c r="CG502" s="18"/>
      <c r="CH502" s="19"/>
      <c r="CI502" s="17"/>
      <c r="CJ502" s="18"/>
      <c r="CK502" s="19"/>
      <c r="CL502" s="17"/>
    </row>
    <row r="503" spans="1:95">
      <c r="A503" s="223">
        <v>45789</v>
      </c>
      <c r="B503" s="132" t="s">
        <v>96</v>
      </c>
      <c r="C503" s="17">
        <v>146.96</v>
      </c>
      <c r="D503" s="18">
        <v>144.96</v>
      </c>
      <c r="E503" s="19">
        <v>145.96</v>
      </c>
      <c r="F503" s="17">
        <v>165.43</v>
      </c>
      <c r="G503" s="18">
        <v>162.43</v>
      </c>
      <c r="H503" s="19">
        <v>163.93</v>
      </c>
      <c r="I503" s="17">
        <v>106.31</v>
      </c>
      <c r="J503" s="18">
        <v>103.11</v>
      </c>
      <c r="K503" s="19">
        <v>104.71000000000001</v>
      </c>
      <c r="L503" s="18">
        <v>197.95</v>
      </c>
      <c r="M503" s="18">
        <v>189.95</v>
      </c>
      <c r="N503" s="18">
        <v>193.95</v>
      </c>
      <c r="O503" s="17">
        <v>175.79</v>
      </c>
      <c r="P503" s="18">
        <v>173.98999999999998</v>
      </c>
      <c r="Q503" s="19">
        <v>174.89</v>
      </c>
      <c r="R503" s="18">
        <v>22.27</v>
      </c>
      <c r="S503" s="18">
        <v>21.669999999999998</v>
      </c>
      <c r="T503" s="18">
        <v>21.97</v>
      </c>
      <c r="U503" s="17">
        <v>14.37</v>
      </c>
      <c r="V503" s="18">
        <v>13.77</v>
      </c>
      <c r="W503" s="19">
        <v>14.07</v>
      </c>
      <c r="X503" s="17">
        <v>15.43</v>
      </c>
      <c r="Y503" s="18">
        <v>14.629999999999999</v>
      </c>
      <c r="Z503" s="19">
        <v>15.03</v>
      </c>
      <c r="AA503" s="17">
        <v>95.71</v>
      </c>
      <c r="AB503" s="18">
        <v>91.71</v>
      </c>
      <c r="AC503" s="19">
        <v>93.71</v>
      </c>
      <c r="AD503" s="17">
        <v>88.42</v>
      </c>
      <c r="AE503" s="18">
        <v>84.42</v>
      </c>
      <c r="AF503" s="19">
        <v>86.42</v>
      </c>
      <c r="AG503" s="18">
        <v>19.190000000000001</v>
      </c>
      <c r="AH503" s="18">
        <v>18.330000000000002</v>
      </c>
      <c r="AI503" s="18">
        <v>18.760000000000002</v>
      </c>
      <c r="AJ503" s="20"/>
      <c r="AK503" s="21"/>
      <c r="AL503" s="22"/>
      <c r="AM503" s="18">
        <v>113.27</v>
      </c>
      <c r="AN503" s="18">
        <v>111.61</v>
      </c>
      <c r="AO503" s="18">
        <v>112.44</v>
      </c>
      <c r="AP503" s="17">
        <v>39.799999999999997</v>
      </c>
      <c r="AQ503" s="18">
        <v>38.199999999999996</v>
      </c>
      <c r="AR503" s="19">
        <v>39</v>
      </c>
      <c r="AS503" s="18">
        <v>40.479999999999997</v>
      </c>
      <c r="AT503" s="18">
        <v>39.119999999999997</v>
      </c>
      <c r="AU503" s="18">
        <v>39.799999999999997</v>
      </c>
      <c r="AV503" s="17">
        <v>20.5</v>
      </c>
      <c r="AW503" s="18">
        <v>19.899999999999999</v>
      </c>
      <c r="AX503" s="19">
        <v>20.2</v>
      </c>
      <c r="AY503" s="17">
        <v>4.49</v>
      </c>
      <c r="AZ503" s="18">
        <v>4.33</v>
      </c>
      <c r="BA503" s="19">
        <v>4.41</v>
      </c>
      <c r="BB503" s="17">
        <v>1.87</v>
      </c>
      <c r="BC503" s="23">
        <v>1.57</v>
      </c>
      <c r="BD503" s="24">
        <v>1.7200000000000002</v>
      </c>
      <c r="BE503" s="18">
        <v>0.67</v>
      </c>
      <c r="BF503" s="23">
        <v>0.37000000000000005</v>
      </c>
      <c r="BG503" s="23">
        <v>0.52</v>
      </c>
      <c r="BH503" s="17">
        <v>485.77</v>
      </c>
      <c r="BI503" s="18">
        <v>469.77</v>
      </c>
      <c r="BJ503" s="19">
        <v>477.77</v>
      </c>
      <c r="BK503" s="18">
        <v>40.85</v>
      </c>
      <c r="BL503" s="18">
        <v>39.49</v>
      </c>
      <c r="BM503" s="18">
        <v>40.17</v>
      </c>
      <c r="BN503" s="25">
        <v>1.01</v>
      </c>
      <c r="BO503" s="23">
        <v>0.77</v>
      </c>
      <c r="BP503" s="24">
        <v>0.89</v>
      </c>
      <c r="BQ503" s="18">
        <v>8.51</v>
      </c>
      <c r="BR503" s="18">
        <v>6.51</v>
      </c>
      <c r="BS503" s="18">
        <v>7.51</v>
      </c>
      <c r="BT503" s="17">
        <v>10.68</v>
      </c>
      <c r="BU503" s="18">
        <v>10.28</v>
      </c>
      <c r="BV503" s="19">
        <v>10.48</v>
      </c>
      <c r="BW503" s="17">
        <v>2.8</v>
      </c>
      <c r="BX503" s="23">
        <v>2.5199999999999996</v>
      </c>
      <c r="BY503" s="24">
        <v>2.6599999999999997</v>
      </c>
      <c r="BZ503" s="17">
        <v>9.51</v>
      </c>
      <c r="CA503" s="18">
        <v>6.51</v>
      </c>
      <c r="CB503" s="19">
        <v>8.01</v>
      </c>
      <c r="CC503" s="17">
        <v>6.69</v>
      </c>
      <c r="CD503" s="18">
        <v>6.45</v>
      </c>
      <c r="CE503" s="19">
        <v>6.57</v>
      </c>
      <c r="CF503" s="17">
        <v>2.02</v>
      </c>
      <c r="CG503" s="18">
        <v>1.52</v>
      </c>
      <c r="CH503" s="19">
        <v>1.77</v>
      </c>
      <c r="CI503" s="17">
        <v>0.43</v>
      </c>
      <c r="CJ503" s="18">
        <v>0.39</v>
      </c>
      <c r="CK503" s="19">
        <v>0.41000000000000003</v>
      </c>
      <c r="CL503" s="17">
        <v>39.96</v>
      </c>
      <c r="CM503">
        <v>37.56</v>
      </c>
      <c r="CN503">
        <v>38.760000000000005</v>
      </c>
      <c r="CO503">
        <v>6.27</v>
      </c>
      <c r="CP503">
        <v>1.2699999999999996</v>
      </c>
      <c r="CQ503">
        <v>3.7699999999999996</v>
      </c>
    </row>
    <row r="504" spans="1:95">
      <c r="A504" s="223">
        <v>45790</v>
      </c>
      <c r="B504" s="132" t="s">
        <v>97</v>
      </c>
      <c r="C504" s="18">
        <v>148.9</v>
      </c>
      <c r="D504" s="18">
        <v>146.9</v>
      </c>
      <c r="E504" s="18">
        <v>147.9</v>
      </c>
      <c r="F504" s="17">
        <v>165.68</v>
      </c>
      <c r="G504" s="18">
        <v>162.68</v>
      </c>
      <c r="H504" s="19">
        <v>164.18</v>
      </c>
      <c r="I504" s="18">
        <v>107.39</v>
      </c>
      <c r="J504" s="18">
        <v>104.19</v>
      </c>
      <c r="K504" s="18">
        <v>105.78999999999999</v>
      </c>
      <c r="L504" s="17">
        <v>198.9</v>
      </c>
      <c r="M504" s="18">
        <v>190.9</v>
      </c>
      <c r="N504" s="19">
        <v>194.9</v>
      </c>
      <c r="O504" s="18">
        <v>176.12</v>
      </c>
      <c r="P504" s="18">
        <v>174.32</v>
      </c>
      <c r="Q504" s="18">
        <v>175.22</v>
      </c>
      <c r="R504" s="17">
        <v>22.31</v>
      </c>
      <c r="S504" s="18">
        <v>21.709999999999997</v>
      </c>
      <c r="T504" s="19">
        <v>22.009999999999998</v>
      </c>
      <c r="U504" s="17">
        <v>14.45</v>
      </c>
      <c r="V504" s="18">
        <v>13.85</v>
      </c>
      <c r="W504" s="19">
        <v>14.149999999999999</v>
      </c>
      <c r="X504" s="17">
        <v>15.48</v>
      </c>
      <c r="Y504" s="18">
        <v>14.68</v>
      </c>
      <c r="Z504" s="19">
        <v>15.08</v>
      </c>
      <c r="AA504" s="17">
        <v>96.14</v>
      </c>
      <c r="AB504" s="18">
        <v>92.14</v>
      </c>
      <c r="AC504" s="19">
        <v>94.14</v>
      </c>
      <c r="AD504" s="18">
        <v>88.6</v>
      </c>
      <c r="AE504" s="18">
        <v>84.6</v>
      </c>
      <c r="AF504" s="18">
        <v>86.6</v>
      </c>
      <c r="AG504" s="17">
        <v>19.41</v>
      </c>
      <c r="AH504" s="18">
        <v>18.55</v>
      </c>
      <c r="AI504" s="19">
        <v>18.98</v>
      </c>
      <c r="AJ504" s="20"/>
      <c r="AK504" s="21"/>
      <c r="AL504" s="22"/>
      <c r="AM504" s="17">
        <v>114.15</v>
      </c>
      <c r="AN504" s="18">
        <v>112.49000000000001</v>
      </c>
      <c r="AO504" s="19">
        <v>113.32000000000001</v>
      </c>
      <c r="AP504" s="17">
        <v>40.31</v>
      </c>
      <c r="AQ504" s="18">
        <v>38.71</v>
      </c>
      <c r="AR504" s="19">
        <v>39.510000000000005</v>
      </c>
      <c r="AS504" s="18">
        <v>41.01</v>
      </c>
      <c r="AT504" s="18">
        <v>39.65</v>
      </c>
      <c r="AU504" s="18">
        <v>40.33</v>
      </c>
      <c r="AV504" s="17">
        <v>20.83</v>
      </c>
      <c r="AW504" s="18">
        <v>20.229999999999997</v>
      </c>
      <c r="AX504" s="19">
        <v>20.529999999999998</v>
      </c>
      <c r="AY504" s="17">
        <v>4.51</v>
      </c>
      <c r="AZ504" s="18">
        <v>4.3499999999999996</v>
      </c>
      <c r="BA504" s="19">
        <v>4.43</v>
      </c>
      <c r="BB504" s="17">
        <v>1.9</v>
      </c>
      <c r="BC504" s="23">
        <v>1.5999999999999999</v>
      </c>
      <c r="BD504" s="24">
        <v>1.75</v>
      </c>
      <c r="BE504" s="17">
        <v>0.68</v>
      </c>
      <c r="BF504" s="23">
        <v>0.38000000000000006</v>
      </c>
      <c r="BG504" s="24">
        <v>0.53</v>
      </c>
      <c r="BH504" s="17">
        <v>491.49</v>
      </c>
      <c r="BI504" s="18">
        <v>475.49</v>
      </c>
      <c r="BJ504" s="19">
        <v>483.49</v>
      </c>
      <c r="BK504" s="18">
        <v>41.38</v>
      </c>
      <c r="BL504" s="18">
        <v>40.020000000000003</v>
      </c>
      <c r="BM504" s="18">
        <v>40.700000000000003</v>
      </c>
      <c r="BN504" s="25">
        <v>1.02</v>
      </c>
      <c r="BO504" s="23">
        <v>0.78</v>
      </c>
      <c r="BP504" s="24">
        <v>0.9</v>
      </c>
      <c r="BQ504" s="18">
        <v>8.5399999999999991</v>
      </c>
      <c r="BR504" s="18">
        <v>6.5399999999999991</v>
      </c>
      <c r="BS504" s="18">
        <v>7.5399999999999991</v>
      </c>
      <c r="BT504" s="17">
        <v>10.68</v>
      </c>
      <c r="BU504" s="18">
        <v>10.28</v>
      </c>
      <c r="BV504" s="19">
        <v>10.48</v>
      </c>
      <c r="BW504" s="17">
        <v>2.79</v>
      </c>
      <c r="BX504" s="23">
        <v>2.5099999999999998</v>
      </c>
      <c r="BY504" s="24">
        <v>2.65</v>
      </c>
      <c r="BZ504" s="17">
        <v>9.6</v>
      </c>
      <c r="CA504" s="18">
        <v>6.6</v>
      </c>
      <c r="CB504" s="19">
        <v>8.1</v>
      </c>
      <c r="CC504" s="17">
        <v>6.7</v>
      </c>
      <c r="CD504" s="18">
        <v>6.46</v>
      </c>
      <c r="CE504" s="19">
        <v>6.58</v>
      </c>
      <c r="CF504" s="18">
        <v>2.08</v>
      </c>
      <c r="CG504" s="18">
        <v>1.58</v>
      </c>
      <c r="CH504" s="18">
        <v>1.83</v>
      </c>
      <c r="CI504" s="17">
        <v>0.43</v>
      </c>
      <c r="CJ504" s="18">
        <v>0.39</v>
      </c>
      <c r="CK504" s="19">
        <v>0.41000000000000003</v>
      </c>
      <c r="CL504" s="17">
        <v>39.93</v>
      </c>
      <c r="CM504">
        <v>37.53</v>
      </c>
      <c r="CN504">
        <v>38.730000000000004</v>
      </c>
      <c r="CO504">
        <v>6.32</v>
      </c>
      <c r="CP504">
        <v>1.3200000000000003</v>
      </c>
      <c r="CQ504">
        <v>3.8200000000000003</v>
      </c>
    </row>
    <row r="505" spans="1:95">
      <c r="A505" s="223">
        <v>45791</v>
      </c>
      <c r="B505" s="132" t="s">
        <v>98</v>
      </c>
      <c r="C505" s="17">
        <v>148.33000000000001</v>
      </c>
      <c r="D505" s="18">
        <v>146.33000000000001</v>
      </c>
      <c r="E505" s="19">
        <v>147.33000000000001</v>
      </c>
      <c r="F505" s="17">
        <v>166.42</v>
      </c>
      <c r="G505" s="18">
        <v>163.41999999999999</v>
      </c>
      <c r="H505" s="19">
        <v>164.92</v>
      </c>
      <c r="I505" s="17">
        <v>107.34</v>
      </c>
      <c r="J505" s="18">
        <v>104.14</v>
      </c>
      <c r="K505" s="19">
        <v>105.74000000000001</v>
      </c>
      <c r="L505" s="18">
        <v>200.17</v>
      </c>
      <c r="M505" s="18">
        <v>192.17</v>
      </c>
      <c r="N505" s="18">
        <v>196.17</v>
      </c>
      <c r="O505" s="17">
        <v>176.52</v>
      </c>
      <c r="P505" s="18">
        <v>174.72</v>
      </c>
      <c r="Q505" s="19">
        <v>175.62</v>
      </c>
      <c r="R505" s="18">
        <v>22.41</v>
      </c>
      <c r="S505" s="18">
        <v>21.81</v>
      </c>
      <c r="T505" s="18">
        <v>22.11</v>
      </c>
      <c r="U505" s="17">
        <v>14.52</v>
      </c>
      <c r="V505" s="18">
        <v>13.92</v>
      </c>
      <c r="W505" s="19">
        <v>14.219999999999999</v>
      </c>
      <c r="X505" s="17">
        <v>15.56</v>
      </c>
      <c r="Y505" s="18">
        <v>14.76</v>
      </c>
      <c r="Z505" s="19">
        <v>15.16</v>
      </c>
      <c r="AA505" s="17">
        <v>97.38</v>
      </c>
      <c r="AB505" s="18">
        <v>93.38</v>
      </c>
      <c r="AC505" s="19">
        <v>95.38</v>
      </c>
      <c r="AD505" s="17">
        <v>89.6</v>
      </c>
      <c r="AE505" s="18">
        <v>85.6</v>
      </c>
      <c r="AF505" s="19">
        <v>87.6</v>
      </c>
      <c r="AG505" s="18">
        <v>19.32</v>
      </c>
      <c r="AH505" s="18">
        <v>18.46</v>
      </c>
      <c r="AI505" s="18">
        <v>18.89</v>
      </c>
      <c r="AJ505" s="20"/>
      <c r="AK505" s="21"/>
      <c r="AL505" s="22"/>
      <c r="AM505" s="18">
        <v>114.09</v>
      </c>
      <c r="AN505" s="18">
        <v>112.43</v>
      </c>
      <c r="AO505" s="18">
        <v>113.26</v>
      </c>
      <c r="AP505" s="17">
        <v>40.14</v>
      </c>
      <c r="AQ505" s="18">
        <v>38.54</v>
      </c>
      <c r="AR505" s="19">
        <v>39.340000000000003</v>
      </c>
      <c r="AS505" s="18">
        <v>40.86</v>
      </c>
      <c r="AT505" s="18">
        <v>39.5</v>
      </c>
      <c r="AU505" s="18">
        <v>40.18</v>
      </c>
      <c r="AV505" s="17">
        <v>20.78</v>
      </c>
      <c r="AW505" s="18">
        <v>20.18</v>
      </c>
      <c r="AX505" s="19">
        <v>20.48</v>
      </c>
      <c r="AY505" s="17">
        <v>4.51</v>
      </c>
      <c r="AZ505" s="18">
        <v>4.3499999999999996</v>
      </c>
      <c r="BA505" s="19">
        <v>4.43</v>
      </c>
      <c r="BB505" s="17">
        <v>1.89</v>
      </c>
      <c r="BC505" s="23">
        <v>1.5899999999999999</v>
      </c>
      <c r="BD505" s="24">
        <v>1.7399999999999998</v>
      </c>
      <c r="BE505" s="18">
        <v>0.68</v>
      </c>
      <c r="BF505" s="23">
        <v>0.38000000000000006</v>
      </c>
      <c r="BG505" s="23">
        <v>0.53</v>
      </c>
      <c r="BH505" s="17">
        <v>489.94</v>
      </c>
      <c r="BI505" s="18">
        <v>473.94</v>
      </c>
      <c r="BJ505" s="19">
        <v>481.94</v>
      </c>
      <c r="BK505" s="18">
        <v>41.22</v>
      </c>
      <c r="BL505" s="18">
        <v>39.86</v>
      </c>
      <c r="BM505" s="18">
        <v>40.54</v>
      </c>
      <c r="BN505" s="25">
        <v>1.02</v>
      </c>
      <c r="BO505" s="23">
        <v>0.78</v>
      </c>
      <c r="BP505" s="24">
        <v>0.9</v>
      </c>
      <c r="BQ505" s="18">
        <v>8.59</v>
      </c>
      <c r="BR505" s="18">
        <v>6.59</v>
      </c>
      <c r="BS505" s="18">
        <v>7.59</v>
      </c>
      <c r="BT505" s="17">
        <v>10.63</v>
      </c>
      <c r="BU505" s="18">
        <v>10.23</v>
      </c>
      <c r="BV505" s="19">
        <v>10.43</v>
      </c>
      <c r="BW505" s="17">
        <v>2.81</v>
      </c>
      <c r="BX505" s="23">
        <v>2.5300000000000002</v>
      </c>
      <c r="BY505" s="24">
        <v>2.67</v>
      </c>
      <c r="BZ505" s="17">
        <v>9.5399999999999991</v>
      </c>
      <c r="CA505" s="18">
        <v>6.5399999999999991</v>
      </c>
      <c r="CB505" s="19">
        <v>8.0399999999999991</v>
      </c>
      <c r="CC505" s="17">
        <v>6.73</v>
      </c>
      <c r="CD505" s="18">
        <v>6.49</v>
      </c>
      <c r="CE505" s="19">
        <v>6.61</v>
      </c>
      <c r="CF505" s="17">
        <v>2.1</v>
      </c>
      <c r="CG505" s="18">
        <v>1.6</v>
      </c>
      <c r="CH505" s="19">
        <v>1.85</v>
      </c>
      <c r="CI505" s="17">
        <v>0.43</v>
      </c>
      <c r="CJ505" s="18">
        <v>0.39</v>
      </c>
      <c r="CK505" s="19">
        <v>0.41000000000000003</v>
      </c>
      <c r="CL505" s="17">
        <v>40.1</v>
      </c>
      <c r="CM505">
        <v>37.700000000000003</v>
      </c>
      <c r="CN505">
        <v>38.900000000000006</v>
      </c>
      <c r="CO505">
        <v>6.3</v>
      </c>
      <c r="CP505">
        <v>1.2999999999999998</v>
      </c>
      <c r="CQ505">
        <v>3.8</v>
      </c>
    </row>
    <row r="506" spans="1:95">
      <c r="A506" s="223">
        <v>45792</v>
      </c>
      <c r="B506" s="132" t="s">
        <v>99</v>
      </c>
      <c r="C506" s="17">
        <v>147.28</v>
      </c>
      <c r="D506" s="18">
        <v>145.28</v>
      </c>
      <c r="E506" s="19">
        <v>146.28</v>
      </c>
      <c r="F506" s="17">
        <v>165.17</v>
      </c>
      <c r="G506" s="18">
        <v>162.16999999999999</v>
      </c>
      <c r="H506" s="19">
        <v>163.66999999999999</v>
      </c>
      <c r="I506" s="17">
        <v>106.3</v>
      </c>
      <c r="J506" s="18">
        <v>103.1</v>
      </c>
      <c r="K506" s="19">
        <v>104.69999999999999</v>
      </c>
      <c r="L506" s="18">
        <v>198.17</v>
      </c>
      <c r="M506" s="18">
        <v>190.17</v>
      </c>
      <c r="N506" s="18">
        <v>194.17</v>
      </c>
      <c r="O506" s="17">
        <v>174.9</v>
      </c>
      <c r="P506" s="18">
        <v>173.1</v>
      </c>
      <c r="Q506" s="19">
        <v>174</v>
      </c>
      <c r="R506" s="18">
        <v>22.23</v>
      </c>
      <c r="S506" s="18">
        <v>21.63</v>
      </c>
      <c r="T506" s="18">
        <v>21.93</v>
      </c>
      <c r="U506" s="17">
        <v>14.37</v>
      </c>
      <c r="V506" s="18">
        <v>13.77</v>
      </c>
      <c r="W506" s="19">
        <v>14.07</v>
      </c>
      <c r="X506" s="17">
        <v>15.41</v>
      </c>
      <c r="Y506" s="18">
        <v>14.61</v>
      </c>
      <c r="Z506" s="19">
        <v>15.01</v>
      </c>
      <c r="AA506" s="17">
        <v>96.09</v>
      </c>
      <c r="AB506" s="18">
        <v>92.09</v>
      </c>
      <c r="AC506" s="19">
        <v>94.09</v>
      </c>
      <c r="AD506" s="17">
        <v>88.29</v>
      </c>
      <c r="AE506" s="18">
        <v>84.29</v>
      </c>
      <c r="AF506" s="19">
        <v>86.29</v>
      </c>
      <c r="AG506" s="18">
        <v>19.170000000000002</v>
      </c>
      <c r="AH506" s="18">
        <v>18.310000000000002</v>
      </c>
      <c r="AI506" s="18">
        <v>18.740000000000002</v>
      </c>
      <c r="AJ506" s="20"/>
      <c r="AK506" s="21"/>
      <c r="AL506" s="22"/>
      <c r="AM506" s="18">
        <v>113.4</v>
      </c>
      <c r="AN506" s="18">
        <v>111.74000000000001</v>
      </c>
      <c r="AO506" s="18">
        <v>112.57000000000001</v>
      </c>
      <c r="AP506" s="17">
        <v>39.880000000000003</v>
      </c>
      <c r="AQ506" s="18">
        <v>38.28</v>
      </c>
      <c r="AR506" s="19">
        <v>39.08</v>
      </c>
      <c r="AS506" s="18">
        <v>40.57</v>
      </c>
      <c r="AT506" s="18">
        <v>39.21</v>
      </c>
      <c r="AU506" s="18">
        <v>39.89</v>
      </c>
      <c r="AV506" s="17">
        <v>20.59</v>
      </c>
      <c r="AW506" s="18">
        <v>19.989999999999998</v>
      </c>
      <c r="AX506" s="19">
        <v>20.29</v>
      </c>
      <c r="AY506" s="17">
        <v>4.46</v>
      </c>
      <c r="AZ506" s="18">
        <v>4.3</v>
      </c>
      <c r="BA506" s="19">
        <v>4.38</v>
      </c>
      <c r="BB506" s="17">
        <v>1.87</v>
      </c>
      <c r="BC506" s="23">
        <v>1.57</v>
      </c>
      <c r="BD506" s="24">
        <v>1.7200000000000002</v>
      </c>
      <c r="BE506" s="18">
        <v>0.67</v>
      </c>
      <c r="BF506" s="23">
        <v>0.37000000000000005</v>
      </c>
      <c r="BG506" s="23">
        <v>0.52</v>
      </c>
      <c r="BH506" s="17">
        <v>486.2</v>
      </c>
      <c r="BI506" s="18">
        <v>470.2</v>
      </c>
      <c r="BJ506" s="19">
        <v>478.2</v>
      </c>
      <c r="BK506" s="18">
        <v>40.93</v>
      </c>
      <c r="BL506" s="18">
        <v>39.57</v>
      </c>
      <c r="BM506" s="18">
        <v>40.25</v>
      </c>
      <c r="BN506" s="25">
        <v>1.01</v>
      </c>
      <c r="BO506" s="23">
        <v>0.77</v>
      </c>
      <c r="BP506" s="24">
        <v>0.89</v>
      </c>
      <c r="BQ506" s="18">
        <v>8.56</v>
      </c>
      <c r="BR506" s="18">
        <v>6.5600000000000005</v>
      </c>
      <c r="BS506" s="18">
        <v>7.5600000000000005</v>
      </c>
      <c r="BT506" s="17">
        <v>10.65</v>
      </c>
      <c r="BU506" s="18">
        <v>10.25</v>
      </c>
      <c r="BV506" s="19">
        <v>10.45</v>
      </c>
      <c r="BW506" s="17">
        <v>2.79</v>
      </c>
      <c r="BX506" s="23">
        <v>2.5099999999999998</v>
      </c>
      <c r="BY506" s="24">
        <v>2.65</v>
      </c>
      <c r="BZ506" s="17">
        <v>9.5299999999999994</v>
      </c>
      <c r="CA506" s="18">
        <v>6.5299999999999994</v>
      </c>
      <c r="CB506" s="19">
        <v>8.0299999999999994</v>
      </c>
      <c r="CC506" s="17">
        <v>6.69</v>
      </c>
      <c r="CD506" s="18">
        <v>6.45</v>
      </c>
      <c r="CE506" s="19">
        <v>6.57</v>
      </c>
      <c r="CF506" s="17">
        <v>2.0699999999999998</v>
      </c>
      <c r="CG506" s="18">
        <v>1.5699999999999998</v>
      </c>
      <c r="CH506" s="19">
        <v>1.8199999999999998</v>
      </c>
      <c r="CI506" s="17">
        <v>0.43</v>
      </c>
      <c r="CJ506" s="18">
        <v>0.39</v>
      </c>
      <c r="CK506" s="19">
        <v>0.41000000000000003</v>
      </c>
      <c r="CL506" s="17">
        <v>39.880000000000003</v>
      </c>
      <c r="CM506">
        <v>37.480000000000004</v>
      </c>
      <c r="CN506">
        <v>38.680000000000007</v>
      </c>
      <c r="CO506">
        <v>6.27</v>
      </c>
      <c r="CP506">
        <v>1.2699999999999996</v>
      </c>
      <c r="CQ506">
        <v>3.7699999999999996</v>
      </c>
    </row>
    <row r="507" spans="1:95">
      <c r="A507" s="223">
        <v>45793</v>
      </c>
      <c r="B507" s="132" t="s">
        <v>100</v>
      </c>
      <c r="C507" s="17">
        <v>146.08000000000001</v>
      </c>
      <c r="D507" s="18">
        <v>144.08000000000001</v>
      </c>
      <c r="E507" s="19">
        <v>145.08000000000001</v>
      </c>
      <c r="F507" s="17">
        <v>164.08</v>
      </c>
      <c r="G507" s="18">
        <v>161.08000000000001</v>
      </c>
      <c r="H507" s="19">
        <v>162.58000000000001</v>
      </c>
      <c r="I507" s="17">
        <v>105.57</v>
      </c>
      <c r="J507" s="18">
        <v>102.36999999999999</v>
      </c>
      <c r="K507" s="19">
        <v>103.97</v>
      </c>
      <c r="L507" s="18">
        <v>197.16</v>
      </c>
      <c r="M507" s="18">
        <v>189.16</v>
      </c>
      <c r="N507" s="18">
        <v>193.16</v>
      </c>
      <c r="O507" s="17">
        <v>175</v>
      </c>
      <c r="P507" s="18">
        <v>173.2</v>
      </c>
      <c r="Q507" s="19">
        <v>174.1</v>
      </c>
      <c r="R507" s="18">
        <v>22.09</v>
      </c>
      <c r="S507" s="18">
        <v>21.49</v>
      </c>
      <c r="T507" s="18">
        <v>21.79</v>
      </c>
      <c r="U507" s="17">
        <v>14.25</v>
      </c>
      <c r="V507" s="18">
        <v>13.65</v>
      </c>
      <c r="W507" s="19">
        <v>13.95</v>
      </c>
      <c r="X507" s="17">
        <v>15.34</v>
      </c>
      <c r="Y507" s="18">
        <v>14.54</v>
      </c>
      <c r="Z507" s="19">
        <v>14.94</v>
      </c>
      <c r="AA507" s="17">
        <v>94.85</v>
      </c>
      <c r="AB507" s="18">
        <v>90.85</v>
      </c>
      <c r="AC507" s="19">
        <v>92.85</v>
      </c>
      <c r="AD507" s="17">
        <v>87.15</v>
      </c>
      <c r="AE507" s="18">
        <v>83.15</v>
      </c>
      <c r="AF507" s="19">
        <v>85.15</v>
      </c>
      <c r="AG507" s="18">
        <v>19.010000000000002</v>
      </c>
      <c r="AH507" s="18">
        <v>18.150000000000002</v>
      </c>
      <c r="AI507" s="18">
        <v>18.580000000000002</v>
      </c>
      <c r="AJ507" s="20"/>
      <c r="AK507" s="21"/>
      <c r="AL507" s="22"/>
      <c r="AM507" s="18">
        <v>112.76</v>
      </c>
      <c r="AN507" s="18">
        <v>111.10000000000001</v>
      </c>
      <c r="AO507" s="18">
        <v>111.93</v>
      </c>
      <c r="AP507" s="17">
        <v>39.56</v>
      </c>
      <c r="AQ507" s="18">
        <v>37.96</v>
      </c>
      <c r="AR507" s="19">
        <v>38.760000000000005</v>
      </c>
      <c r="AS507" s="18">
        <v>40.24</v>
      </c>
      <c r="AT507" s="18">
        <v>38.880000000000003</v>
      </c>
      <c r="AU507" s="18">
        <v>39.56</v>
      </c>
      <c r="AV507" s="17">
        <v>20.440000000000001</v>
      </c>
      <c r="AW507" s="18">
        <v>19.84</v>
      </c>
      <c r="AX507" s="19">
        <v>20.14</v>
      </c>
      <c r="AY507" s="17">
        <v>4.47</v>
      </c>
      <c r="AZ507" s="18">
        <v>4.3099999999999996</v>
      </c>
      <c r="BA507" s="19">
        <v>4.3899999999999997</v>
      </c>
      <c r="BB507" s="17">
        <v>1.86</v>
      </c>
      <c r="BC507" s="23">
        <v>1.56</v>
      </c>
      <c r="BD507" s="24">
        <v>1.71</v>
      </c>
      <c r="BE507" s="18">
        <v>0.67</v>
      </c>
      <c r="BF507" s="23">
        <v>0.37000000000000005</v>
      </c>
      <c r="BG507" s="23">
        <v>0.52</v>
      </c>
      <c r="BH507" s="17">
        <v>482.74</v>
      </c>
      <c r="BI507" s="18">
        <v>466.74</v>
      </c>
      <c r="BJ507" s="19">
        <v>474.74</v>
      </c>
      <c r="BK507" s="18">
        <v>40.6</v>
      </c>
      <c r="BL507" s="18">
        <v>39.24</v>
      </c>
      <c r="BM507" s="18">
        <v>39.92</v>
      </c>
      <c r="BN507" s="25">
        <v>1</v>
      </c>
      <c r="BO507" s="23">
        <v>0.76</v>
      </c>
      <c r="BP507" s="24">
        <v>0.88</v>
      </c>
      <c r="BQ507" s="18">
        <v>8.4499999999999993</v>
      </c>
      <c r="BR507" s="18">
        <v>6.4499999999999993</v>
      </c>
      <c r="BS507" s="18">
        <v>7.4499999999999993</v>
      </c>
      <c r="BT507" s="17">
        <v>10.61</v>
      </c>
      <c r="BU507" s="18">
        <v>10.209999999999999</v>
      </c>
      <c r="BV507" s="19">
        <v>10.41</v>
      </c>
      <c r="BW507" s="17">
        <v>2.77</v>
      </c>
      <c r="BX507" s="23">
        <v>2.4900000000000002</v>
      </c>
      <c r="BY507" s="24">
        <v>2.63</v>
      </c>
      <c r="BZ507" s="17">
        <v>9.5500000000000007</v>
      </c>
      <c r="CA507" s="18">
        <v>6.5500000000000007</v>
      </c>
      <c r="CB507" s="19">
        <v>8.0500000000000007</v>
      </c>
      <c r="CC507" s="17">
        <v>6.64</v>
      </c>
      <c r="CD507" s="18">
        <v>6.3999999999999995</v>
      </c>
      <c r="CE507" s="19">
        <v>6.52</v>
      </c>
      <c r="CF507" s="17">
        <v>2.0699999999999998</v>
      </c>
      <c r="CG507" s="18">
        <v>1.5699999999999998</v>
      </c>
      <c r="CH507" s="19">
        <v>1.8199999999999998</v>
      </c>
      <c r="CI507" s="17">
        <v>0.42</v>
      </c>
      <c r="CJ507" s="18">
        <v>0.38</v>
      </c>
      <c r="CK507" s="19">
        <v>0.4</v>
      </c>
      <c r="CL507" s="17">
        <v>39.5</v>
      </c>
      <c r="CM507">
        <v>37.1</v>
      </c>
      <c r="CN507">
        <v>38.299999999999997</v>
      </c>
      <c r="CO507">
        <v>6.26</v>
      </c>
      <c r="CP507">
        <v>1.2599999999999998</v>
      </c>
      <c r="CQ507">
        <v>3.76</v>
      </c>
    </row>
    <row r="508" spans="1:95">
      <c r="A508" s="223">
        <v>45794</v>
      </c>
      <c r="B508" s="132" t="s">
        <v>307</v>
      </c>
      <c r="C508" s="18"/>
      <c r="D508" s="18"/>
      <c r="E508" s="18"/>
      <c r="F508" s="17"/>
      <c r="G508" s="18"/>
      <c r="H508" s="19"/>
      <c r="I508" s="18"/>
      <c r="J508" s="18"/>
      <c r="K508" s="18"/>
      <c r="L508" s="17"/>
      <c r="M508" s="18"/>
      <c r="N508" s="19"/>
      <c r="O508" s="18"/>
      <c r="P508" s="18"/>
      <c r="Q508" s="18"/>
      <c r="R508" s="17"/>
      <c r="S508" s="18"/>
      <c r="T508" s="19"/>
      <c r="U508" s="17"/>
      <c r="V508" s="18"/>
      <c r="W508" s="19"/>
      <c r="X508" s="17"/>
      <c r="Y508" s="18"/>
      <c r="Z508" s="19"/>
      <c r="AA508" s="17"/>
      <c r="AB508" s="18"/>
      <c r="AC508" s="19"/>
      <c r="AD508" s="18"/>
      <c r="AE508" s="18"/>
      <c r="AF508" s="18"/>
      <c r="AG508" s="17"/>
      <c r="AH508" s="18"/>
      <c r="AI508" s="19"/>
      <c r="AJ508" s="20"/>
      <c r="AK508" s="21"/>
      <c r="AL508" s="22"/>
      <c r="AM508" s="17"/>
      <c r="AN508" s="18"/>
      <c r="AO508" s="19"/>
      <c r="AP508" s="17"/>
      <c r="AQ508" s="18"/>
      <c r="AR508" s="19"/>
      <c r="AS508" s="18"/>
      <c r="AT508" s="18"/>
      <c r="AU508" s="18"/>
      <c r="AV508" s="17"/>
      <c r="AW508" s="18"/>
      <c r="AX508" s="19"/>
      <c r="AY508" s="17"/>
      <c r="AZ508" s="18"/>
      <c r="BA508" s="19"/>
      <c r="BB508" s="17"/>
      <c r="BC508" s="23"/>
      <c r="BD508" s="24"/>
      <c r="BE508" s="17"/>
      <c r="BF508" s="23"/>
      <c r="BG508" s="24"/>
      <c r="BH508" s="17"/>
      <c r="BI508" s="18"/>
      <c r="BJ508" s="19"/>
      <c r="BK508" s="18"/>
      <c r="BL508" s="18"/>
      <c r="BM508" s="18"/>
      <c r="BN508" s="25"/>
      <c r="BO508" s="23"/>
      <c r="BP508" s="24"/>
      <c r="BQ508" s="18"/>
      <c r="BR508" s="18"/>
      <c r="BS508" s="18"/>
      <c r="BT508" s="17"/>
      <c r="BU508" s="18"/>
      <c r="BV508" s="19"/>
      <c r="BW508" s="17"/>
      <c r="BX508" s="23"/>
      <c r="BY508" s="24"/>
      <c r="BZ508" s="17"/>
      <c r="CA508" s="18"/>
      <c r="CB508" s="19"/>
      <c r="CC508" s="17"/>
      <c r="CD508" s="18"/>
      <c r="CE508" s="19"/>
      <c r="CF508" s="18"/>
      <c r="CG508" s="18"/>
      <c r="CH508" s="18"/>
      <c r="CI508" s="17"/>
      <c r="CJ508" s="18"/>
      <c r="CK508" s="19"/>
      <c r="CL508" s="17"/>
    </row>
    <row r="509" spans="1:95">
      <c r="A509" s="223">
        <v>45795</v>
      </c>
      <c r="B509" s="132" t="s">
        <v>308</v>
      </c>
      <c r="C509" s="17"/>
      <c r="D509" s="18"/>
      <c r="E509" s="19"/>
      <c r="F509" s="17"/>
      <c r="G509" s="18"/>
      <c r="H509" s="19"/>
      <c r="I509" s="17"/>
      <c r="J509" s="18"/>
      <c r="K509" s="19"/>
      <c r="L509" s="18"/>
      <c r="M509" s="18"/>
      <c r="N509" s="18"/>
      <c r="O509" s="17"/>
      <c r="P509" s="18"/>
      <c r="Q509" s="19"/>
      <c r="R509" s="18"/>
      <c r="S509" s="18"/>
      <c r="T509" s="18"/>
      <c r="U509" s="17"/>
      <c r="V509" s="18"/>
      <c r="W509" s="19"/>
      <c r="X509" s="17"/>
      <c r="Y509" s="18"/>
      <c r="Z509" s="19"/>
      <c r="AA509" s="17"/>
      <c r="AB509" s="18"/>
      <c r="AC509" s="19"/>
      <c r="AD509" s="17"/>
      <c r="AE509" s="18"/>
      <c r="AF509" s="19"/>
      <c r="AG509" s="18"/>
      <c r="AH509" s="18"/>
      <c r="AI509" s="18"/>
      <c r="AJ509" s="20"/>
      <c r="AK509" s="21"/>
      <c r="AL509" s="22"/>
      <c r="AM509" s="18"/>
      <c r="AN509" s="18"/>
      <c r="AO509" s="18"/>
      <c r="AP509" s="17"/>
      <c r="AQ509" s="18"/>
      <c r="AR509" s="19"/>
      <c r="AS509" s="18"/>
      <c r="AT509" s="18"/>
      <c r="AU509" s="18"/>
      <c r="AV509" s="17"/>
      <c r="AW509" s="18"/>
      <c r="AX509" s="19"/>
      <c r="AY509" s="17"/>
      <c r="AZ509" s="18"/>
      <c r="BA509" s="19"/>
      <c r="BB509" s="17"/>
      <c r="BC509" s="23"/>
      <c r="BD509" s="24"/>
      <c r="BE509" s="18"/>
      <c r="BF509" s="23"/>
      <c r="BG509" s="23"/>
      <c r="BH509" s="17"/>
      <c r="BI509" s="18"/>
      <c r="BJ509" s="19"/>
      <c r="BK509" s="18"/>
      <c r="BL509" s="18"/>
      <c r="BM509" s="18"/>
      <c r="BN509" s="25"/>
      <c r="BO509" s="23"/>
      <c r="BP509" s="24"/>
      <c r="BQ509" s="18"/>
      <c r="BR509" s="18"/>
      <c r="BS509" s="18"/>
      <c r="BT509" s="17"/>
      <c r="BU509" s="18"/>
      <c r="BV509" s="19"/>
      <c r="BW509" s="17"/>
      <c r="BX509" s="23"/>
      <c r="BY509" s="24"/>
      <c r="BZ509" s="17"/>
      <c r="CA509" s="18"/>
      <c r="CB509" s="19"/>
      <c r="CC509" s="17"/>
      <c r="CD509" s="18"/>
      <c r="CE509" s="19"/>
      <c r="CF509" s="17"/>
      <c r="CG509" s="18"/>
      <c r="CH509" s="19"/>
      <c r="CI509" s="17"/>
      <c r="CJ509" s="18"/>
      <c r="CK509" s="19"/>
      <c r="CL509" s="17"/>
    </row>
    <row r="510" spans="1:95">
      <c r="A510" s="223">
        <v>45796</v>
      </c>
      <c r="B510" s="132" t="s">
        <v>96</v>
      </c>
      <c r="C510" s="17">
        <v>145.94</v>
      </c>
      <c r="D510" s="18">
        <v>143.94</v>
      </c>
      <c r="E510" s="19">
        <v>144.94</v>
      </c>
      <c r="F510" s="17">
        <v>163.75</v>
      </c>
      <c r="G510" s="18">
        <v>160.75</v>
      </c>
      <c r="H510" s="19">
        <v>162.25</v>
      </c>
      <c r="I510" s="17">
        <v>105.45</v>
      </c>
      <c r="J510" s="18">
        <v>102.25</v>
      </c>
      <c r="K510" s="19">
        <v>103.85</v>
      </c>
      <c r="L510" s="18">
        <v>196.93</v>
      </c>
      <c r="M510" s="18">
        <v>188.93</v>
      </c>
      <c r="N510" s="18">
        <v>192.93</v>
      </c>
      <c r="O510" s="17">
        <v>174.46</v>
      </c>
      <c r="P510" s="18">
        <v>172.66</v>
      </c>
      <c r="Q510" s="19">
        <v>173.56</v>
      </c>
      <c r="R510" s="18">
        <v>22.05</v>
      </c>
      <c r="S510" s="18">
        <v>21.45</v>
      </c>
      <c r="T510" s="18">
        <v>21.75</v>
      </c>
      <c r="U510" s="17">
        <v>14.26</v>
      </c>
      <c r="V510" s="18">
        <v>13.66</v>
      </c>
      <c r="W510" s="19">
        <v>13.96</v>
      </c>
      <c r="X510" s="17">
        <v>15.26</v>
      </c>
      <c r="Y510" s="18">
        <v>14.459999999999999</v>
      </c>
      <c r="Z510" s="19">
        <v>14.86</v>
      </c>
      <c r="AA510" s="17">
        <v>94.95</v>
      </c>
      <c r="AB510" s="18">
        <v>90.95</v>
      </c>
      <c r="AC510" s="19">
        <v>92.95</v>
      </c>
      <c r="AD510" s="17">
        <v>87.38</v>
      </c>
      <c r="AE510" s="18">
        <v>83.38</v>
      </c>
      <c r="AF510" s="19">
        <v>85.38</v>
      </c>
      <c r="AG510" s="18">
        <v>18.97</v>
      </c>
      <c r="AH510" s="18">
        <v>18.11</v>
      </c>
      <c r="AI510" s="18">
        <v>18.54</v>
      </c>
      <c r="AJ510" s="20"/>
      <c r="AK510" s="21"/>
      <c r="AL510" s="22"/>
      <c r="AM510" s="18">
        <v>112.55</v>
      </c>
      <c r="AN510" s="18">
        <v>110.89</v>
      </c>
      <c r="AO510" s="18">
        <v>111.72</v>
      </c>
      <c r="AP510" s="17">
        <v>39.520000000000003</v>
      </c>
      <c r="AQ510" s="18">
        <v>37.92</v>
      </c>
      <c r="AR510" s="19">
        <v>38.72</v>
      </c>
      <c r="AS510" s="18">
        <v>40.22</v>
      </c>
      <c r="AT510" s="18">
        <v>38.86</v>
      </c>
      <c r="AU510" s="18">
        <v>39.54</v>
      </c>
      <c r="AV510" s="17">
        <v>20.41</v>
      </c>
      <c r="AW510" s="18">
        <v>19.809999999999999</v>
      </c>
      <c r="AX510" s="19">
        <v>20.11</v>
      </c>
      <c r="AY510" s="17">
        <v>4.45</v>
      </c>
      <c r="AZ510" s="18">
        <v>4.29</v>
      </c>
      <c r="BA510" s="19">
        <v>4.37</v>
      </c>
      <c r="BB510" s="17">
        <v>1.86</v>
      </c>
      <c r="BC510" s="23">
        <v>1.56</v>
      </c>
      <c r="BD510" s="24">
        <v>1.71</v>
      </c>
      <c r="BE510" s="18">
        <v>0.67</v>
      </c>
      <c r="BF510" s="23">
        <v>0.37000000000000005</v>
      </c>
      <c r="BG510" s="23">
        <v>0.52</v>
      </c>
      <c r="BH510" s="17">
        <v>482.28</v>
      </c>
      <c r="BI510" s="18">
        <v>466.28</v>
      </c>
      <c r="BJ510" s="19">
        <v>474.28</v>
      </c>
      <c r="BK510" s="18">
        <v>40.56</v>
      </c>
      <c r="BL510" s="18">
        <v>39.200000000000003</v>
      </c>
      <c r="BM510" s="18">
        <v>39.880000000000003</v>
      </c>
      <c r="BN510" s="25">
        <v>1</v>
      </c>
      <c r="BO510" s="23">
        <v>0.76</v>
      </c>
      <c r="BP510" s="24">
        <v>0.88</v>
      </c>
      <c r="BQ510" s="18">
        <v>8.4600000000000009</v>
      </c>
      <c r="BR510" s="18">
        <v>6.4600000000000009</v>
      </c>
      <c r="BS510" s="18">
        <v>7.4600000000000009</v>
      </c>
      <c r="BT510" s="17">
        <v>10.6</v>
      </c>
      <c r="BU510" s="18">
        <v>10.199999999999999</v>
      </c>
      <c r="BV510" s="19">
        <v>10.399999999999999</v>
      </c>
      <c r="BW510" s="17">
        <v>2.77</v>
      </c>
      <c r="BX510" s="23">
        <v>2.4900000000000002</v>
      </c>
      <c r="BY510" s="24">
        <v>2.63</v>
      </c>
      <c r="BZ510" s="17">
        <v>9.5399999999999991</v>
      </c>
      <c r="CA510" s="18">
        <v>6.5399999999999991</v>
      </c>
      <c r="CB510" s="19">
        <v>8.0399999999999991</v>
      </c>
      <c r="CC510" s="17">
        <v>6.65</v>
      </c>
      <c r="CD510" s="18">
        <v>6.41</v>
      </c>
      <c r="CE510" s="19">
        <v>6.53</v>
      </c>
      <c r="CF510" s="17">
        <v>2.04</v>
      </c>
      <c r="CG510" s="18">
        <v>1.54</v>
      </c>
      <c r="CH510" s="19">
        <v>1.79</v>
      </c>
      <c r="CI510" s="17">
        <v>0.42</v>
      </c>
      <c r="CJ510" s="18">
        <v>0.38</v>
      </c>
      <c r="CK510" s="19">
        <v>0.4</v>
      </c>
      <c r="CL510" s="17">
        <v>39.090000000000003</v>
      </c>
      <c r="CM510">
        <v>36.690000000000005</v>
      </c>
      <c r="CN510">
        <v>37.89</v>
      </c>
      <c r="CO510">
        <v>6.23</v>
      </c>
      <c r="CP510">
        <v>1.2300000000000004</v>
      </c>
      <c r="CQ510">
        <v>3.7300000000000004</v>
      </c>
    </row>
    <row r="511" spans="1:95">
      <c r="A511" s="223">
        <v>45797</v>
      </c>
      <c r="B511" s="132" t="s">
        <v>97</v>
      </c>
      <c r="C511" s="17">
        <v>146.32</v>
      </c>
      <c r="D511" s="18">
        <v>144.32</v>
      </c>
      <c r="E511" s="19">
        <v>145.32</v>
      </c>
      <c r="F511" s="17">
        <v>164.62</v>
      </c>
      <c r="G511" s="18">
        <v>161.62</v>
      </c>
      <c r="H511" s="19">
        <v>163.12</v>
      </c>
      <c r="I511" s="17">
        <v>105.68</v>
      </c>
      <c r="J511" s="18">
        <v>102.48</v>
      </c>
      <c r="K511" s="19">
        <v>104.08000000000001</v>
      </c>
      <c r="L511" s="18">
        <v>198.09</v>
      </c>
      <c r="M511" s="18">
        <v>190.09</v>
      </c>
      <c r="N511" s="18">
        <v>194.09</v>
      </c>
      <c r="O511" s="17">
        <v>174.85</v>
      </c>
      <c r="P511" s="18">
        <v>173.04999999999998</v>
      </c>
      <c r="Q511" s="19">
        <v>173.95</v>
      </c>
      <c r="R511" s="18">
        <v>22.17</v>
      </c>
      <c r="S511" s="18">
        <v>21.57</v>
      </c>
      <c r="T511" s="18">
        <v>21.87</v>
      </c>
      <c r="U511" s="17">
        <v>14.4</v>
      </c>
      <c r="V511" s="18">
        <v>13.8</v>
      </c>
      <c r="W511" s="19">
        <v>14.100000000000001</v>
      </c>
      <c r="X511" s="17">
        <v>15.39</v>
      </c>
      <c r="Y511" s="18">
        <v>14.59</v>
      </c>
      <c r="Z511" s="19">
        <v>14.99</v>
      </c>
      <c r="AA511" s="17">
        <v>95.72</v>
      </c>
      <c r="AB511" s="18">
        <v>91.72</v>
      </c>
      <c r="AC511" s="19">
        <v>93.72</v>
      </c>
      <c r="AD511" s="17">
        <v>88.12</v>
      </c>
      <c r="AE511" s="18">
        <v>84.12</v>
      </c>
      <c r="AF511" s="19">
        <v>86.12</v>
      </c>
      <c r="AG511" s="18">
        <v>19</v>
      </c>
      <c r="AH511" s="18">
        <v>18.14</v>
      </c>
      <c r="AI511" s="18">
        <v>18.57</v>
      </c>
      <c r="AJ511" s="20"/>
      <c r="AK511" s="21"/>
      <c r="AL511" s="22"/>
      <c r="AM511" s="18">
        <v>112.97</v>
      </c>
      <c r="AN511" s="18">
        <v>111.31</v>
      </c>
      <c r="AO511" s="18">
        <v>112.14</v>
      </c>
      <c r="AP511" s="17">
        <v>39.619999999999997</v>
      </c>
      <c r="AQ511" s="18">
        <v>38.019999999999996</v>
      </c>
      <c r="AR511" s="19">
        <v>38.819999999999993</v>
      </c>
      <c r="AS511" s="18">
        <v>40.31</v>
      </c>
      <c r="AT511" s="18">
        <v>38.950000000000003</v>
      </c>
      <c r="AU511" s="18">
        <v>39.630000000000003</v>
      </c>
      <c r="AV511" s="17">
        <v>20.43</v>
      </c>
      <c r="AW511" s="18">
        <v>19.829999999999998</v>
      </c>
      <c r="AX511" s="19">
        <v>20.13</v>
      </c>
      <c r="AY511" s="17">
        <v>4.46</v>
      </c>
      <c r="AZ511" s="18">
        <v>4.3</v>
      </c>
      <c r="BA511" s="19">
        <v>4.38</v>
      </c>
      <c r="BB511" s="17">
        <v>1.86</v>
      </c>
      <c r="BC511" s="23">
        <v>1.56</v>
      </c>
      <c r="BD511" s="24">
        <v>1.71</v>
      </c>
      <c r="BE511" s="18">
        <v>0.67</v>
      </c>
      <c r="BF511" s="23">
        <v>0.37000000000000005</v>
      </c>
      <c r="BG511" s="23">
        <v>0.52</v>
      </c>
      <c r="BH511" s="17">
        <v>483.21</v>
      </c>
      <c r="BI511" s="18">
        <v>467.21</v>
      </c>
      <c r="BJ511" s="19">
        <v>475.21</v>
      </c>
      <c r="BK511" s="18">
        <v>40.67</v>
      </c>
      <c r="BL511" s="18">
        <v>39.31</v>
      </c>
      <c r="BM511" s="18">
        <v>39.99</v>
      </c>
      <c r="BN511" s="25">
        <v>1.01</v>
      </c>
      <c r="BO511" s="23">
        <v>0.77</v>
      </c>
      <c r="BP511" s="24">
        <v>0.89</v>
      </c>
      <c r="BQ511" s="18">
        <v>8.5299999999999994</v>
      </c>
      <c r="BR511" s="18">
        <v>6.5299999999999994</v>
      </c>
      <c r="BS511" s="18">
        <v>7.5299999999999994</v>
      </c>
      <c r="BT511" s="17">
        <v>10.65</v>
      </c>
      <c r="BU511" s="18">
        <v>10.25</v>
      </c>
      <c r="BV511" s="19">
        <v>10.45</v>
      </c>
      <c r="BW511" s="17">
        <v>2.78</v>
      </c>
      <c r="BX511" s="23">
        <v>2.5</v>
      </c>
      <c r="BY511" s="24">
        <v>2.6399999999999997</v>
      </c>
      <c r="BZ511" s="17">
        <v>9.5399999999999991</v>
      </c>
      <c r="CA511" s="18">
        <v>6.5399999999999991</v>
      </c>
      <c r="CB511" s="19">
        <v>8.0399999999999991</v>
      </c>
      <c r="CC511" s="17">
        <v>6.68</v>
      </c>
      <c r="CD511" s="18">
        <v>6.4399999999999995</v>
      </c>
      <c r="CE511" s="19">
        <v>6.56</v>
      </c>
      <c r="CF511" s="17">
        <v>2.0499999999999998</v>
      </c>
      <c r="CG511" s="18">
        <v>1.5499999999999998</v>
      </c>
      <c r="CH511" s="19">
        <v>1.7999999999999998</v>
      </c>
      <c r="CI511" s="17">
        <v>0.43</v>
      </c>
      <c r="CJ511" s="18">
        <v>0.39</v>
      </c>
      <c r="CK511" s="19">
        <v>0.41000000000000003</v>
      </c>
      <c r="CL511" s="17">
        <v>39.6</v>
      </c>
      <c r="CM511">
        <v>37.200000000000003</v>
      </c>
      <c r="CN511">
        <v>38.400000000000006</v>
      </c>
      <c r="CO511">
        <v>6.25</v>
      </c>
      <c r="CP511">
        <v>1.25</v>
      </c>
      <c r="CQ511">
        <v>3.75</v>
      </c>
    </row>
    <row r="512" spans="1:95">
      <c r="A512" s="223">
        <v>45798</v>
      </c>
      <c r="B512" s="132" t="s">
        <v>98</v>
      </c>
      <c r="C512" s="17">
        <v>145.28</v>
      </c>
      <c r="D512" s="18">
        <v>143.28</v>
      </c>
      <c r="E512" s="19">
        <v>144.28</v>
      </c>
      <c r="F512" s="17">
        <v>164.45</v>
      </c>
      <c r="G512" s="18">
        <v>161.44999999999999</v>
      </c>
      <c r="H512" s="19">
        <v>162.94999999999999</v>
      </c>
      <c r="I512" s="17">
        <v>105.37</v>
      </c>
      <c r="J512" s="18">
        <v>102.17</v>
      </c>
      <c r="K512" s="19">
        <v>103.77000000000001</v>
      </c>
      <c r="L512" s="18">
        <v>197.45</v>
      </c>
      <c r="M512" s="18">
        <v>189.45</v>
      </c>
      <c r="N512" s="18">
        <v>193.45</v>
      </c>
      <c r="O512" s="17">
        <v>175.49</v>
      </c>
      <c r="P512" s="18">
        <v>173.69</v>
      </c>
      <c r="Q512" s="19">
        <v>174.59</v>
      </c>
      <c r="R512" s="18">
        <v>22.15</v>
      </c>
      <c r="S512" s="18">
        <v>21.549999999999997</v>
      </c>
      <c r="T512" s="18">
        <v>21.849999999999998</v>
      </c>
      <c r="U512" s="17">
        <v>14.38</v>
      </c>
      <c r="V512" s="18">
        <v>13.780000000000001</v>
      </c>
      <c r="W512" s="19">
        <v>14.080000000000002</v>
      </c>
      <c r="X512" s="17">
        <v>15.39</v>
      </c>
      <c r="Y512" s="18">
        <v>14.59</v>
      </c>
      <c r="Z512" s="19">
        <v>14.99</v>
      </c>
      <c r="AA512" s="17">
        <v>94.87</v>
      </c>
      <c r="AB512" s="18">
        <v>90.87</v>
      </c>
      <c r="AC512" s="19">
        <v>92.87</v>
      </c>
      <c r="AD512" s="17">
        <v>87.66</v>
      </c>
      <c r="AE512" s="18">
        <v>83.66</v>
      </c>
      <c r="AF512" s="19">
        <v>85.66</v>
      </c>
      <c r="AG512" s="18">
        <v>18.86</v>
      </c>
      <c r="AH512" s="18">
        <v>18</v>
      </c>
      <c r="AI512" s="18">
        <v>18.43</v>
      </c>
      <c r="AJ512" s="20"/>
      <c r="AK512" s="21"/>
      <c r="AL512" s="22"/>
      <c r="AM512" s="18">
        <v>112.33</v>
      </c>
      <c r="AN512" s="18">
        <v>110.67</v>
      </c>
      <c r="AO512" s="18">
        <v>111.5</v>
      </c>
      <c r="AP512" s="17">
        <v>39.36</v>
      </c>
      <c r="AQ512" s="18">
        <v>37.76</v>
      </c>
      <c r="AR512" s="19">
        <v>38.56</v>
      </c>
      <c r="AS512" s="18">
        <v>40.03</v>
      </c>
      <c r="AT512" s="18">
        <v>38.67</v>
      </c>
      <c r="AU512" s="18">
        <v>39.35</v>
      </c>
      <c r="AV512" s="17">
        <v>20.29</v>
      </c>
      <c r="AW512" s="18">
        <v>19.689999999999998</v>
      </c>
      <c r="AX512" s="19">
        <v>19.989999999999998</v>
      </c>
      <c r="AY512" s="17">
        <v>4.47</v>
      </c>
      <c r="AZ512" s="18">
        <v>4.3099999999999996</v>
      </c>
      <c r="BA512" s="19">
        <v>4.3899999999999997</v>
      </c>
      <c r="BB512" s="17">
        <v>1.85</v>
      </c>
      <c r="BC512" s="23">
        <v>1.55</v>
      </c>
      <c r="BD512" s="24">
        <v>1.7000000000000002</v>
      </c>
      <c r="BE512" s="18">
        <v>0.67</v>
      </c>
      <c r="BF512" s="23">
        <v>0.37000000000000005</v>
      </c>
      <c r="BG512" s="23">
        <v>0.52</v>
      </c>
      <c r="BH512" s="17">
        <v>480.58</v>
      </c>
      <c r="BI512" s="18">
        <v>464.58</v>
      </c>
      <c r="BJ512" s="19">
        <v>472.58</v>
      </c>
      <c r="BK512" s="18">
        <v>40.380000000000003</v>
      </c>
      <c r="BL512" s="18">
        <v>39.020000000000003</v>
      </c>
      <c r="BM512" s="18">
        <v>39.700000000000003</v>
      </c>
      <c r="BN512" s="25">
        <v>1</v>
      </c>
      <c r="BO512" s="23">
        <v>0.76</v>
      </c>
      <c r="BP512" s="24">
        <v>0.88</v>
      </c>
      <c r="BQ512" s="18">
        <v>8.49</v>
      </c>
      <c r="BR512" s="18">
        <v>6.49</v>
      </c>
      <c r="BS512" s="18">
        <v>7.49</v>
      </c>
      <c r="BT512" s="17">
        <v>10.6</v>
      </c>
      <c r="BU512" s="18">
        <v>10.199999999999999</v>
      </c>
      <c r="BV512" s="19">
        <v>10.399999999999999</v>
      </c>
      <c r="BW512" s="17">
        <v>2.76</v>
      </c>
      <c r="BX512" s="23">
        <v>2.4799999999999995</v>
      </c>
      <c r="BY512" s="24">
        <v>2.6199999999999997</v>
      </c>
      <c r="BZ512" s="17">
        <v>9.56</v>
      </c>
      <c r="CA512" s="18">
        <v>6.5600000000000005</v>
      </c>
      <c r="CB512" s="19">
        <v>8.06</v>
      </c>
      <c r="CC512" s="17">
        <v>6.67</v>
      </c>
      <c r="CD512" s="18">
        <v>6.43</v>
      </c>
      <c r="CE512" s="19">
        <v>6.55</v>
      </c>
      <c r="CF512" s="17">
        <v>2.04</v>
      </c>
      <c r="CG512" s="18">
        <v>1.54</v>
      </c>
      <c r="CH512" s="19">
        <v>1.79</v>
      </c>
      <c r="CI512" s="17">
        <v>0.43</v>
      </c>
      <c r="CJ512" s="18">
        <v>0.39</v>
      </c>
      <c r="CK512" s="19">
        <v>0.41000000000000003</v>
      </c>
      <c r="CL512" s="17">
        <v>39.67</v>
      </c>
      <c r="CM512">
        <v>37.270000000000003</v>
      </c>
      <c r="CN512">
        <v>38.47</v>
      </c>
      <c r="CO512">
        <v>6.22</v>
      </c>
      <c r="CP512">
        <v>1.2199999999999998</v>
      </c>
      <c r="CQ512">
        <v>3.7199999999999998</v>
      </c>
    </row>
    <row r="513" spans="1:95">
      <c r="A513" s="223">
        <v>45799</v>
      </c>
      <c r="B513" s="132" t="s">
        <v>99</v>
      </c>
      <c r="C513" s="18">
        <v>144.36000000000001</v>
      </c>
      <c r="D513" s="18">
        <v>142.36000000000001</v>
      </c>
      <c r="E513" s="18">
        <v>143.36000000000001</v>
      </c>
      <c r="F513" s="17">
        <v>163.9</v>
      </c>
      <c r="G513" s="18">
        <v>160.9</v>
      </c>
      <c r="H513" s="19">
        <v>162.4</v>
      </c>
      <c r="I513" s="18">
        <v>105.03</v>
      </c>
      <c r="J513" s="18">
        <v>101.83</v>
      </c>
      <c r="K513" s="18">
        <v>103.43</v>
      </c>
      <c r="L513" s="17">
        <v>196.5</v>
      </c>
      <c r="M513" s="18">
        <v>188.5</v>
      </c>
      <c r="N513" s="19">
        <v>192.5</v>
      </c>
      <c r="O513" s="18">
        <v>174.71</v>
      </c>
      <c r="P513" s="18">
        <v>172.91</v>
      </c>
      <c r="Q513" s="18">
        <v>173.81</v>
      </c>
      <c r="R513" s="17">
        <v>22.07</v>
      </c>
      <c r="S513" s="18">
        <v>21.47</v>
      </c>
      <c r="T513" s="19">
        <v>21.77</v>
      </c>
      <c r="U513" s="17">
        <v>14.4</v>
      </c>
      <c r="V513" s="18">
        <v>13.8</v>
      </c>
      <c r="W513" s="19">
        <v>14.100000000000001</v>
      </c>
      <c r="X513" s="17">
        <v>15.39</v>
      </c>
      <c r="Y513" s="18">
        <v>14.59</v>
      </c>
      <c r="Z513" s="19">
        <v>14.99</v>
      </c>
      <c r="AA513" s="17">
        <v>94.28</v>
      </c>
      <c r="AB513" s="18">
        <v>90.28</v>
      </c>
      <c r="AC513" s="19">
        <v>92.28</v>
      </c>
      <c r="AD513" s="18">
        <v>87.1</v>
      </c>
      <c r="AE513" s="18">
        <v>83.1</v>
      </c>
      <c r="AF513" s="18">
        <v>85.1</v>
      </c>
      <c r="AG513" s="17">
        <v>18.73</v>
      </c>
      <c r="AH513" s="18">
        <v>17.87</v>
      </c>
      <c r="AI513" s="19">
        <v>18.3</v>
      </c>
      <c r="AJ513" s="20"/>
      <c r="AK513" s="21"/>
      <c r="AL513" s="22"/>
      <c r="AM513" s="17">
        <v>112.04</v>
      </c>
      <c r="AN513" s="18">
        <v>110.38000000000001</v>
      </c>
      <c r="AO513" s="19">
        <v>111.21000000000001</v>
      </c>
      <c r="AP513" s="17">
        <v>39.11</v>
      </c>
      <c r="AQ513" s="18">
        <v>37.51</v>
      </c>
      <c r="AR513" s="19">
        <v>38.31</v>
      </c>
      <c r="AS513" s="18">
        <v>39.770000000000003</v>
      </c>
      <c r="AT513" s="18">
        <v>38.410000000000004</v>
      </c>
      <c r="AU513" s="18">
        <v>39.090000000000003</v>
      </c>
      <c r="AV513" s="17">
        <v>20.2</v>
      </c>
      <c r="AW513" s="18">
        <v>19.599999999999998</v>
      </c>
      <c r="AX513" s="19">
        <v>19.899999999999999</v>
      </c>
      <c r="AY513" s="17">
        <v>4.47</v>
      </c>
      <c r="AZ513" s="18">
        <v>4.3099999999999996</v>
      </c>
      <c r="BA513" s="19">
        <v>4.3899999999999997</v>
      </c>
      <c r="BB513" s="17">
        <v>1.84</v>
      </c>
      <c r="BC513" s="23">
        <v>1.54</v>
      </c>
      <c r="BD513" s="24">
        <v>1.69</v>
      </c>
      <c r="BE513" s="17">
        <v>0.66</v>
      </c>
      <c r="BF513" s="23">
        <v>0.36000000000000004</v>
      </c>
      <c r="BG513" s="24">
        <v>0.51</v>
      </c>
      <c r="BH513" s="17">
        <v>477.72</v>
      </c>
      <c r="BI513" s="18">
        <v>461.72</v>
      </c>
      <c r="BJ513" s="19">
        <v>469.72</v>
      </c>
      <c r="BK513" s="18">
        <v>40.14</v>
      </c>
      <c r="BL513" s="18">
        <v>38.78</v>
      </c>
      <c r="BM513" s="18">
        <v>39.46</v>
      </c>
      <c r="BN513" s="25">
        <v>1</v>
      </c>
      <c r="BO513" s="23">
        <v>0.76</v>
      </c>
      <c r="BP513" s="24">
        <v>0.88</v>
      </c>
      <c r="BQ513" s="18">
        <v>8.41</v>
      </c>
      <c r="BR513" s="18">
        <v>6.41</v>
      </c>
      <c r="BS513" s="18">
        <v>7.41</v>
      </c>
      <c r="BT513" s="17">
        <v>10.63</v>
      </c>
      <c r="BU513" s="18">
        <v>10.23</v>
      </c>
      <c r="BV513" s="19">
        <v>10.43</v>
      </c>
      <c r="BW513" s="17">
        <v>2.74</v>
      </c>
      <c r="BX513" s="23">
        <v>2.46</v>
      </c>
      <c r="BY513" s="24">
        <v>2.6</v>
      </c>
      <c r="BZ513" s="17">
        <v>9.48</v>
      </c>
      <c r="CA513" s="18">
        <v>6.48</v>
      </c>
      <c r="CB513" s="19">
        <v>7.98</v>
      </c>
      <c r="CC513" s="17">
        <v>6.65</v>
      </c>
      <c r="CD513" s="18">
        <v>6.41</v>
      </c>
      <c r="CE513" s="19">
        <v>6.53</v>
      </c>
      <c r="CF513" s="18">
        <v>2.0499999999999998</v>
      </c>
      <c r="CG513" s="18">
        <v>1.5499999999999998</v>
      </c>
      <c r="CH513" s="18">
        <v>1.7999999999999998</v>
      </c>
      <c r="CI513" s="17">
        <v>0.42</v>
      </c>
      <c r="CJ513" s="18">
        <v>0.38</v>
      </c>
      <c r="CK513" s="19">
        <v>0.4</v>
      </c>
      <c r="CL513" s="17">
        <v>39.5</v>
      </c>
      <c r="CM513">
        <v>37.1</v>
      </c>
      <c r="CN513">
        <v>38.299999999999997</v>
      </c>
      <c r="CO513">
        <v>6.2</v>
      </c>
      <c r="CP513">
        <v>1.2000000000000002</v>
      </c>
      <c r="CQ513">
        <v>3.7</v>
      </c>
    </row>
    <row r="514" spans="1:95">
      <c r="A514" s="223">
        <v>45800</v>
      </c>
      <c r="B514" s="132" t="s">
        <v>100</v>
      </c>
      <c r="C514" s="17">
        <v>144.91</v>
      </c>
      <c r="D514" s="18">
        <v>142.91</v>
      </c>
      <c r="E514" s="19">
        <v>143.91</v>
      </c>
      <c r="F514" s="17">
        <v>164.09</v>
      </c>
      <c r="G514" s="18">
        <v>161.09</v>
      </c>
      <c r="H514" s="19">
        <v>162.59</v>
      </c>
      <c r="I514" s="17">
        <v>105.5</v>
      </c>
      <c r="J514" s="18">
        <v>102.3</v>
      </c>
      <c r="K514" s="19">
        <v>103.9</v>
      </c>
      <c r="L514" s="18">
        <v>197.36</v>
      </c>
      <c r="M514" s="18">
        <v>189.36</v>
      </c>
      <c r="N514" s="18">
        <v>193.36</v>
      </c>
      <c r="O514" s="17">
        <v>174.77</v>
      </c>
      <c r="P514" s="18">
        <v>172.97</v>
      </c>
      <c r="Q514" s="19">
        <v>173.87</v>
      </c>
      <c r="R514" s="18">
        <v>22.09</v>
      </c>
      <c r="S514" s="18">
        <v>21.49</v>
      </c>
      <c r="T514" s="18">
        <v>21.79</v>
      </c>
      <c r="U514" s="17">
        <v>14.43</v>
      </c>
      <c r="V514" s="18">
        <v>13.83</v>
      </c>
      <c r="W514" s="19">
        <v>14.129999999999999</v>
      </c>
      <c r="X514" s="17">
        <v>15.36</v>
      </c>
      <c r="Y514" s="18">
        <v>14.559999999999999</v>
      </c>
      <c r="Z514" s="19">
        <v>14.959999999999999</v>
      </c>
      <c r="AA514" s="17">
        <v>94.36</v>
      </c>
      <c r="AB514" s="18">
        <v>90.36</v>
      </c>
      <c r="AC514" s="19">
        <v>92.36</v>
      </c>
      <c r="AD514" s="17">
        <v>86.95</v>
      </c>
      <c r="AE514" s="18">
        <v>82.95</v>
      </c>
      <c r="AF514" s="19">
        <v>84.95</v>
      </c>
      <c r="AG514" s="18">
        <v>18.809999999999999</v>
      </c>
      <c r="AH514" s="18">
        <v>17.95</v>
      </c>
      <c r="AI514" s="18">
        <v>18.38</v>
      </c>
      <c r="AJ514" s="20"/>
      <c r="AK514" s="21"/>
      <c r="AL514" s="22"/>
      <c r="AM514" s="18">
        <v>112.26</v>
      </c>
      <c r="AN514" s="18">
        <v>110.60000000000001</v>
      </c>
      <c r="AO514" s="18">
        <v>111.43</v>
      </c>
      <c r="AP514" s="17">
        <v>39.26</v>
      </c>
      <c r="AQ514" s="18">
        <v>37.659999999999997</v>
      </c>
      <c r="AR514" s="19">
        <v>38.459999999999994</v>
      </c>
      <c r="AS514" s="18">
        <v>39.92</v>
      </c>
      <c r="AT514" s="18">
        <v>38.56</v>
      </c>
      <c r="AU514" s="18">
        <v>39.24</v>
      </c>
      <c r="AV514" s="17">
        <v>20.28</v>
      </c>
      <c r="AW514" s="18">
        <v>19.68</v>
      </c>
      <c r="AX514" s="19">
        <v>19.98</v>
      </c>
      <c r="AY514" s="17">
        <v>4.45</v>
      </c>
      <c r="AZ514" s="18">
        <v>4.29</v>
      </c>
      <c r="BA514" s="19">
        <v>4.37</v>
      </c>
      <c r="BB514" s="17">
        <v>1.83</v>
      </c>
      <c r="BC514" s="23">
        <v>1.53</v>
      </c>
      <c r="BD514" s="24">
        <v>1.6800000000000002</v>
      </c>
      <c r="BE514" s="18">
        <v>0.67</v>
      </c>
      <c r="BF514" s="23">
        <v>0.37000000000000005</v>
      </c>
      <c r="BG514" s="23">
        <v>0.52</v>
      </c>
      <c r="BH514" s="17">
        <v>479.37</v>
      </c>
      <c r="BI514" s="18">
        <v>463.37</v>
      </c>
      <c r="BJ514" s="19">
        <v>471.37</v>
      </c>
      <c r="BK514" s="18">
        <v>40.29</v>
      </c>
      <c r="BL514" s="18">
        <v>38.93</v>
      </c>
      <c r="BM514" s="18">
        <v>39.61</v>
      </c>
      <c r="BN514" s="25">
        <v>1</v>
      </c>
      <c r="BO514" s="23">
        <v>0.76</v>
      </c>
      <c r="BP514" s="24">
        <v>0.88</v>
      </c>
      <c r="BQ514" s="18">
        <v>8.4600000000000009</v>
      </c>
      <c r="BR514" s="18">
        <v>6.4600000000000009</v>
      </c>
      <c r="BS514" s="18">
        <v>7.4600000000000009</v>
      </c>
      <c r="BT514" s="17">
        <v>10.65</v>
      </c>
      <c r="BU514" s="18">
        <v>10.25</v>
      </c>
      <c r="BV514" s="19">
        <v>10.45</v>
      </c>
      <c r="BW514" s="17">
        <v>2.76</v>
      </c>
      <c r="BX514" s="23">
        <v>2.4799999999999995</v>
      </c>
      <c r="BY514" s="24">
        <v>2.6199999999999997</v>
      </c>
      <c r="BZ514" s="17">
        <v>9.51</v>
      </c>
      <c r="CA514" s="18">
        <v>6.51</v>
      </c>
      <c r="CB514" s="19">
        <v>8.01</v>
      </c>
      <c r="CC514" s="17">
        <v>6.66</v>
      </c>
      <c r="CD514" s="18">
        <v>6.42</v>
      </c>
      <c r="CE514" s="19">
        <v>6.54</v>
      </c>
      <c r="CF514" s="17">
        <v>2.06</v>
      </c>
      <c r="CG514" s="18">
        <v>1.56</v>
      </c>
      <c r="CH514" s="19">
        <v>1.81</v>
      </c>
      <c r="CI514" s="17">
        <v>0.42</v>
      </c>
      <c r="CJ514" s="18">
        <v>0.38</v>
      </c>
      <c r="CK514" s="19">
        <v>0.4</v>
      </c>
      <c r="CL514" s="17">
        <v>39.5</v>
      </c>
      <c r="CM514">
        <v>37.1</v>
      </c>
      <c r="CN514">
        <v>38.299999999999997</v>
      </c>
      <c r="CO514">
        <v>6.2</v>
      </c>
      <c r="CP514">
        <v>1.2000000000000002</v>
      </c>
      <c r="CQ514">
        <v>3.7</v>
      </c>
    </row>
    <row r="515" spans="1:95">
      <c r="A515" s="223">
        <v>45801</v>
      </c>
      <c r="B515" s="132" t="s">
        <v>307</v>
      </c>
      <c r="C515" s="17"/>
      <c r="D515" s="18"/>
      <c r="E515" s="19"/>
      <c r="F515" s="17"/>
      <c r="G515" s="18"/>
      <c r="H515" s="19"/>
      <c r="I515" s="17"/>
      <c r="J515" s="18"/>
      <c r="K515" s="19"/>
      <c r="L515" s="18"/>
      <c r="M515" s="18"/>
      <c r="N515" s="18"/>
      <c r="O515" s="17"/>
      <c r="P515" s="18"/>
      <c r="Q515" s="19"/>
      <c r="R515" s="18"/>
      <c r="S515" s="18"/>
      <c r="T515" s="18"/>
      <c r="U515" s="17"/>
      <c r="V515" s="18"/>
      <c r="W515" s="19"/>
      <c r="X515" s="17"/>
      <c r="Y515" s="18"/>
      <c r="Z515" s="19"/>
      <c r="AA515" s="17"/>
      <c r="AB515" s="18"/>
      <c r="AC515" s="19"/>
      <c r="AD515" s="17"/>
      <c r="AE515" s="18"/>
      <c r="AF515" s="19"/>
      <c r="AG515" s="18"/>
      <c r="AH515" s="18"/>
      <c r="AI515" s="18"/>
      <c r="AJ515" s="20"/>
      <c r="AK515" s="21"/>
      <c r="AL515" s="22"/>
      <c r="AM515" s="18"/>
      <c r="AN515" s="18"/>
      <c r="AO515" s="18"/>
      <c r="AP515" s="17"/>
      <c r="AQ515" s="18"/>
      <c r="AR515" s="19"/>
      <c r="AS515" s="18"/>
      <c r="AT515" s="18"/>
      <c r="AU515" s="18"/>
      <c r="AV515" s="17"/>
      <c r="AW515" s="18"/>
      <c r="AX515" s="19"/>
      <c r="AY515" s="17"/>
      <c r="AZ515" s="18"/>
      <c r="BA515" s="19"/>
      <c r="BB515" s="17"/>
      <c r="BC515" s="23"/>
      <c r="BD515" s="24"/>
      <c r="BE515" s="18"/>
      <c r="BF515" s="23"/>
      <c r="BG515" s="23"/>
      <c r="BH515" s="17"/>
      <c r="BI515" s="18"/>
      <c r="BJ515" s="19"/>
      <c r="BK515" s="18"/>
      <c r="BL515" s="18"/>
      <c r="BM515" s="18"/>
      <c r="BN515" s="25"/>
      <c r="BO515" s="23"/>
      <c r="BP515" s="24"/>
      <c r="BQ515" s="18"/>
      <c r="BR515" s="18"/>
      <c r="BS515" s="18"/>
      <c r="BT515" s="17"/>
      <c r="BU515" s="18"/>
      <c r="BV515" s="19"/>
      <c r="BW515" s="17"/>
      <c r="BX515" s="23"/>
      <c r="BY515" s="24"/>
      <c r="BZ515" s="17"/>
      <c r="CA515" s="18"/>
      <c r="CB515" s="19"/>
      <c r="CC515" s="17"/>
      <c r="CD515" s="18"/>
      <c r="CE515" s="19"/>
      <c r="CF515" s="17"/>
      <c r="CG515" s="18"/>
      <c r="CH515" s="19"/>
      <c r="CI515" s="17"/>
      <c r="CJ515" s="18"/>
      <c r="CK515" s="19"/>
      <c r="CL515" s="17"/>
    </row>
    <row r="516" spans="1:95">
      <c r="A516" s="223">
        <v>45802</v>
      </c>
      <c r="B516" s="132" t="s">
        <v>308</v>
      </c>
      <c r="C516" s="17"/>
      <c r="D516" s="18"/>
      <c r="E516" s="19"/>
      <c r="F516" s="17"/>
      <c r="G516" s="18"/>
      <c r="H516" s="19"/>
      <c r="I516" s="17"/>
      <c r="J516" s="18"/>
      <c r="K516" s="19"/>
      <c r="L516" s="18"/>
      <c r="M516" s="18"/>
      <c r="N516" s="18"/>
      <c r="O516" s="17"/>
      <c r="P516" s="18"/>
      <c r="Q516" s="19"/>
      <c r="R516" s="18"/>
      <c r="S516" s="18"/>
      <c r="T516" s="18"/>
      <c r="U516" s="17"/>
      <c r="V516" s="18"/>
      <c r="W516" s="19"/>
      <c r="X516" s="17"/>
      <c r="Y516" s="18"/>
      <c r="Z516" s="19"/>
      <c r="AA516" s="17"/>
      <c r="AB516" s="18"/>
      <c r="AC516" s="19"/>
      <c r="AD516" s="17"/>
      <c r="AE516" s="18"/>
      <c r="AF516" s="19"/>
      <c r="AG516" s="18"/>
      <c r="AH516" s="18"/>
      <c r="AI516" s="18"/>
      <c r="AJ516" s="20"/>
      <c r="AK516" s="21"/>
      <c r="AL516" s="22"/>
      <c r="AM516" s="18"/>
      <c r="AN516" s="18"/>
      <c r="AO516" s="18"/>
      <c r="AP516" s="17"/>
      <c r="AQ516" s="18"/>
      <c r="AR516" s="19"/>
      <c r="AS516" s="18"/>
      <c r="AT516" s="18"/>
      <c r="AU516" s="18"/>
      <c r="AV516" s="17"/>
      <c r="AW516" s="18"/>
      <c r="AX516" s="19"/>
      <c r="AY516" s="17"/>
      <c r="AZ516" s="18"/>
      <c r="BA516" s="19"/>
      <c r="BB516" s="17"/>
      <c r="BC516" s="23"/>
      <c r="BD516" s="24"/>
      <c r="BE516" s="18"/>
      <c r="BF516" s="23"/>
      <c r="BG516" s="23"/>
      <c r="BH516" s="17"/>
      <c r="BI516" s="18"/>
      <c r="BJ516" s="19"/>
      <c r="BK516" s="18"/>
      <c r="BL516" s="18"/>
      <c r="BM516" s="18"/>
      <c r="BN516" s="25"/>
      <c r="BO516" s="23"/>
      <c r="BP516" s="24"/>
      <c r="BQ516" s="18"/>
      <c r="BR516" s="18"/>
      <c r="BS516" s="18"/>
      <c r="BT516" s="17"/>
      <c r="BU516" s="18"/>
      <c r="BV516" s="19"/>
      <c r="BW516" s="17"/>
      <c r="BX516" s="23"/>
      <c r="BY516" s="24"/>
      <c r="BZ516" s="17"/>
      <c r="CA516" s="18"/>
      <c r="CB516" s="19"/>
      <c r="CC516" s="17"/>
      <c r="CD516" s="18"/>
      <c r="CE516" s="19"/>
      <c r="CF516" s="17"/>
      <c r="CG516" s="18"/>
      <c r="CH516" s="19"/>
      <c r="CI516" s="17"/>
      <c r="CJ516" s="18"/>
      <c r="CK516" s="19"/>
      <c r="CL516" s="17"/>
    </row>
    <row r="517" spans="1:95">
      <c r="A517" s="223">
        <v>45803</v>
      </c>
      <c r="B517" s="132" t="s">
        <v>96</v>
      </c>
      <c r="C517" s="17">
        <v>143.74</v>
      </c>
      <c r="D517" s="18">
        <v>141.74</v>
      </c>
      <c r="E517" s="19">
        <v>142.74</v>
      </c>
      <c r="F517" s="17">
        <v>164.14</v>
      </c>
      <c r="G517" s="18">
        <v>161.13999999999999</v>
      </c>
      <c r="H517" s="19">
        <v>162.63999999999999</v>
      </c>
      <c r="I517" s="17">
        <v>105.64</v>
      </c>
      <c r="J517" s="18">
        <v>102.44</v>
      </c>
      <c r="K517" s="19">
        <v>104.03999999999999</v>
      </c>
      <c r="L517" s="18">
        <v>197.48</v>
      </c>
      <c r="M517" s="18">
        <v>189.48</v>
      </c>
      <c r="N517" s="18">
        <v>193.48</v>
      </c>
      <c r="O517" s="17">
        <v>174.51</v>
      </c>
      <c r="P517" s="18">
        <v>172.70999999999998</v>
      </c>
      <c r="Q517" s="19">
        <v>173.60999999999999</v>
      </c>
      <c r="R517" s="18">
        <v>22.1</v>
      </c>
      <c r="S517" s="18">
        <v>21.5</v>
      </c>
      <c r="T517" s="18">
        <v>21.8</v>
      </c>
      <c r="U517" s="17">
        <v>14.44</v>
      </c>
      <c r="V517" s="18">
        <v>13.84</v>
      </c>
      <c r="W517" s="19">
        <v>14.14</v>
      </c>
      <c r="X517" s="17">
        <v>15.41</v>
      </c>
      <c r="Y517" s="18">
        <v>14.61</v>
      </c>
      <c r="Z517" s="19">
        <v>15.01</v>
      </c>
      <c r="AA517" s="17">
        <v>94.87</v>
      </c>
      <c r="AB517" s="18">
        <v>90.87</v>
      </c>
      <c r="AC517" s="19">
        <v>92.87</v>
      </c>
      <c r="AD517" s="17">
        <v>87.56</v>
      </c>
      <c r="AE517" s="18">
        <v>83.56</v>
      </c>
      <c r="AF517" s="19">
        <v>85.56</v>
      </c>
      <c r="AG517" s="18">
        <v>18.64</v>
      </c>
      <c r="AH517" s="18">
        <v>17.78</v>
      </c>
      <c r="AI517" s="18">
        <v>18.21</v>
      </c>
      <c r="AJ517" s="20"/>
      <c r="AK517" s="21"/>
      <c r="AL517" s="22"/>
      <c r="AM517" s="18">
        <v>112.01</v>
      </c>
      <c r="AN517" s="18">
        <v>110.35000000000001</v>
      </c>
      <c r="AO517" s="18">
        <v>111.18</v>
      </c>
      <c r="AP517" s="17">
        <v>38.799999999999997</v>
      </c>
      <c r="AQ517" s="18">
        <v>37.199999999999996</v>
      </c>
      <c r="AR517" s="19">
        <v>38</v>
      </c>
      <c r="AS517" s="18">
        <v>39.61</v>
      </c>
      <c r="AT517" s="18">
        <v>38.25</v>
      </c>
      <c r="AU517" s="18">
        <v>38.93</v>
      </c>
      <c r="AV517" s="17">
        <v>20.18</v>
      </c>
      <c r="AW517" s="18">
        <v>19.579999999999998</v>
      </c>
      <c r="AX517" s="19">
        <v>19.88</v>
      </c>
      <c r="AY517" s="17">
        <v>4.46</v>
      </c>
      <c r="AZ517" s="18">
        <v>4.3</v>
      </c>
      <c r="BA517" s="19">
        <v>4.38</v>
      </c>
      <c r="BB517" s="17">
        <v>1.84</v>
      </c>
      <c r="BC517" s="23">
        <v>1.54</v>
      </c>
      <c r="BD517" s="24">
        <v>1.69</v>
      </c>
      <c r="BE517" s="18">
        <v>0.66</v>
      </c>
      <c r="BF517" s="23">
        <v>0.36000000000000004</v>
      </c>
      <c r="BG517" s="23">
        <v>0.51</v>
      </c>
      <c r="BH517" s="17">
        <v>476.15</v>
      </c>
      <c r="BI517" s="18">
        <v>460.15</v>
      </c>
      <c r="BJ517" s="19">
        <v>468.15</v>
      </c>
      <c r="BK517" s="18">
        <v>39.96</v>
      </c>
      <c r="BL517" s="18">
        <v>38.6</v>
      </c>
      <c r="BM517" s="18">
        <v>39.28</v>
      </c>
      <c r="BN517" s="25">
        <v>1</v>
      </c>
      <c r="BO517" s="23">
        <v>0.76</v>
      </c>
      <c r="BP517" s="24">
        <v>0.88</v>
      </c>
      <c r="BQ517" s="18">
        <v>8.44</v>
      </c>
      <c r="BR517" s="18">
        <v>6.4399999999999995</v>
      </c>
      <c r="BS517" s="18">
        <v>7.4399999999999995</v>
      </c>
      <c r="BT517" s="17">
        <v>10.65</v>
      </c>
      <c r="BU517" s="18">
        <v>10.25</v>
      </c>
      <c r="BV517" s="19">
        <v>10.45</v>
      </c>
      <c r="BW517" s="17">
        <v>2.75</v>
      </c>
      <c r="BX517" s="23">
        <v>2.4699999999999998</v>
      </c>
      <c r="BY517" s="24">
        <v>2.61</v>
      </c>
      <c r="BZ517" s="17">
        <v>9.51</v>
      </c>
      <c r="CA517" s="18">
        <v>6.51</v>
      </c>
      <c r="CB517" s="19">
        <v>8.01</v>
      </c>
      <c r="CC517" s="17">
        <v>6.67</v>
      </c>
      <c r="CD517" s="18">
        <v>6.43</v>
      </c>
      <c r="CE517" s="19">
        <v>6.55</v>
      </c>
      <c r="CF517" s="17">
        <v>2.0499999999999998</v>
      </c>
      <c r="CG517" s="18">
        <v>1.5499999999999998</v>
      </c>
      <c r="CH517" s="19">
        <v>1.7999999999999998</v>
      </c>
      <c r="CI517" s="17">
        <v>0.42</v>
      </c>
      <c r="CJ517" s="18">
        <v>0.38</v>
      </c>
      <c r="CK517" s="19">
        <v>0.4</v>
      </c>
      <c r="CL517" s="17">
        <v>39.4</v>
      </c>
      <c r="CM517">
        <v>37</v>
      </c>
      <c r="CN517">
        <v>38.200000000000003</v>
      </c>
      <c r="CO517">
        <v>6.16</v>
      </c>
      <c r="CP517">
        <v>1.1600000000000001</v>
      </c>
      <c r="CQ517">
        <v>3.66</v>
      </c>
    </row>
    <row r="518" spans="1:95">
      <c r="A518" s="223">
        <v>45804</v>
      </c>
      <c r="B518" s="132" t="s">
        <v>97</v>
      </c>
      <c r="C518" s="18">
        <v>143.37</v>
      </c>
      <c r="D518" s="18">
        <v>141.37</v>
      </c>
      <c r="E518" s="18">
        <v>142.37</v>
      </c>
      <c r="F518" s="17">
        <v>163.83000000000001</v>
      </c>
      <c r="G518" s="18">
        <v>160.83000000000001</v>
      </c>
      <c r="H518" s="19">
        <v>162.33000000000001</v>
      </c>
      <c r="I518" s="18">
        <v>105.35</v>
      </c>
      <c r="J518" s="18">
        <v>102.14999999999999</v>
      </c>
      <c r="K518" s="18">
        <v>103.75</v>
      </c>
      <c r="L518" s="17">
        <v>197.42</v>
      </c>
      <c r="M518" s="18">
        <v>189.42</v>
      </c>
      <c r="N518" s="19">
        <v>193.42</v>
      </c>
      <c r="O518" s="18">
        <v>174.56</v>
      </c>
      <c r="P518" s="18">
        <v>172.76</v>
      </c>
      <c r="Q518" s="18">
        <v>173.66</v>
      </c>
      <c r="R518" s="17">
        <v>22.06</v>
      </c>
      <c r="S518" s="18">
        <v>21.459999999999997</v>
      </c>
      <c r="T518" s="19">
        <v>21.759999999999998</v>
      </c>
      <c r="U518" s="17">
        <v>14.42</v>
      </c>
      <c r="V518" s="18">
        <v>13.82</v>
      </c>
      <c r="W518" s="19">
        <v>14.120000000000001</v>
      </c>
      <c r="X518" s="17">
        <v>15.38</v>
      </c>
      <c r="Y518" s="18">
        <v>14.58</v>
      </c>
      <c r="Z518" s="19">
        <v>14.98</v>
      </c>
      <c r="AA518" s="17">
        <v>94.46</v>
      </c>
      <c r="AB518" s="18">
        <v>90.46</v>
      </c>
      <c r="AC518" s="19">
        <v>92.46</v>
      </c>
      <c r="AD518" s="18">
        <v>87.46</v>
      </c>
      <c r="AE518" s="18">
        <v>83.46</v>
      </c>
      <c r="AF518" s="18">
        <v>85.46</v>
      </c>
      <c r="AG518" s="17">
        <v>18.600000000000001</v>
      </c>
      <c r="AH518" s="18">
        <v>17.740000000000002</v>
      </c>
      <c r="AI518" s="19">
        <v>18.170000000000002</v>
      </c>
      <c r="AJ518" s="20"/>
      <c r="AK518" s="21"/>
      <c r="AL518" s="22"/>
      <c r="AM518" s="17">
        <v>111.83</v>
      </c>
      <c r="AN518" s="18">
        <v>110.17</v>
      </c>
      <c r="AO518" s="19">
        <v>111</v>
      </c>
      <c r="AP518" s="17">
        <v>38.840000000000003</v>
      </c>
      <c r="AQ518" s="18">
        <v>37.24</v>
      </c>
      <c r="AR518" s="19">
        <v>38.040000000000006</v>
      </c>
      <c r="AS518" s="18">
        <v>39.5</v>
      </c>
      <c r="AT518" s="18">
        <v>38.14</v>
      </c>
      <c r="AU518" s="18">
        <v>38.82</v>
      </c>
      <c r="AV518" s="17">
        <v>20.149999999999999</v>
      </c>
      <c r="AW518" s="18">
        <v>19.549999999999997</v>
      </c>
      <c r="AX518" s="19">
        <v>19.849999999999998</v>
      </c>
      <c r="AY518" s="17">
        <v>4.46</v>
      </c>
      <c r="AZ518" s="18">
        <v>4.3</v>
      </c>
      <c r="BA518" s="19">
        <v>4.38</v>
      </c>
      <c r="BB518" s="17">
        <v>1.83</v>
      </c>
      <c r="BC518" s="23">
        <v>1.53</v>
      </c>
      <c r="BD518" s="24">
        <v>1.6800000000000002</v>
      </c>
      <c r="BE518" s="17">
        <v>0.66</v>
      </c>
      <c r="BF518" s="23">
        <v>0.36000000000000004</v>
      </c>
      <c r="BG518" s="24">
        <v>0.51</v>
      </c>
      <c r="BH518" s="17">
        <v>470.39</v>
      </c>
      <c r="BI518" s="18">
        <v>454.39</v>
      </c>
      <c r="BJ518" s="19">
        <v>462.39</v>
      </c>
      <c r="BK518" s="18">
        <v>39.86</v>
      </c>
      <c r="BL518" s="18">
        <v>38.5</v>
      </c>
      <c r="BM518" s="18">
        <v>39.18</v>
      </c>
      <c r="BN518" s="25">
        <v>1</v>
      </c>
      <c r="BO518" s="23">
        <v>0.76</v>
      </c>
      <c r="BP518" s="24">
        <v>0.88</v>
      </c>
      <c r="BQ518" s="18">
        <v>8.4</v>
      </c>
      <c r="BR518" s="18">
        <v>6.4</v>
      </c>
      <c r="BS518" s="18">
        <v>7.4</v>
      </c>
      <c r="BT518" s="17">
        <v>10.64</v>
      </c>
      <c r="BU518" s="18">
        <v>10.24</v>
      </c>
      <c r="BV518" s="19">
        <v>10.440000000000001</v>
      </c>
      <c r="BW518" s="17">
        <v>2.74</v>
      </c>
      <c r="BX518" s="23">
        <v>2.46</v>
      </c>
      <c r="BY518" s="24">
        <v>2.6</v>
      </c>
      <c r="BZ518" s="17">
        <v>9.48</v>
      </c>
      <c r="CA518" s="18">
        <v>6.48</v>
      </c>
      <c r="CB518" s="19">
        <v>7.98</v>
      </c>
      <c r="CC518" s="17">
        <v>6.65</v>
      </c>
      <c r="CD518" s="18">
        <v>6.41</v>
      </c>
      <c r="CE518" s="19">
        <v>6.53</v>
      </c>
      <c r="CF518" s="18">
        <v>2.04</v>
      </c>
      <c r="CG518" s="18">
        <v>1.54</v>
      </c>
      <c r="CH518" s="18">
        <v>1.79</v>
      </c>
      <c r="CI518" s="17">
        <v>0.42</v>
      </c>
      <c r="CJ518" s="18">
        <v>0.38</v>
      </c>
      <c r="CK518" s="19">
        <v>0.4</v>
      </c>
      <c r="CL518" s="17">
        <v>39.49</v>
      </c>
      <c r="CM518">
        <v>37.090000000000003</v>
      </c>
      <c r="CN518">
        <v>38.290000000000006</v>
      </c>
      <c r="CO518">
        <v>6.15</v>
      </c>
      <c r="CP518">
        <v>1.1500000000000004</v>
      </c>
      <c r="CQ518">
        <v>3.6500000000000004</v>
      </c>
    </row>
    <row r="519" spans="1:95">
      <c r="A519" s="223">
        <v>45805</v>
      </c>
      <c r="B519" s="132" t="s">
        <v>98</v>
      </c>
      <c r="C519" s="17">
        <v>145.06</v>
      </c>
      <c r="D519" s="18">
        <v>143.06</v>
      </c>
      <c r="E519" s="19">
        <v>144.06</v>
      </c>
      <c r="F519" s="17">
        <v>164.75</v>
      </c>
      <c r="G519" s="18">
        <v>161.75</v>
      </c>
      <c r="H519" s="19">
        <v>163.25</v>
      </c>
      <c r="I519" s="17">
        <v>105.97</v>
      </c>
      <c r="J519" s="18">
        <v>102.77</v>
      </c>
      <c r="K519" s="19">
        <v>104.37</v>
      </c>
      <c r="L519" s="18">
        <v>198.74</v>
      </c>
      <c r="M519" s="18">
        <v>190.74</v>
      </c>
      <c r="N519" s="18">
        <v>194.74</v>
      </c>
      <c r="O519" s="17">
        <v>174.99</v>
      </c>
      <c r="P519" s="18">
        <v>173.19</v>
      </c>
      <c r="Q519" s="19">
        <v>174.09</v>
      </c>
      <c r="R519" s="18">
        <v>22.18</v>
      </c>
      <c r="S519" s="18">
        <v>21.58</v>
      </c>
      <c r="T519" s="18">
        <v>21.88</v>
      </c>
      <c r="U519" s="17">
        <v>14.49</v>
      </c>
      <c r="V519" s="18">
        <v>13.89</v>
      </c>
      <c r="W519" s="19">
        <v>14.190000000000001</v>
      </c>
      <c r="X519" s="17">
        <v>15.38</v>
      </c>
      <c r="Y519" s="18">
        <v>14.58</v>
      </c>
      <c r="Z519" s="19">
        <v>14.98</v>
      </c>
      <c r="AA519" s="17">
        <v>94.9</v>
      </c>
      <c r="AB519" s="18">
        <v>90.9</v>
      </c>
      <c r="AC519" s="19">
        <v>92.9</v>
      </c>
      <c r="AD519" s="17">
        <v>87.66</v>
      </c>
      <c r="AE519" s="18">
        <v>83.66</v>
      </c>
      <c r="AF519" s="19">
        <v>85.66</v>
      </c>
      <c r="AG519" s="18">
        <v>18.809999999999999</v>
      </c>
      <c r="AH519" s="18">
        <v>17.95</v>
      </c>
      <c r="AI519" s="18">
        <v>18.38</v>
      </c>
      <c r="AJ519" s="20"/>
      <c r="AK519" s="21"/>
      <c r="AL519" s="22"/>
      <c r="AM519" s="18">
        <v>112.7</v>
      </c>
      <c r="AN519" s="18">
        <v>111.04</v>
      </c>
      <c r="AO519" s="18">
        <v>111.87</v>
      </c>
      <c r="AP519" s="17">
        <v>39.29</v>
      </c>
      <c r="AQ519" s="18">
        <v>37.69</v>
      </c>
      <c r="AR519" s="19">
        <v>38.489999999999995</v>
      </c>
      <c r="AS519" s="18">
        <v>39.97</v>
      </c>
      <c r="AT519" s="18">
        <v>38.61</v>
      </c>
      <c r="AU519" s="18">
        <v>39.29</v>
      </c>
      <c r="AV519" s="17">
        <v>20.329999999999998</v>
      </c>
      <c r="AW519" s="18">
        <v>19.729999999999997</v>
      </c>
      <c r="AX519" s="19">
        <v>20.029999999999998</v>
      </c>
      <c r="AY519" s="17">
        <v>4.49</v>
      </c>
      <c r="AZ519" s="18">
        <v>4.33</v>
      </c>
      <c r="BA519" s="19">
        <v>4.41</v>
      </c>
      <c r="BB519" s="17">
        <v>1.85</v>
      </c>
      <c r="BC519" s="23">
        <v>1.55</v>
      </c>
      <c r="BD519" s="24">
        <v>1.7000000000000002</v>
      </c>
      <c r="BE519" s="18">
        <v>0.66</v>
      </c>
      <c r="BF519" s="23">
        <v>0.36000000000000004</v>
      </c>
      <c r="BG519" s="23">
        <v>0.51</v>
      </c>
      <c r="BH519" s="17">
        <v>475.73</v>
      </c>
      <c r="BI519" s="18">
        <v>459.73</v>
      </c>
      <c r="BJ519" s="19">
        <v>467.73</v>
      </c>
      <c r="BK519" s="18">
        <v>40.33</v>
      </c>
      <c r="BL519" s="18">
        <v>38.97</v>
      </c>
      <c r="BM519" s="18">
        <v>39.65</v>
      </c>
      <c r="BN519" s="25">
        <v>1.01</v>
      </c>
      <c r="BO519" s="23">
        <v>0.77</v>
      </c>
      <c r="BP519" s="24">
        <v>0.89</v>
      </c>
      <c r="BQ519" s="18">
        <v>8.48</v>
      </c>
      <c r="BR519" s="18">
        <v>6.48</v>
      </c>
      <c r="BS519" s="18">
        <v>7.48</v>
      </c>
      <c r="BT519" s="17">
        <v>10.71</v>
      </c>
      <c r="BU519" s="18">
        <v>10.31</v>
      </c>
      <c r="BV519" s="19">
        <v>10.510000000000002</v>
      </c>
      <c r="BW519" s="17">
        <v>2.76</v>
      </c>
      <c r="BX519" s="23">
        <v>2.4799999999999995</v>
      </c>
      <c r="BY519" s="24">
        <v>2.6199999999999997</v>
      </c>
      <c r="BZ519" s="17">
        <v>9.5399999999999991</v>
      </c>
      <c r="CA519" s="18">
        <v>6.5399999999999991</v>
      </c>
      <c r="CB519" s="19">
        <v>8.0399999999999991</v>
      </c>
      <c r="CC519" s="17">
        <v>6.68</v>
      </c>
      <c r="CD519" s="18">
        <v>6.4399999999999995</v>
      </c>
      <c r="CE519" s="19">
        <v>6.56</v>
      </c>
      <c r="CF519" s="17">
        <v>2.0499999999999998</v>
      </c>
      <c r="CG519" s="18">
        <v>1.5499999999999998</v>
      </c>
      <c r="CH519" s="19">
        <v>1.7999999999999998</v>
      </c>
      <c r="CI519" s="17">
        <v>0.42</v>
      </c>
      <c r="CJ519" s="18">
        <v>0.38</v>
      </c>
      <c r="CK519" s="19">
        <v>0.4</v>
      </c>
      <c r="CL519" s="17">
        <v>39.67</v>
      </c>
      <c r="CM519">
        <v>37.270000000000003</v>
      </c>
      <c r="CN519">
        <v>38.47</v>
      </c>
      <c r="CO519">
        <v>6.19</v>
      </c>
      <c r="CP519">
        <v>1.1900000000000004</v>
      </c>
      <c r="CQ519">
        <v>3.6900000000000004</v>
      </c>
    </row>
    <row r="520" spans="1:95">
      <c r="A520" s="223">
        <v>45806</v>
      </c>
      <c r="B520" s="132" t="s">
        <v>99</v>
      </c>
      <c r="C520" s="17">
        <v>147.05000000000001</v>
      </c>
      <c r="D520" s="18">
        <v>145.05000000000001</v>
      </c>
      <c r="E520" s="19">
        <v>146.05000000000001</v>
      </c>
      <c r="F520" s="17">
        <v>165.65</v>
      </c>
      <c r="G520" s="18">
        <v>162.65</v>
      </c>
      <c r="H520" s="19">
        <v>164.15</v>
      </c>
      <c r="I520" s="17">
        <v>107.01</v>
      </c>
      <c r="J520" s="18">
        <v>103.81</v>
      </c>
      <c r="K520" s="19">
        <v>105.41</v>
      </c>
      <c r="L520" s="18">
        <v>200.19</v>
      </c>
      <c r="M520" s="18">
        <v>192.19</v>
      </c>
      <c r="N520" s="18">
        <v>196.19</v>
      </c>
      <c r="O520" s="17">
        <v>176.06</v>
      </c>
      <c r="P520" s="18">
        <v>174.26</v>
      </c>
      <c r="Q520" s="19">
        <v>175.16</v>
      </c>
      <c r="R520" s="18">
        <v>22.3</v>
      </c>
      <c r="S520" s="18">
        <v>21.7</v>
      </c>
      <c r="T520" s="18">
        <v>22</v>
      </c>
      <c r="U520" s="17">
        <v>14.6</v>
      </c>
      <c r="V520" s="18">
        <v>14</v>
      </c>
      <c r="W520" s="19">
        <v>14.3</v>
      </c>
      <c r="X520" s="17">
        <v>15.46</v>
      </c>
      <c r="Y520" s="18">
        <v>14.66</v>
      </c>
      <c r="Z520" s="19">
        <v>15.06</v>
      </c>
      <c r="AA520" s="17">
        <v>95.81</v>
      </c>
      <c r="AB520" s="18">
        <v>91.81</v>
      </c>
      <c r="AC520" s="19">
        <v>93.81</v>
      </c>
      <c r="AD520" s="17">
        <v>89.03</v>
      </c>
      <c r="AE520" s="18">
        <v>85.03</v>
      </c>
      <c r="AF520" s="19">
        <v>87.03</v>
      </c>
      <c r="AG520" s="18">
        <v>19.059999999999999</v>
      </c>
      <c r="AH520" s="18">
        <v>18.2</v>
      </c>
      <c r="AI520" s="18">
        <v>18.63</v>
      </c>
      <c r="AJ520" s="20"/>
      <c r="AK520" s="21"/>
      <c r="AL520" s="22"/>
      <c r="AM520" s="18">
        <v>113.71</v>
      </c>
      <c r="AN520" s="18">
        <v>112.05</v>
      </c>
      <c r="AO520" s="18">
        <v>112.88</v>
      </c>
      <c r="AP520" s="17">
        <v>39.82</v>
      </c>
      <c r="AQ520" s="18">
        <v>38.22</v>
      </c>
      <c r="AR520" s="19">
        <v>39.019999999999996</v>
      </c>
      <c r="AS520" s="18">
        <v>40.520000000000003</v>
      </c>
      <c r="AT520" s="18">
        <v>39.160000000000004</v>
      </c>
      <c r="AU520" s="18">
        <v>39.840000000000003</v>
      </c>
      <c r="AV520" s="17">
        <v>20.58</v>
      </c>
      <c r="AW520" s="18">
        <v>19.979999999999997</v>
      </c>
      <c r="AX520" s="19">
        <v>20.279999999999998</v>
      </c>
      <c r="AY520" s="17">
        <v>4.5199999999999996</v>
      </c>
      <c r="AZ520" s="18">
        <v>4.3599999999999994</v>
      </c>
      <c r="BA520" s="19">
        <v>4.4399999999999995</v>
      </c>
      <c r="BB520" s="17">
        <v>1.87</v>
      </c>
      <c r="BC520" s="23">
        <v>1.57</v>
      </c>
      <c r="BD520" s="24">
        <v>1.7200000000000002</v>
      </c>
      <c r="BE520" s="18">
        <v>0.67</v>
      </c>
      <c r="BF520" s="23">
        <v>0.37000000000000005</v>
      </c>
      <c r="BG520" s="23">
        <v>0.52</v>
      </c>
      <c r="BH520" s="17">
        <v>486.07</v>
      </c>
      <c r="BI520" s="18">
        <v>470.07</v>
      </c>
      <c r="BJ520" s="19">
        <v>478.07</v>
      </c>
      <c r="BK520" s="18">
        <v>40.880000000000003</v>
      </c>
      <c r="BL520" s="18">
        <v>39.520000000000003</v>
      </c>
      <c r="BM520" s="18">
        <v>40.200000000000003</v>
      </c>
      <c r="BN520" s="25">
        <v>1.02</v>
      </c>
      <c r="BO520" s="23">
        <v>0.78</v>
      </c>
      <c r="BP520" s="24">
        <v>0.9</v>
      </c>
      <c r="BQ520" s="18">
        <v>8.5399999999999991</v>
      </c>
      <c r="BR520" s="18">
        <v>6.5399999999999991</v>
      </c>
      <c r="BS520" s="18">
        <v>7.5399999999999991</v>
      </c>
      <c r="BT520" s="17">
        <v>10.8</v>
      </c>
      <c r="BU520" s="18">
        <v>10.4</v>
      </c>
      <c r="BV520" s="19">
        <v>10.600000000000001</v>
      </c>
      <c r="BW520" s="17">
        <v>2.8</v>
      </c>
      <c r="BX520" s="23">
        <v>2.5199999999999996</v>
      </c>
      <c r="BY520" s="24">
        <v>2.6599999999999997</v>
      </c>
      <c r="BZ520" s="17">
        <v>9.64</v>
      </c>
      <c r="CA520" s="18">
        <v>6.6400000000000006</v>
      </c>
      <c r="CB520" s="19">
        <v>8.14</v>
      </c>
      <c r="CC520" s="17">
        <v>6.71</v>
      </c>
      <c r="CD520" s="18">
        <v>6.47</v>
      </c>
      <c r="CE520" s="19">
        <v>6.59</v>
      </c>
      <c r="CF520" s="17">
        <v>2.08</v>
      </c>
      <c r="CG520" s="18">
        <v>1.58</v>
      </c>
      <c r="CH520" s="19">
        <v>1.83</v>
      </c>
      <c r="CI520" s="17">
        <v>0.43</v>
      </c>
      <c r="CJ520" s="18">
        <v>0.39</v>
      </c>
      <c r="CK520" s="19">
        <v>0.41000000000000003</v>
      </c>
      <c r="CL520" s="17">
        <v>39.979999999999997</v>
      </c>
      <c r="CM520">
        <v>37.58</v>
      </c>
      <c r="CN520">
        <v>38.78</v>
      </c>
      <c r="CO520">
        <v>6.24</v>
      </c>
      <c r="CP520">
        <v>1.2400000000000002</v>
      </c>
      <c r="CQ520">
        <v>3.74</v>
      </c>
    </row>
    <row r="521" spans="1:95">
      <c r="A521" s="223">
        <v>45807</v>
      </c>
      <c r="B521" s="132" t="s">
        <v>100</v>
      </c>
      <c r="C521" s="17">
        <v>144.87</v>
      </c>
      <c r="D521" s="18">
        <v>142.87</v>
      </c>
      <c r="E521" s="19">
        <v>143.87</v>
      </c>
      <c r="F521" s="17">
        <v>165.07</v>
      </c>
      <c r="G521" s="18">
        <v>162.07</v>
      </c>
      <c r="H521" s="19">
        <v>163.57</v>
      </c>
      <c r="I521" s="17">
        <v>105.69</v>
      </c>
      <c r="J521" s="18">
        <v>102.49</v>
      </c>
      <c r="K521" s="19">
        <v>104.09</v>
      </c>
      <c r="L521" s="18">
        <v>198.12</v>
      </c>
      <c r="M521" s="18">
        <v>190.12</v>
      </c>
      <c r="N521" s="18">
        <v>194.12</v>
      </c>
      <c r="O521" s="17">
        <v>175.9</v>
      </c>
      <c r="P521" s="18">
        <v>174.1</v>
      </c>
      <c r="Q521" s="19">
        <v>175</v>
      </c>
      <c r="R521" s="18">
        <v>22.22</v>
      </c>
      <c r="S521" s="18">
        <v>21.619999999999997</v>
      </c>
      <c r="T521" s="18">
        <v>21.919999999999998</v>
      </c>
      <c r="U521" s="17">
        <v>14.5</v>
      </c>
      <c r="V521" s="18">
        <v>13.9</v>
      </c>
      <c r="W521" s="19">
        <v>14.2</v>
      </c>
      <c r="X521" s="17">
        <v>15.45</v>
      </c>
      <c r="Y521" s="18">
        <v>14.649999999999999</v>
      </c>
      <c r="Z521" s="19">
        <v>15.049999999999999</v>
      </c>
      <c r="AA521" s="17">
        <v>94.58</v>
      </c>
      <c r="AB521" s="18">
        <v>90.58</v>
      </c>
      <c r="AC521" s="19">
        <v>92.58</v>
      </c>
      <c r="AD521" s="17">
        <v>87.96</v>
      </c>
      <c r="AE521" s="18">
        <v>83.96</v>
      </c>
      <c r="AF521" s="19">
        <v>85.96</v>
      </c>
      <c r="AG521" s="18">
        <v>18.77</v>
      </c>
      <c r="AH521" s="18">
        <v>17.91</v>
      </c>
      <c r="AI521" s="18">
        <v>18.34</v>
      </c>
      <c r="AJ521" s="20"/>
      <c r="AK521" s="21"/>
      <c r="AL521" s="22"/>
      <c r="AM521" s="18">
        <v>112.58</v>
      </c>
      <c r="AN521" s="18">
        <v>110.92</v>
      </c>
      <c r="AO521" s="18">
        <v>111.75</v>
      </c>
      <c r="AP521" s="17">
        <v>39.25</v>
      </c>
      <c r="AQ521" s="18">
        <v>37.65</v>
      </c>
      <c r="AR521" s="19">
        <v>38.450000000000003</v>
      </c>
      <c r="AS521" s="18">
        <v>39.79</v>
      </c>
      <c r="AT521" s="18">
        <v>38.43</v>
      </c>
      <c r="AU521" s="18">
        <v>39.11</v>
      </c>
      <c r="AV521" s="17">
        <v>20.309999999999999</v>
      </c>
      <c r="AW521" s="18">
        <v>19.709999999999997</v>
      </c>
      <c r="AX521" s="19">
        <v>20.009999999999998</v>
      </c>
      <c r="AY521" s="17">
        <v>4.5</v>
      </c>
      <c r="AZ521" s="18">
        <v>4.34</v>
      </c>
      <c r="BA521" s="19">
        <v>4.42</v>
      </c>
      <c r="BB521" s="17">
        <v>1.85</v>
      </c>
      <c r="BC521" s="23">
        <v>1.55</v>
      </c>
      <c r="BD521" s="24">
        <v>1.7000000000000002</v>
      </c>
      <c r="BE521" s="18">
        <v>0.66</v>
      </c>
      <c r="BF521" s="23">
        <v>0.36000000000000004</v>
      </c>
      <c r="BG521" s="23">
        <v>0.51</v>
      </c>
      <c r="BH521" s="17">
        <v>479.24</v>
      </c>
      <c r="BI521" s="18">
        <v>463.24</v>
      </c>
      <c r="BJ521" s="19">
        <v>471.24</v>
      </c>
      <c r="BK521" s="18">
        <v>40.28</v>
      </c>
      <c r="BL521" s="18">
        <v>38.92</v>
      </c>
      <c r="BM521" s="18">
        <v>39.6</v>
      </c>
      <c r="BN521" s="25">
        <v>1.01</v>
      </c>
      <c r="BO521" s="23">
        <v>0.77</v>
      </c>
      <c r="BP521" s="24">
        <v>0.89</v>
      </c>
      <c r="BQ521" s="18">
        <v>8.4499999999999993</v>
      </c>
      <c r="BR521" s="18">
        <v>6.4499999999999993</v>
      </c>
      <c r="BS521" s="18">
        <v>7.4499999999999993</v>
      </c>
      <c r="BT521" s="17">
        <v>10.71</v>
      </c>
      <c r="BU521" s="18">
        <v>10.31</v>
      </c>
      <c r="BV521" s="19">
        <v>10.510000000000002</v>
      </c>
      <c r="BW521" s="17">
        <v>2.75</v>
      </c>
      <c r="BX521" s="23">
        <v>2.4699999999999998</v>
      </c>
      <c r="BY521" s="24">
        <v>2.61</v>
      </c>
      <c r="BZ521" s="17">
        <v>9.58</v>
      </c>
      <c r="CA521" s="18">
        <v>6.58</v>
      </c>
      <c r="CB521" s="19">
        <v>8.08</v>
      </c>
      <c r="CC521" s="17">
        <v>6.68</v>
      </c>
      <c r="CD521" s="18">
        <v>6.4399999999999995</v>
      </c>
      <c r="CE521" s="19">
        <v>6.56</v>
      </c>
      <c r="CF521" s="17">
        <v>2.13</v>
      </c>
      <c r="CG521" s="18">
        <v>1.63</v>
      </c>
      <c r="CH521" s="19">
        <v>1.88</v>
      </c>
      <c r="CI521" s="17">
        <v>0.43</v>
      </c>
      <c r="CJ521" s="18">
        <v>0.39</v>
      </c>
      <c r="CK521" s="19">
        <v>0.41000000000000003</v>
      </c>
      <c r="CL521" s="17">
        <v>39.79</v>
      </c>
      <c r="CM521">
        <v>37.39</v>
      </c>
      <c r="CN521">
        <v>38.590000000000003</v>
      </c>
      <c r="CO521">
        <v>6.18</v>
      </c>
      <c r="CP521">
        <v>1.1799999999999997</v>
      </c>
      <c r="CQ521">
        <v>3.6799999999999997</v>
      </c>
    </row>
    <row r="522" spans="1:95">
      <c r="A522" s="223">
        <v>45808</v>
      </c>
      <c r="B522" s="132" t="s">
        <v>307</v>
      </c>
      <c r="C522" s="17"/>
      <c r="D522" s="18"/>
      <c r="E522" s="19"/>
      <c r="F522" s="17"/>
      <c r="G522" s="18"/>
      <c r="H522" s="19"/>
      <c r="I522" s="17"/>
      <c r="J522" s="18"/>
      <c r="K522" s="19"/>
      <c r="L522" s="18"/>
      <c r="M522" s="18"/>
      <c r="N522" s="18"/>
      <c r="O522" s="17"/>
      <c r="P522" s="18"/>
      <c r="Q522" s="19"/>
      <c r="R522" s="18"/>
      <c r="S522" s="18"/>
      <c r="T522" s="18"/>
      <c r="U522" s="17"/>
      <c r="V522" s="18"/>
      <c r="W522" s="19"/>
      <c r="X522" s="17"/>
      <c r="Y522" s="18"/>
      <c r="Z522" s="19"/>
      <c r="AA522" s="17"/>
      <c r="AB522" s="18"/>
      <c r="AC522" s="19"/>
      <c r="AD522" s="17"/>
      <c r="AE522" s="18"/>
      <c r="AF522" s="19"/>
      <c r="AG522" s="18"/>
      <c r="AH522" s="18"/>
      <c r="AI522" s="18"/>
      <c r="AJ522" s="20"/>
      <c r="AK522" s="21"/>
      <c r="AL522" s="22"/>
      <c r="AM522" s="18"/>
      <c r="AN522" s="18"/>
      <c r="AO522" s="18"/>
      <c r="AP522" s="17"/>
      <c r="AQ522" s="18"/>
      <c r="AR522" s="19"/>
      <c r="AS522" s="18"/>
      <c r="AT522" s="18"/>
      <c r="AU522" s="18"/>
      <c r="AV522" s="17"/>
      <c r="AW522" s="18"/>
      <c r="AX522" s="19"/>
      <c r="AY522" s="17"/>
      <c r="AZ522" s="18"/>
      <c r="BA522" s="19"/>
      <c r="BB522" s="17"/>
      <c r="BC522" s="23"/>
      <c r="BD522" s="24"/>
      <c r="BE522" s="18"/>
      <c r="BF522" s="23"/>
      <c r="BG522" s="23"/>
      <c r="BH522" s="17"/>
      <c r="BI522" s="18"/>
      <c r="BJ522" s="19"/>
      <c r="BK522" s="18"/>
      <c r="BL522" s="18"/>
      <c r="BM522" s="18"/>
      <c r="BN522" s="25"/>
      <c r="BO522" s="23"/>
      <c r="BP522" s="24"/>
      <c r="BQ522" s="18"/>
      <c r="BR522" s="18"/>
      <c r="BS522" s="18"/>
      <c r="BT522" s="17"/>
      <c r="BU522" s="18"/>
      <c r="BV522" s="19"/>
      <c r="BW522" s="17"/>
      <c r="BX522" s="23"/>
      <c r="BY522" s="24"/>
      <c r="BZ522" s="17"/>
      <c r="CA522" s="18"/>
      <c r="CB522" s="19"/>
      <c r="CC522" s="17"/>
      <c r="CD522" s="18"/>
      <c r="CE522" s="19"/>
      <c r="CF522" s="17"/>
      <c r="CG522" s="18"/>
      <c r="CH522" s="19"/>
      <c r="CI522" s="17"/>
      <c r="CJ522" s="18"/>
      <c r="CK522" s="19"/>
      <c r="CL522" s="17"/>
    </row>
    <row r="523" spans="1:95">
      <c r="A523" s="223">
        <v>45809</v>
      </c>
      <c r="B523" s="132" t="s">
        <v>308</v>
      </c>
      <c r="C523" s="18"/>
      <c r="D523" s="18"/>
      <c r="E523" s="18"/>
      <c r="F523" s="17"/>
      <c r="G523" s="18"/>
      <c r="H523" s="19"/>
      <c r="I523" s="18"/>
      <c r="J523" s="18"/>
      <c r="K523" s="18"/>
      <c r="L523" s="17"/>
      <c r="M523" s="18"/>
      <c r="N523" s="19"/>
      <c r="O523" s="18"/>
      <c r="P523" s="18"/>
      <c r="Q523" s="18"/>
      <c r="R523" s="17"/>
      <c r="S523" s="18"/>
      <c r="T523" s="19"/>
      <c r="U523" s="17"/>
      <c r="V523" s="18"/>
      <c r="W523" s="19"/>
      <c r="X523" s="17"/>
      <c r="Y523" s="18"/>
      <c r="Z523" s="19"/>
      <c r="AA523" s="17"/>
      <c r="AB523" s="18"/>
      <c r="AC523" s="19"/>
      <c r="AD523" s="18"/>
      <c r="AE523" s="18"/>
      <c r="AF523" s="18"/>
      <c r="AG523" s="17"/>
      <c r="AH523" s="18"/>
      <c r="AI523" s="19"/>
      <c r="AJ523" s="20"/>
      <c r="AK523" s="21"/>
      <c r="AL523" s="22"/>
      <c r="AM523" s="17"/>
      <c r="AN523" s="18"/>
      <c r="AO523" s="19"/>
      <c r="AP523" s="17"/>
      <c r="AQ523" s="18"/>
      <c r="AR523" s="19"/>
      <c r="AS523" s="18"/>
      <c r="AT523" s="18"/>
      <c r="AU523" s="18"/>
      <c r="AV523" s="17"/>
      <c r="AW523" s="18"/>
      <c r="AX523" s="19"/>
      <c r="AY523" s="17"/>
      <c r="AZ523" s="18"/>
      <c r="BA523" s="19"/>
      <c r="BB523" s="17"/>
      <c r="BC523" s="23"/>
      <c r="BD523" s="24"/>
      <c r="BE523" s="17"/>
      <c r="BF523" s="23"/>
      <c r="BG523" s="24"/>
      <c r="BH523" s="17"/>
      <c r="BI523" s="18"/>
      <c r="BJ523" s="19"/>
      <c r="BK523" s="18"/>
      <c r="BL523" s="18"/>
      <c r="BM523" s="18"/>
      <c r="BN523" s="25"/>
      <c r="BO523" s="23"/>
      <c r="BP523" s="24"/>
      <c r="BQ523" s="18"/>
      <c r="BR523" s="18"/>
      <c r="BS523" s="18"/>
      <c r="BT523" s="17"/>
      <c r="BU523" s="18"/>
      <c r="BV523" s="19"/>
      <c r="BW523" s="17"/>
      <c r="BX523" s="23"/>
      <c r="BY523" s="24"/>
      <c r="BZ523" s="17"/>
      <c r="CA523" s="18"/>
      <c r="CB523" s="19"/>
      <c r="CC523" s="17"/>
      <c r="CD523" s="18"/>
      <c r="CE523" s="19"/>
      <c r="CF523" s="18"/>
      <c r="CG523" s="18"/>
      <c r="CH523" s="18"/>
      <c r="CI523" s="17"/>
      <c r="CJ523" s="18"/>
      <c r="CK523" s="19"/>
      <c r="CL523" s="17"/>
    </row>
    <row r="524" spans="1:95">
      <c r="A524" s="223">
        <v>45810</v>
      </c>
      <c r="B524" s="132" t="s">
        <v>96</v>
      </c>
      <c r="C524" s="17">
        <v>144.63</v>
      </c>
      <c r="D524" s="18">
        <v>142.63</v>
      </c>
      <c r="E524" s="19">
        <v>143.63</v>
      </c>
      <c r="F524" s="17">
        <v>164.86</v>
      </c>
      <c r="G524" s="18">
        <v>161.86000000000001</v>
      </c>
      <c r="H524" s="19">
        <v>163.36000000000001</v>
      </c>
      <c r="I524" s="17">
        <v>106.35</v>
      </c>
      <c r="J524" s="18">
        <v>103.14999999999999</v>
      </c>
      <c r="K524" s="19">
        <v>104.75</v>
      </c>
      <c r="L524" s="18">
        <v>197.76</v>
      </c>
      <c r="M524" s="18">
        <v>189.76</v>
      </c>
      <c r="N524" s="18">
        <v>193.76</v>
      </c>
      <c r="O524" s="17">
        <v>175.78</v>
      </c>
      <c r="P524" s="18">
        <v>173.98</v>
      </c>
      <c r="Q524" s="19">
        <v>174.88</v>
      </c>
      <c r="R524" s="18">
        <v>22.2</v>
      </c>
      <c r="S524" s="18">
        <v>21.599999999999998</v>
      </c>
      <c r="T524" s="18">
        <v>21.9</v>
      </c>
      <c r="U524" s="17">
        <v>14.41</v>
      </c>
      <c r="V524" s="18">
        <v>13.81</v>
      </c>
      <c r="W524" s="19">
        <v>14.11</v>
      </c>
      <c r="X524" s="17">
        <v>15.43</v>
      </c>
      <c r="Y524" s="18">
        <v>14.629999999999999</v>
      </c>
      <c r="Z524" s="19">
        <v>15.03</v>
      </c>
      <c r="AA524" s="17">
        <v>94.74</v>
      </c>
      <c r="AB524" s="18">
        <v>90.74</v>
      </c>
      <c r="AC524" s="19">
        <v>92.74</v>
      </c>
      <c r="AD524" s="17">
        <v>88.12</v>
      </c>
      <c r="AE524" s="18">
        <v>84.12</v>
      </c>
      <c r="AF524" s="19">
        <v>86.12</v>
      </c>
      <c r="AG524" s="18">
        <v>18.739999999999998</v>
      </c>
      <c r="AH524" s="18">
        <v>17.88</v>
      </c>
      <c r="AI524" s="18">
        <v>18.309999999999999</v>
      </c>
      <c r="AJ524" s="20"/>
      <c r="AK524" s="21"/>
      <c r="AL524" s="22"/>
      <c r="AM524" s="18">
        <v>112.3</v>
      </c>
      <c r="AN524" s="18">
        <v>110.64</v>
      </c>
      <c r="AO524" s="18">
        <v>111.47</v>
      </c>
      <c r="AP524" s="17">
        <v>39.17</v>
      </c>
      <c r="AQ524" s="18">
        <v>37.57</v>
      </c>
      <c r="AR524" s="19">
        <v>38.370000000000005</v>
      </c>
      <c r="AS524" s="18">
        <v>39.86</v>
      </c>
      <c r="AT524" s="18">
        <v>38.5</v>
      </c>
      <c r="AU524" s="18">
        <v>39.18</v>
      </c>
      <c r="AV524" s="17">
        <v>20.23</v>
      </c>
      <c r="AW524" s="18">
        <v>19.63</v>
      </c>
      <c r="AX524" s="19">
        <v>19.93</v>
      </c>
      <c r="AY524" s="17">
        <v>4.46</v>
      </c>
      <c r="AZ524" s="18">
        <v>4.3</v>
      </c>
      <c r="BA524" s="19">
        <v>4.38</v>
      </c>
      <c r="BB524" s="17">
        <v>1.84</v>
      </c>
      <c r="BC524" s="23">
        <v>1.54</v>
      </c>
      <c r="BD524" s="24">
        <v>1.69</v>
      </c>
      <c r="BE524" s="18">
        <v>0.66</v>
      </c>
      <c r="BF524" s="23">
        <v>0.36000000000000004</v>
      </c>
      <c r="BG524" s="23">
        <v>0.51</v>
      </c>
      <c r="BH524" s="17">
        <v>478.46</v>
      </c>
      <c r="BI524" s="18">
        <v>462.46</v>
      </c>
      <c r="BJ524" s="19">
        <v>470.46</v>
      </c>
      <c r="BK524" s="18">
        <v>40.200000000000003</v>
      </c>
      <c r="BL524" s="18">
        <v>38.840000000000003</v>
      </c>
      <c r="BM524" s="18">
        <v>39.520000000000003</v>
      </c>
      <c r="BN524" s="25">
        <v>1</v>
      </c>
      <c r="BO524" s="23">
        <v>0.76</v>
      </c>
      <c r="BP524" s="24">
        <v>0.88</v>
      </c>
      <c r="BQ524" s="18">
        <v>8.4</v>
      </c>
      <c r="BR524" s="18">
        <v>6.4</v>
      </c>
      <c r="BS524" s="18">
        <v>7.4</v>
      </c>
      <c r="BT524" s="17">
        <v>10.64</v>
      </c>
      <c r="BU524" s="18">
        <v>10.24</v>
      </c>
      <c r="BV524" s="19">
        <v>10.440000000000001</v>
      </c>
      <c r="BW524" s="17">
        <v>2.74</v>
      </c>
      <c r="BX524" s="23">
        <v>2.46</v>
      </c>
      <c r="BY524" s="24">
        <v>2.6</v>
      </c>
      <c r="BZ524" s="17">
        <v>9.5</v>
      </c>
      <c r="CA524" s="18">
        <v>6.5</v>
      </c>
      <c r="CB524" s="19">
        <v>8</v>
      </c>
      <c r="CC524" s="17">
        <v>6.68</v>
      </c>
      <c r="CD524" s="18">
        <v>6.4399999999999995</v>
      </c>
      <c r="CE524" s="19">
        <v>6.56</v>
      </c>
      <c r="CF524" s="17">
        <v>2.11</v>
      </c>
      <c r="CG524" s="18">
        <v>1.6099999999999999</v>
      </c>
      <c r="CH524" s="19">
        <v>1.8599999999999999</v>
      </c>
      <c r="CI524" s="17">
        <v>0.42</v>
      </c>
      <c r="CJ524" s="18">
        <v>0.38</v>
      </c>
      <c r="CK524" s="19">
        <v>0.4</v>
      </c>
      <c r="CL524" s="17">
        <v>39.630000000000003</v>
      </c>
      <c r="CM524">
        <v>37.230000000000004</v>
      </c>
      <c r="CN524">
        <v>38.430000000000007</v>
      </c>
      <c r="CO524">
        <v>6.16</v>
      </c>
      <c r="CP524">
        <v>1.1600000000000001</v>
      </c>
      <c r="CQ524">
        <v>3.66</v>
      </c>
    </row>
    <row r="525" spans="1:95">
      <c r="A525" s="223">
        <v>45811</v>
      </c>
      <c r="B525" s="132" t="s">
        <v>97</v>
      </c>
      <c r="C525" s="17">
        <v>143.83000000000001</v>
      </c>
      <c r="D525" s="18">
        <v>141.83000000000001</v>
      </c>
      <c r="E525" s="19">
        <v>142.83000000000001</v>
      </c>
      <c r="F525" s="17">
        <v>164.88</v>
      </c>
      <c r="G525" s="18">
        <v>161.88</v>
      </c>
      <c r="H525" s="19">
        <v>163.38</v>
      </c>
      <c r="I525" s="17">
        <v>105.7</v>
      </c>
      <c r="J525" s="18">
        <v>102.5</v>
      </c>
      <c r="K525" s="19">
        <v>104.1</v>
      </c>
      <c r="L525" s="18">
        <v>197.51</v>
      </c>
      <c r="M525" s="18">
        <v>189.51</v>
      </c>
      <c r="N525" s="18">
        <v>193.51</v>
      </c>
      <c r="O525" s="17">
        <v>175.7</v>
      </c>
      <c r="P525" s="18">
        <v>173.89999999999998</v>
      </c>
      <c r="Q525" s="19">
        <v>174.79999999999998</v>
      </c>
      <c r="R525" s="18">
        <v>22.2</v>
      </c>
      <c r="S525" s="18">
        <v>21.599999999999998</v>
      </c>
      <c r="T525" s="18">
        <v>21.9</v>
      </c>
      <c r="U525" s="17">
        <v>14.48</v>
      </c>
      <c r="V525" s="18">
        <v>13.88</v>
      </c>
      <c r="W525" s="19">
        <v>14.18</v>
      </c>
      <c r="X525" s="17">
        <v>15.39</v>
      </c>
      <c r="Y525" s="18">
        <v>14.59</v>
      </c>
      <c r="Z525" s="19">
        <v>14.99</v>
      </c>
      <c r="AA525" s="17">
        <v>94.73</v>
      </c>
      <c r="AB525" s="18">
        <v>90.73</v>
      </c>
      <c r="AC525" s="19">
        <v>92.73</v>
      </c>
      <c r="AD525" s="17">
        <v>88.43</v>
      </c>
      <c r="AE525" s="18">
        <v>84.43</v>
      </c>
      <c r="AF525" s="19">
        <v>86.43</v>
      </c>
      <c r="AG525" s="18">
        <v>18.63</v>
      </c>
      <c r="AH525" s="18">
        <v>17.77</v>
      </c>
      <c r="AI525" s="18">
        <v>18.2</v>
      </c>
      <c r="AJ525" s="20"/>
      <c r="AK525" s="21"/>
      <c r="AL525" s="22"/>
      <c r="AM525" s="18">
        <v>111.96</v>
      </c>
      <c r="AN525" s="18">
        <v>110.3</v>
      </c>
      <c r="AO525" s="18">
        <v>111.13</v>
      </c>
      <c r="AP525" s="17">
        <v>38.96</v>
      </c>
      <c r="AQ525" s="18">
        <v>37.36</v>
      </c>
      <c r="AR525" s="19">
        <v>38.159999999999997</v>
      </c>
      <c r="AS525" s="18">
        <v>39.64</v>
      </c>
      <c r="AT525" s="18">
        <v>38.28</v>
      </c>
      <c r="AU525" s="18">
        <v>38.96</v>
      </c>
      <c r="AV525" s="17">
        <v>20.12</v>
      </c>
      <c r="AW525" s="18">
        <v>19.52</v>
      </c>
      <c r="AX525" s="19">
        <v>19.82</v>
      </c>
      <c r="AY525" s="17">
        <v>4.46</v>
      </c>
      <c r="AZ525" s="18">
        <v>4.3</v>
      </c>
      <c r="BA525" s="19">
        <v>4.38</v>
      </c>
      <c r="BB525" s="17">
        <v>1.83</v>
      </c>
      <c r="BC525" s="23">
        <v>1.53</v>
      </c>
      <c r="BD525" s="24">
        <v>1.6800000000000002</v>
      </c>
      <c r="BE525" s="18">
        <v>0.66</v>
      </c>
      <c r="BF525" s="23">
        <v>0.36000000000000004</v>
      </c>
      <c r="BG525" s="23">
        <v>0.51</v>
      </c>
      <c r="BH525" s="17">
        <v>476.45</v>
      </c>
      <c r="BI525" s="18">
        <v>460.45</v>
      </c>
      <c r="BJ525" s="19">
        <v>468.45</v>
      </c>
      <c r="BK525" s="18">
        <v>39.99</v>
      </c>
      <c r="BL525" s="18">
        <v>38.630000000000003</v>
      </c>
      <c r="BM525" s="18">
        <v>39.31</v>
      </c>
      <c r="BN525" s="25">
        <v>1</v>
      </c>
      <c r="BO525" s="23">
        <v>0.76</v>
      </c>
      <c r="BP525" s="24">
        <v>0.88</v>
      </c>
      <c r="BQ525" s="18">
        <v>8.44</v>
      </c>
      <c r="BR525" s="18">
        <v>6.4399999999999995</v>
      </c>
      <c r="BS525" s="18">
        <v>7.4399999999999995</v>
      </c>
      <c r="BT525" s="17">
        <v>10.59</v>
      </c>
      <c r="BU525" s="18">
        <v>10.19</v>
      </c>
      <c r="BV525" s="19">
        <v>10.39</v>
      </c>
      <c r="BW525" s="17">
        <v>2.73</v>
      </c>
      <c r="BX525" s="23">
        <v>2.4500000000000002</v>
      </c>
      <c r="BY525" s="24">
        <v>2.59</v>
      </c>
      <c r="BZ525" s="17">
        <v>9.5</v>
      </c>
      <c r="CA525" s="18">
        <v>6.5</v>
      </c>
      <c r="CB525" s="19">
        <v>8</v>
      </c>
      <c r="CC525" s="17">
        <v>6.69</v>
      </c>
      <c r="CD525" s="18">
        <v>6.45</v>
      </c>
      <c r="CE525" s="19">
        <v>6.57</v>
      </c>
      <c r="CF525" s="17">
        <v>2.06</v>
      </c>
      <c r="CG525" s="18">
        <v>1.56</v>
      </c>
      <c r="CH525" s="19">
        <v>1.81</v>
      </c>
      <c r="CI525" s="17">
        <v>0.43</v>
      </c>
      <c r="CJ525" s="18">
        <v>0.39</v>
      </c>
      <c r="CK525" s="19">
        <v>0.41000000000000003</v>
      </c>
      <c r="CL525" s="17">
        <v>39.61</v>
      </c>
      <c r="CM525">
        <v>37.21</v>
      </c>
      <c r="CN525">
        <v>38.409999999999997</v>
      </c>
      <c r="CO525">
        <v>6.15</v>
      </c>
      <c r="CP525">
        <v>1.1500000000000004</v>
      </c>
      <c r="CQ525">
        <v>3.6500000000000004</v>
      </c>
    </row>
    <row r="526" spans="1:95">
      <c r="A526" s="223">
        <v>45812</v>
      </c>
      <c r="B526" s="132" t="s">
        <v>98</v>
      </c>
      <c r="C526" s="17">
        <v>145</v>
      </c>
      <c r="D526" s="18">
        <v>143</v>
      </c>
      <c r="E526" s="19">
        <v>144</v>
      </c>
      <c r="F526" s="17">
        <v>165.4</v>
      </c>
      <c r="G526" s="18">
        <v>162.4</v>
      </c>
      <c r="H526" s="19">
        <v>163.9</v>
      </c>
      <c r="I526" s="17">
        <v>106.62</v>
      </c>
      <c r="J526" s="18">
        <v>103.42</v>
      </c>
      <c r="K526" s="19">
        <v>105.02000000000001</v>
      </c>
      <c r="L526" s="18">
        <v>198.83</v>
      </c>
      <c r="M526" s="18">
        <v>190.83</v>
      </c>
      <c r="N526" s="18">
        <v>194.83</v>
      </c>
      <c r="O526" s="17">
        <v>175.83</v>
      </c>
      <c r="P526" s="18">
        <v>174.03</v>
      </c>
      <c r="Q526" s="19">
        <v>174.93</v>
      </c>
      <c r="R526" s="18">
        <v>22.26</v>
      </c>
      <c r="S526" s="18">
        <v>21.66</v>
      </c>
      <c r="T526" s="18">
        <v>21.96</v>
      </c>
      <c r="U526" s="17">
        <v>14.5</v>
      </c>
      <c r="V526" s="18">
        <v>13.9</v>
      </c>
      <c r="W526" s="19">
        <v>14.2</v>
      </c>
      <c r="X526" s="17">
        <v>15.38</v>
      </c>
      <c r="Y526" s="18">
        <v>14.58</v>
      </c>
      <c r="Z526" s="19">
        <v>14.98</v>
      </c>
      <c r="AA526" s="17">
        <v>95.1</v>
      </c>
      <c r="AB526" s="18">
        <v>91.1</v>
      </c>
      <c r="AC526" s="19">
        <v>93.1</v>
      </c>
      <c r="AD526" s="17">
        <v>88.46</v>
      </c>
      <c r="AE526" s="18">
        <v>84.46</v>
      </c>
      <c r="AF526" s="19">
        <v>86.46</v>
      </c>
      <c r="AG526" s="18">
        <v>18.78</v>
      </c>
      <c r="AH526" s="18">
        <v>17.920000000000002</v>
      </c>
      <c r="AI526" s="18">
        <v>18.350000000000001</v>
      </c>
      <c r="AJ526" s="20"/>
      <c r="AK526" s="21"/>
      <c r="AL526" s="22"/>
      <c r="AM526" s="18">
        <v>112.52</v>
      </c>
      <c r="AN526" s="18">
        <v>110.86</v>
      </c>
      <c r="AO526" s="18">
        <v>111.69</v>
      </c>
      <c r="AP526" s="17">
        <v>39.14</v>
      </c>
      <c r="AQ526" s="18">
        <v>37.54</v>
      </c>
      <c r="AR526" s="19">
        <v>38.340000000000003</v>
      </c>
      <c r="AS526" s="18">
        <v>39.96</v>
      </c>
      <c r="AT526" s="18">
        <v>38.6</v>
      </c>
      <c r="AU526" s="18">
        <v>39.28</v>
      </c>
      <c r="AV526" s="17">
        <v>20.32</v>
      </c>
      <c r="AW526" s="18">
        <v>19.72</v>
      </c>
      <c r="AX526" s="19">
        <v>20.02</v>
      </c>
      <c r="AY526" s="17">
        <v>4.5</v>
      </c>
      <c r="AZ526" s="18">
        <v>4.34</v>
      </c>
      <c r="BA526" s="19">
        <v>4.42</v>
      </c>
      <c r="BB526" s="17">
        <v>1.84</v>
      </c>
      <c r="BC526" s="23">
        <v>1.54</v>
      </c>
      <c r="BD526" s="24">
        <v>1.69</v>
      </c>
      <c r="BE526" s="18">
        <v>0.66</v>
      </c>
      <c r="BF526" s="23">
        <v>0.36000000000000004</v>
      </c>
      <c r="BG526" s="23">
        <v>0.51</v>
      </c>
      <c r="BH526" s="17">
        <v>479.98</v>
      </c>
      <c r="BI526" s="18">
        <v>463.98</v>
      </c>
      <c r="BJ526" s="19">
        <v>471.98</v>
      </c>
      <c r="BK526" s="18">
        <v>40.31</v>
      </c>
      <c r="BL526" s="18">
        <v>38.950000000000003</v>
      </c>
      <c r="BM526" s="18">
        <v>39.630000000000003</v>
      </c>
      <c r="BN526" s="25">
        <v>1.01</v>
      </c>
      <c r="BO526" s="23">
        <v>0.77</v>
      </c>
      <c r="BP526" s="24">
        <v>0.89</v>
      </c>
      <c r="BQ526" s="18">
        <v>8.49</v>
      </c>
      <c r="BR526" s="18">
        <v>6.49</v>
      </c>
      <c r="BS526" s="18">
        <v>7.49</v>
      </c>
      <c r="BT526" s="17">
        <v>10.7</v>
      </c>
      <c r="BU526" s="18">
        <v>10.299999999999999</v>
      </c>
      <c r="BV526" s="19">
        <v>10.5</v>
      </c>
      <c r="BW526" s="17">
        <v>2.75</v>
      </c>
      <c r="BX526" s="23">
        <v>2.4699999999999998</v>
      </c>
      <c r="BY526" s="24">
        <v>2.61</v>
      </c>
      <c r="BZ526" s="17">
        <v>9.56</v>
      </c>
      <c r="CA526" s="18">
        <v>6.5600000000000005</v>
      </c>
      <c r="CB526" s="19">
        <v>8.06</v>
      </c>
      <c r="CC526" s="17">
        <v>6.71</v>
      </c>
      <c r="CD526" s="18">
        <v>6.47</v>
      </c>
      <c r="CE526" s="19">
        <v>6.59</v>
      </c>
      <c r="CF526" s="17">
        <v>2.08</v>
      </c>
      <c r="CG526" s="18">
        <v>1.58</v>
      </c>
      <c r="CH526" s="19">
        <v>1.83</v>
      </c>
      <c r="CI526" s="17">
        <v>0.43</v>
      </c>
      <c r="CJ526" s="18">
        <v>0.39</v>
      </c>
      <c r="CK526" s="19">
        <v>0.41000000000000003</v>
      </c>
      <c r="CL526" s="17">
        <v>39.57</v>
      </c>
      <c r="CM526">
        <v>37.17</v>
      </c>
      <c r="CN526">
        <v>38.370000000000005</v>
      </c>
      <c r="CO526">
        <v>6.19</v>
      </c>
      <c r="CP526">
        <v>1.1900000000000004</v>
      </c>
      <c r="CQ526">
        <v>3.6900000000000004</v>
      </c>
    </row>
    <row r="527" spans="1:95">
      <c r="A527" s="223">
        <v>45813</v>
      </c>
      <c r="B527" s="132" t="s">
        <v>99</v>
      </c>
      <c r="C527" s="18">
        <v>143.72999999999999</v>
      </c>
      <c r="D527" s="18">
        <v>141.72999999999999</v>
      </c>
      <c r="E527" s="18">
        <v>142.72999999999999</v>
      </c>
      <c r="F527" s="17">
        <v>164.6</v>
      </c>
      <c r="G527" s="18">
        <v>161.6</v>
      </c>
      <c r="H527" s="19">
        <v>163.1</v>
      </c>
      <c r="I527" s="18">
        <v>106</v>
      </c>
      <c r="J527" s="18">
        <v>102.8</v>
      </c>
      <c r="K527" s="18">
        <v>104.4</v>
      </c>
      <c r="L527" s="17">
        <v>197.48</v>
      </c>
      <c r="M527" s="18">
        <v>189.48</v>
      </c>
      <c r="N527" s="19">
        <v>193.48</v>
      </c>
      <c r="O527" s="18">
        <v>175.37</v>
      </c>
      <c r="P527" s="18">
        <v>173.57</v>
      </c>
      <c r="Q527" s="18">
        <v>174.47</v>
      </c>
      <c r="R527" s="17">
        <v>22.16</v>
      </c>
      <c r="S527" s="18">
        <v>21.56</v>
      </c>
      <c r="T527" s="19">
        <v>21.86</v>
      </c>
      <c r="U527" s="17">
        <v>14.43</v>
      </c>
      <c r="V527" s="18">
        <v>13.83</v>
      </c>
      <c r="W527" s="19">
        <v>14.129999999999999</v>
      </c>
      <c r="X527" s="17">
        <v>15.3</v>
      </c>
      <c r="Y527" s="18">
        <v>14.5</v>
      </c>
      <c r="Z527" s="19">
        <v>14.9</v>
      </c>
      <c r="AA527" s="17">
        <v>94.8</v>
      </c>
      <c r="AB527" s="18">
        <v>90.8</v>
      </c>
      <c r="AC527" s="19">
        <v>92.8</v>
      </c>
      <c r="AD527" s="18">
        <v>88.18</v>
      </c>
      <c r="AE527" s="18">
        <v>84.18</v>
      </c>
      <c r="AF527" s="18">
        <v>86.18</v>
      </c>
      <c r="AG527" s="17">
        <v>18.62</v>
      </c>
      <c r="AH527" s="18">
        <v>17.760000000000002</v>
      </c>
      <c r="AI527" s="19">
        <v>18.190000000000001</v>
      </c>
      <c r="AJ527" s="20"/>
      <c r="AK527" s="21"/>
      <c r="AL527" s="22"/>
      <c r="AM527" s="17">
        <v>111.86</v>
      </c>
      <c r="AN527" s="18">
        <v>110.2</v>
      </c>
      <c r="AO527" s="19">
        <v>111.03</v>
      </c>
      <c r="AP527" s="17">
        <v>38.94</v>
      </c>
      <c r="AQ527" s="18">
        <v>37.339999999999996</v>
      </c>
      <c r="AR527" s="19">
        <v>38.14</v>
      </c>
      <c r="AS527" s="18">
        <v>39.61</v>
      </c>
      <c r="AT527" s="18">
        <v>38.25</v>
      </c>
      <c r="AU527" s="18">
        <v>38.93</v>
      </c>
      <c r="AV527" s="17">
        <v>20.190000000000001</v>
      </c>
      <c r="AW527" s="18">
        <v>19.59</v>
      </c>
      <c r="AX527" s="19">
        <v>19.89</v>
      </c>
      <c r="AY527" s="17">
        <v>4.47</v>
      </c>
      <c r="AZ527" s="18">
        <v>4.3099999999999996</v>
      </c>
      <c r="BA527" s="19">
        <v>4.3899999999999997</v>
      </c>
      <c r="BB527" s="17">
        <v>1.82</v>
      </c>
      <c r="BC527" s="23">
        <v>1.52</v>
      </c>
      <c r="BD527" s="24">
        <v>1.67</v>
      </c>
      <c r="BE527" s="17">
        <v>0.66</v>
      </c>
      <c r="BF527" s="23">
        <v>0.36000000000000004</v>
      </c>
      <c r="BG527" s="24">
        <v>0.51</v>
      </c>
      <c r="BH527" s="17">
        <v>476.43</v>
      </c>
      <c r="BI527" s="18">
        <v>460.43</v>
      </c>
      <c r="BJ527" s="19">
        <v>468.43</v>
      </c>
      <c r="BK527" s="18">
        <v>39.96</v>
      </c>
      <c r="BL527" s="18">
        <v>38.6</v>
      </c>
      <c r="BM527" s="18">
        <v>39.28</v>
      </c>
      <c r="BN527" s="25">
        <v>1</v>
      </c>
      <c r="BO527" s="23">
        <v>0.76</v>
      </c>
      <c r="BP527" s="24">
        <v>0.88</v>
      </c>
      <c r="BQ527" s="18">
        <v>8.44</v>
      </c>
      <c r="BR527" s="18">
        <v>6.4399999999999995</v>
      </c>
      <c r="BS527" s="18">
        <v>7.4399999999999995</v>
      </c>
      <c r="BT527" s="17">
        <v>10.74</v>
      </c>
      <c r="BU527" s="18">
        <v>10.34</v>
      </c>
      <c r="BV527" s="19">
        <v>10.54</v>
      </c>
      <c r="BW527" s="17">
        <v>2.73</v>
      </c>
      <c r="BX527" s="23">
        <v>2.4500000000000002</v>
      </c>
      <c r="BY527" s="24">
        <v>2.59</v>
      </c>
      <c r="BZ527" s="17">
        <v>9.52</v>
      </c>
      <c r="CA527" s="18">
        <v>6.52</v>
      </c>
      <c r="CB527" s="19">
        <v>8.02</v>
      </c>
      <c r="CC527" s="17">
        <v>6.69</v>
      </c>
      <c r="CD527" s="18">
        <v>6.45</v>
      </c>
      <c r="CE527" s="19">
        <v>6.57</v>
      </c>
      <c r="CF527" s="18">
        <v>2.0499999999999998</v>
      </c>
      <c r="CG527" s="18">
        <v>1.5499999999999998</v>
      </c>
      <c r="CH527" s="18">
        <v>1.7999999999999998</v>
      </c>
      <c r="CI527" s="17">
        <v>0.42</v>
      </c>
      <c r="CJ527" s="18">
        <v>0.38</v>
      </c>
      <c r="CK527" s="19">
        <v>0.4</v>
      </c>
      <c r="CL527" s="17">
        <v>39.31</v>
      </c>
      <c r="CM527">
        <v>36.910000000000004</v>
      </c>
      <c r="CN527">
        <v>38.11</v>
      </c>
      <c r="CO527">
        <v>6.15</v>
      </c>
      <c r="CP527">
        <v>1.1500000000000004</v>
      </c>
      <c r="CQ527">
        <v>3.6500000000000004</v>
      </c>
    </row>
    <row r="528" spans="1:95">
      <c r="A528" s="223">
        <v>45814</v>
      </c>
      <c r="B528" s="132" t="s">
        <v>100</v>
      </c>
      <c r="C528" s="17">
        <v>144.76</v>
      </c>
      <c r="D528" s="18">
        <v>142.76</v>
      </c>
      <c r="E528" s="19">
        <v>143.76</v>
      </c>
      <c r="F528" s="17">
        <v>166.15</v>
      </c>
      <c r="G528" s="18">
        <v>163.15</v>
      </c>
      <c r="H528" s="19">
        <v>164.65</v>
      </c>
      <c r="I528" s="17">
        <v>106.82</v>
      </c>
      <c r="J528" s="18">
        <v>103.61999999999999</v>
      </c>
      <c r="K528" s="19">
        <v>105.22</v>
      </c>
      <c r="L528" s="18">
        <v>199.28</v>
      </c>
      <c r="M528" s="18">
        <v>191.28</v>
      </c>
      <c r="N528" s="18">
        <v>195.28</v>
      </c>
      <c r="O528" s="17">
        <v>176.15</v>
      </c>
      <c r="P528" s="18">
        <v>174.35</v>
      </c>
      <c r="Q528" s="19">
        <v>175.25</v>
      </c>
      <c r="R528" s="18">
        <v>22.37</v>
      </c>
      <c r="S528" s="18">
        <v>21.77</v>
      </c>
      <c r="T528" s="18">
        <v>22.07</v>
      </c>
      <c r="U528" s="17">
        <v>14.58</v>
      </c>
      <c r="V528" s="18">
        <v>13.98</v>
      </c>
      <c r="W528" s="19">
        <v>14.280000000000001</v>
      </c>
      <c r="X528" s="17">
        <v>15.43</v>
      </c>
      <c r="Y528" s="18">
        <v>14.629999999999999</v>
      </c>
      <c r="Z528" s="19">
        <v>15.03</v>
      </c>
      <c r="AA528" s="17">
        <v>95.62</v>
      </c>
      <c r="AB528" s="18">
        <v>91.62</v>
      </c>
      <c r="AC528" s="19">
        <v>93.62</v>
      </c>
      <c r="AD528" s="17">
        <v>88.93</v>
      </c>
      <c r="AE528" s="18">
        <v>84.93</v>
      </c>
      <c r="AF528" s="19">
        <v>86.93</v>
      </c>
      <c r="AG528" s="18">
        <v>18.75</v>
      </c>
      <c r="AH528" s="18">
        <v>17.89</v>
      </c>
      <c r="AI528" s="18">
        <v>18.32</v>
      </c>
      <c r="AJ528" s="20"/>
      <c r="AK528" s="21"/>
      <c r="AL528" s="22"/>
      <c r="AM528" s="18">
        <v>112.66</v>
      </c>
      <c r="AN528" s="18">
        <v>111</v>
      </c>
      <c r="AO528" s="18">
        <v>111.83</v>
      </c>
      <c r="AP528" s="17">
        <v>39.22</v>
      </c>
      <c r="AQ528" s="18">
        <v>37.619999999999997</v>
      </c>
      <c r="AR528" s="19">
        <v>38.42</v>
      </c>
      <c r="AS528" s="18">
        <v>39.89</v>
      </c>
      <c r="AT528" s="18">
        <v>38.53</v>
      </c>
      <c r="AU528" s="18">
        <v>39.21</v>
      </c>
      <c r="AV528" s="17">
        <v>20.329999999999998</v>
      </c>
      <c r="AW528" s="18">
        <v>19.729999999999997</v>
      </c>
      <c r="AX528" s="19">
        <v>20.029999999999998</v>
      </c>
      <c r="AY528" s="17">
        <v>4.4800000000000004</v>
      </c>
      <c r="AZ528" s="18">
        <v>4.32</v>
      </c>
      <c r="BA528" s="19">
        <v>4.4000000000000004</v>
      </c>
      <c r="BB528" s="17">
        <v>1.84</v>
      </c>
      <c r="BC528" s="23">
        <v>1.54</v>
      </c>
      <c r="BD528" s="24">
        <v>1.69</v>
      </c>
      <c r="BE528" s="18">
        <v>0.66</v>
      </c>
      <c r="BF528" s="23">
        <v>0.36000000000000004</v>
      </c>
      <c r="BG528" s="23">
        <v>0.51</v>
      </c>
      <c r="BH528" s="17">
        <v>479.19</v>
      </c>
      <c r="BI528" s="18">
        <v>463.19</v>
      </c>
      <c r="BJ528" s="19">
        <v>471.19</v>
      </c>
      <c r="BK528" s="18">
        <v>40.25</v>
      </c>
      <c r="BL528" s="18">
        <v>38.89</v>
      </c>
      <c r="BM528" s="18">
        <v>39.57</v>
      </c>
      <c r="BN528" s="25">
        <v>1.01</v>
      </c>
      <c r="BO528" s="23">
        <v>0.77</v>
      </c>
      <c r="BP528" s="24">
        <v>0.89</v>
      </c>
      <c r="BQ528" s="18">
        <v>8.51</v>
      </c>
      <c r="BR528" s="18">
        <v>6.51</v>
      </c>
      <c r="BS528" s="18">
        <v>7.51</v>
      </c>
      <c r="BT528" s="17">
        <v>10.83</v>
      </c>
      <c r="BU528" s="18">
        <v>10.43</v>
      </c>
      <c r="BV528" s="19">
        <v>10.629999999999999</v>
      </c>
      <c r="BW528" s="17">
        <v>2.75</v>
      </c>
      <c r="BX528" s="23">
        <v>2.4699999999999998</v>
      </c>
      <c r="BY528" s="24">
        <v>2.61</v>
      </c>
      <c r="BZ528" s="17">
        <v>9.6199999999999992</v>
      </c>
      <c r="CA528" s="18">
        <v>6.6199999999999992</v>
      </c>
      <c r="CB528" s="19">
        <v>8.1199999999999992</v>
      </c>
      <c r="CC528" s="17">
        <v>6.76</v>
      </c>
      <c r="CD528" s="18">
        <v>6.52</v>
      </c>
      <c r="CE528" s="19">
        <v>6.64</v>
      </c>
      <c r="CF528" s="17">
        <v>2.12</v>
      </c>
      <c r="CG528" s="18">
        <v>1.62</v>
      </c>
      <c r="CH528" s="19">
        <v>1.87</v>
      </c>
      <c r="CI528" s="17">
        <v>0.43</v>
      </c>
      <c r="CJ528" s="18">
        <v>0.39</v>
      </c>
      <c r="CK528" s="19">
        <v>0.41000000000000003</v>
      </c>
      <c r="CL528" s="17">
        <v>39.659999999999997</v>
      </c>
      <c r="CM528">
        <v>37.26</v>
      </c>
      <c r="CN528">
        <v>38.459999999999994</v>
      </c>
      <c r="CO528">
        <v>6.18</v>
      </c>
      <c r="CP528">
        <v>1.1799999999999997</v>
      </c>
      <c r="CQ528">
        <v>3.6799999999999997</v>
      </c>
    </row>
    <row r="529" spans="1:95">
      <c r="A529" s="223">
        <v>45815</v>
      </c>
      <c r="B529" s="132" t="s">
        <v>307</v>
      </c>
      <c r="C529" s="17"/>
      <c r="D529" s="18"/>
      <c r="E529" s="19"/>
      <c r="F529" s="17"/>
      <c r="G529" s="18"/>
      <c r="H529" s="19"/>
      <c r="I529" s="17"/>
      <c r="J529" s="18"/>
      <c r="K529" s="19"/>
      <c r="L529" s="18"/>
      <c r="M529" s="18"/>
      <c r="N529" s="18"/>
      <c r="O529" s="17"/>
      <c r="P529" s="18"/>
      <c r="Q529" s="19"/>
      <c r="R529" s="18"/>
      <c r="S529" s="18"/>
      <c r="T529" s="18"/>
      <c r="U529" s="17"/>
      <c r="V529" s="18"/>
      <c r="W529" s="19"/>
      <c r="X529" s="17"/>
      <c r="Y529" s="18"/>
      <c r="Z529" s="19"/>
      <c r="AA529" s="17"/>
      <c r="AB529" s="18"/>
      <c r="AC529" s="19"/>
      <c r="AD529" s="17"/>
      <c r="AE529" s="18"/>
      <c r="AF529" s="19"/>
      <c r="AG529" s="18"/>
      <c r="AH529" s="18"/>
      <c r="AI529" s="18"/>
      <c r="AJ529" s="20"/>
      <c r="AK529" s="21"/>
      <c r="AL529" s="22"/>
      <c r="AM529" s="18"/>
      <c r="AN529" s="18"/>
      <c r="AO529" s="18"/>
      <c r="AP529" s="17"/>
      <c r="AQ529" s="18"/>
      <c r="AR529" s="19"/>
      <c r="AS529" s="18"/>
      <c r="AT529" s="18"/>
      <c r="AU529" s="18"/>
      <c r="AV529" s="17"/>
      <c r="AW529" s="18"/>
      <c r="AX529" s="19"/>
      <c r="AY529" s="17"/>
      <c r="AZ529" s="18"/>
      <c r="BA529" s="19"/>
      <c r="BB529" s="17"/>
      <c r="BC529" s="23"/>
      <c r="BD529" s="24"/>
      <c r="BE529" s="18"/>
      <c r="BF529" s="23"/>
      <c r="BG529" s="23"/>
      <c r="BH529" s="17"/>
      <c r="BI529" s="18"/>
      <c r="BJ529" s="19"/>
      <c r="BK529" s="18"/>
      <c r="BL529" s="18"/>
      <c r="BM529" s="18"/>
      <c r="BN529" s="25"/>
      <c r="BO529" s="23"/>
      <c r="BP529" s="24"/>
      <c r="BQ529" s="18"/>
      <c r="BR529" s="18"/>
      <c r="BS529" s="18"/>
      <c r="BT529" s="17"/>
      <c r="BU529" s="18"/>
      <c r="BV529" s="19"/>
      <c r="BW529" s="17"/>
      <c r="BX529" s="23"/>
      <c r="BY529" s="24"/>
      <c r="BZ529" s="17"/>
      <c r="CA529" s="18"/>
      <c r="CB529" s="19"/>
      <c r="CC529" s="17"/>
      <c r="CD529" s="18"/>
      <c r="CE529" s="19"/>
      <c r="CF529" s="17"/>
      <c r="CG529" s="18"/>
      <c r="CH529" s="19"/>
      <c r="CI529" s="17"/>
      <c r="CJ529" s="18"/>
      <c r="CK529" s="19"/>
      <c r="CL529" s="17"/>
    </row>
    <row r="530" spans="1:95">
      <c r="A530" s="223">
        <v>45816</v>
      </c>
      <c r="B530" s="132" t="s">
        <v>308</v>
      </c>
      <c r="C530" s="17"/>
      <c r="D530" s="18"/>
      <c r="E530" s="19"/>
      <c r="F530" s="17"/>
      <c r="G530" s="18"/>
      <c r="H530" s="19"/>
      <c r="I530" s="17"/>
      <c r="J530" s="18"/>
      <c r="K530" s="19"/>
      <c r="L530" s="18"/>
      <c r="M530" s="18"/>
      <c r="N530" s="18"/>
      <c r="O530" s="17"/>
      <c r="P530" s="18"/>
      <c r="Q530" s="19"/>
      <c r="R530" s="18"/>
      <c r="S530" s="18"/>
      <c r="T530" s="18"/>
      <c r="U530" s="17"/>
      <c r="V530" s="18"/>
      <c r="W530" s="19"/>
      <c r="X530" s="17"/>
      <c r="Y530" s="18"/>
      <c r="Z530" s="19"/>
      <c r="AA530" s="17"/>
      <c r="AB530" s="18"/>
      <c r="AC530" s="19"/>
      <c r="AD530" s="17"/>
      <c r="AE530" s="18"/>
      <c r="AF530" s="19"/>
      <c r="AG530" s="18"/>
      <c r="AH530" s="18"/>
      <c r="AI530" s="18"/>
      <c r="AJ530" s="20"/>
      <c r="AK530" s="21"/>
      <c r="AL530" s="22"/>
      <c r="AM530" s="18"/>
      <c r="AN530" s="18"/>
      <c r="AO530" s="18"/>
      <c r="AP530" s="17"/>
      <c r="AQ530" s="18"/>
      <c r="AR530" s="19"/>
      <c r="AS530" s="18"/>
      <c r="AT530" s="18"/>
      <c r="AU530" s="18"/>
      <c r="AV530" s="17"/>
      <c r="AW530" s="18"/>
      <c r="AX530" s="19"/>
      <c r="AY530" s="17"/>
      <c r="AZ530" s="18"/>
      <c r="BA530" s="19"/>
      <c r="BB530" s="17"/>
      <c r="BC530" s="23"/>
      <c r="BD530" s="24"/>
      <c r="BE530" s="18"/>
      <c r="BF530" s="23"/>
      <c r="BG530" s="23"/>
      <c r="BH530" s="17"/>
      <c r="BI530" s="18"/>
      <c r="BJ530" s="19"/>
      <c r="BK530" s="18"/>
      <c r="BL530" s="18"/>
      <c r="BM530" s="18"/>
      <c r="BN530" s="25"/>
      <c r="BO530" s="23"/>
      <c r="BP530" s="24"/>
      <c r="BQ530" s="18"/>
      <c r="BR530" s="18"/>
      <c r="BS530" s="18"/>
      <c r="BT530" s="17"/>
      <c r="BU530" s="18"/>
      <c r="BV530" s="19"/>
      <c r="BW530" s="17"/>
      <c r="BX530" s="23"/>
      <c r="BY530" s="24"/>
      <c r="BZ530" s="17"/>
      <c r="CA530" s="18"/>
      <c r="CB530" s="19"/>
      <c r="CC530" s="17"/>
      <c r="CD530" s="18"/>
      <c r="CE530" s="19"/>
      <c r="CF530" s="17"/>
      <c r="CG530" s="18"/>
      <c r="CH530" s="19"/>
      <c r="CI530" s="17"/>
      <c r="CJ530" s="18"/>
      <c r="CK530" s="19"/>
      <c r="CL530" s="17"/>
    </row>
    <row r="531" spans="1:95">
      <c r="A531" s="223">
        <v>45817</v>
      </c>
      <c r="B531" s="132" t="s">
        <v>96</v>
      </c>
      <c r="C531" s="17">
        <v>145.9</v>
      </c>
      <c r="D531" s="18">
        <v>143.9</v>
      </c>
      <c r="E531" s="19">
        <v>144.9</v>
      </c>
      <c r="F531" s="17">
        <v>166.61</v>
      </c>
      <c r="G531" s="18">
        <v>163.61000000000001</v>
      </c>
      <c r="H531" s="19">
        <v>165.11</v>
      </c>
      <c r="I531" s="17">
        <v>107.42</v>
      </c>
      <c r="J531" s="18">
        <v>104.22</v>
      </c>
      <c r="K531" s="19">
        <v>105.82</v>
      </c>
      <c r="L531" s="18">
        <v>200.17</v>
      </c>
      <c r="M531" s="18">
        <v>192.17</v>
      </c>
      <c r="N531" s="18">
        <v>196.17</v>
      </c>
      <c r="O531" s="17">
        <v>177.11</v>
      </c>
      <c r="P531" s="18">
        <v>175.31</v>
      </c>
      <c r="Q531" s="19">
        <v>176.21</v>
      </c>
      <c r="R531" s="18">
        <v>22.44</v>
      </c>
      <c r="S531" s="18">
        <v>21.84</v>
      </c>
      <c r="T531" s="18">
        <v>22.14</v>
      </c>
      <c r="U531" s="17">
        <v>14.64</v>
      </c>
      <c r="V531" s="18">
        <v>14.040000000000001</v>
      </c>
      <c r="W531" s="19">
        <v>14.34</v>
      </c>
      <c r="X531" s="17">
        <v>15.44</v>
      </c>
      <c r="Y531" s="18">
        <v>14.639999999999999</v>
      </c>
      <c r="Z531" s="19">
        <v>15.04</v>
      </c>
      <c r="AA531" s="17">
        <v>96.21</v>
      </c>
      <c r="AB531" s="18">
        <v>92.21</v>
      </c>
      <c r="AC531" s="19">
        <v>94.21</v>
      </c>
      <c r="AD531" s="17">
        <v>89.24</v>
      </c>
      <c r="AE531" s="18">
        <v>85.24</v>
      </c>
      <c r="AF531" s="19">
        <v>87.24</v>
      </c>
      <c r="AG531" s="18">
        <v>18.89</v>
      </c>
      <c r="AH531" s="18">
        <v>18.03</v>
      </c>
      <c r="AI531" s="18">
        <v>18.46</v>
      </c>
      <c r="AJ531" s="20"/>
      <c r="AK531" s="21"/>
      <c r="AL531" s="22"/>
      <c r="AM531" s="18">
        <v>113.24</v>
      </c>
      <c r="AN531" s="18">
        <v>111.58</v>
      </c>
      <c r="AO531" s="18">
        <v>112.41</v>
      </c>
      <c r="AP531" s="17">
        <v>39.520000000000003</v>
      </c>
      <c r="AQ531" s="18">
        <v>37.92</v>
      </c>
      <c r="AR531" s="19">
        <v>38.72</v>
      </c>
      <c r="AS531" s="18">
        <v>40.19</v>
      </c>
      <c r="AT531" s="18">
        <v>38.83</v>
      </c>
      <c r="AU531" s="18">
        <v>39.51</v>
      </c>
      <c r="AV531" s="17">
        <v>20.46</v>
      </c>
      <c r="AW531" s="18">
        <v>19.86</v>
      </c>
      <c r="AX531" s="19">
        <v>20.16</v>
      </c>
      <c r="AY531" s="17">
        <v>4.5</v>
      </c>
      <c r="AZ531" s="18">
        <v>4.34</v>
      </c>
      <c r="BA531" s="19">
        <v>4.42</v>
      </c>
      <c r="BB531" s="17">
        <v>1.85</v>
      </c>
      <c r="BC531" s="23">
        <v>1.55</v>
      </c>
      <c r="BD531" s="24">
        <v>1.7000000000000002</v>
      </c>
      <c r="BE531" s="18">
        <v>0.67</v>
      </c>
      <c r="BF531" s="23">
        <v>0.37000000000000005</v>
      </c>
      <c r="BG531" s="23">
        <v>0.52</v>
      </c>
      <c r="BH531" s="17">
        <v>482.62</v>
      </c>
      <c r="BI531" s="18">
        <v>466.62</v>
      </c>
      <c r="BJ531" s="19">
        <v>474.62</v>
      </c>
      <c r="BK531" s="18">
        <v>40.56</v>
      </c>
      <c r="BL531" s="18">
        <v>39.200000000000003</v>
      </c>
      <c r="BM531" s="18">
        <v>39.880000000000003</v>
      </c>
      <c r="BN531" s="25">
        <v>1.01</v>
      </c>
      <c r="BO531" s="23">
        <v>0.77</v>
      </c>
      <c r="BP531" s="24">
        <v>0.89</v>
      </c>
      <c r="BQ531" s="18">
        <v>8.59</v>
      </c>
      <c r="BR531" s="18">
        <v>6.59</v>
      </c>
      <c r="BS531" s="18">
        <v>7.59</v>
      </c>
      <c r="BT531" s="17">
        <v>10.84</v>
      </c>
      <c r="BU531" s="18">
        <v>10.44</v>
      </c>
      <c r="BV531" s="19">
        <v>10.64</v>
      </c>
      <c r="BW531" s="17">
        <v>2.74</v>
      </c>
      <c r="BX531" s="23">
        <v>2.46</v>
      </c>
      <c r="BY531" s="24">
        <v>2.6</v>
      </c>
      <c r="BZ531" s="17">
        <v>9.64</v>
      </c>
      <c r="CA531" s="18">
        <v>6.6400000000000006</v>
      </c>
      <c r="CB531" s="19">
        <v>8.14</v>
      </c>
      <c r="CC531" s="17">
        <v>6.79</v>
      </c>
      <c r="CD531" s="18">
        <v>6.55</v>
      </c>
      <c r="CE531" s="19">
        <v>6.67</v>
      </c>
      <c r="CF531" s="17">
        <v>2.09</v>
      </c>
      <c r="CG531" s="18">
        <v>1.5899999999999999</v>
      </c>
      <c r="CH531" s="19">
        <v>1.8399999999999999</v>
      </c>
      <c r="CI531" s="17">
        <v>0.43</v>
      </c>
      <c r="CJ531" s="18">
        <v>0.39</v>
      </c>
      <c r="CK531" s="19">
        <v>0.41000000000000003</v>
      </c>
      <c r="CL531" s="17">
        <v>39.72</v>
      </c>
      <c r="CM531">
        <v>37.32</v>
      </c>
      <c r="CN531">
        <v>38.519999999999996</v>
      </c>
      <c r="CO531">
        <v>6.2</v>
      </c>
      <c r="CP531">
        <v>1.2000000000000002</v>
      </c>
      <c r="CQ531">
        <v>3.7</v>
      </c>
    </row>
    <row r="532" spans="1:95">
      <c r="A532" s="223">
        <v>45818</v>
      </c>
      <c r="B532" s="132" t="s">
        <v>97</v>
      </c>
      <c r="C532" s="18">
        <v>145.71</v>
      </c>
      <c r="D532" s="18">
        <v>143.71</v>
      </c>
      <c r="E532" s="18">
        <v>144.71</v>
      </c>
      <c r="F532" s="17">
        <v>166.8</v>
      </c>
      <c r="G532" s="18">
        <v>163.80000000000001</v>
      </c>
      <c r="H532" s="19">
        <v>165.3</v>
      </c>
      <c r="I532" s="18">
        <v>107.24</v>
      </c>
      <c r="J532" s="18">
        <v>104.03999999999999</v>
      </c>
      <c r="K532" s="18">
        <v>105.63999999999999</v>
      </c>
      <c r="L532" s="17">
        <v>200.14</v>
      </c>
      <c r="M532" s="18">
        <v>192.14</v>
      </c>
      <c r="N532" s="19">
        <v>196.14</v>
      </c>
      <c r="O532" s="18">
        <v>177.01</v>
      </c>
      <c r="P532" s="18">
        <v>175.20999999999998</v>
      </c>
      <c r="Q532" s="18">
        <v>176.10999999999999</v>
      </c>
      <c r="R532" s="17">
        <v>22.46</v>
      </c>
      <c r="S532" s="18">
        <v>21.86</v>
      </c>
      <c r="T532" s="19">
        <v>22.16</v>
      </c>
      <c r="U532" s="17">
        <v>14.69</v>
      </c>
      <c r="V532" s="18">
        <v>14.09</v>
      </c>
      <c r="W532" s="19">
        <v>14.39</v>
      </c>
      <c r="X532" s="17">
        <v>15.5</v>
      </c>
      <c r="Y532" s="18">
        <v>14.7</v>
      </c>
      <c r="Z532" s="19">
        <v>15.1</v>
      </c>
      <c r="AA532" s="17">
        <v>96.32</v>
      </c>
      <c r="AB532" s="18">
        <v>92.32</v>
      </c>
      <c r="AC532" s="19">
        <v>94.32</v>
      </c>
      <c r="AD532" s="18">
        <v>89.61</v>
      </c>
      <c r="AE532" s="18">
        <v>85.61</v>
      </c>
      <c r="AF532" s="18">
        <v>87.61</v>
      </c>
      <c r="AG532" s="17">
        <v>18.87</v>
      </c>
      <c r="AH532" s="18">
        <v>18.010000000000002</v>
      </c>
      <c r="AI532" s="19">
        <v>18.440000000000001</v>
      </c>
      <c r="AJ532" s="20"/>
      <c r="AK532" s="21"/>
      <c r="AL532" s="22"/>
      <c r="AM532" s="17">
        <v>113.36</v>
      </c>
      <c r="AN532" s="18">
        <v>111.7</v>
      </c>
      <c r="AO532" s="19">
        <v>112.53</v>
      </c>
      <c r="AP532" s="17">
        <v>39.46</v>
      </c>
      <c r="AQ532" s="18">
        <v>37.86</v>
      </c>
      <c r="AR532" s="19">
        <v>38.659999999999997</v>
      </c>
      <c r="AS532" s="18">
        <v>40.049999999999997</v>
      </c>
      <c r="AT532" s="18">
        <v>38.69</v>
      </c>
      <c r="AU532" s="18">
        <v>39.369999999999997</v>
      </c>
      <c r="AV532" s="17">
        <v>20.45</v>
      </c>
      <c r="AW532" s="18">
        <v>19.849999999999998</v>
      </c>
      <c r="AX532" s="19">
        <v>20.149999999999999</v>
      </c>
      <c r="AY532" s="17">
        <v>4.5199999999999996</v>
      </c>
      <c r="AZ532" s="18">
        <v>4.3599999999999994</v>
      </c>
      <c r="BA532" s="19">
        <v>4.4399999999999995</v>
      </c>
      <c r="BB532" s="17">
        <v>1.85</v>
      </c>
      <c r="BC532" s="23">
        <v>1.55</v>
      </c>
      <c r="BD532" s="24">
        <v>1.7000000000000002</v>
      </c>
      <c r="BE532" s="17">
        <v>0.67</v>
      </c>
      <c r="BF532" s="23">
        <v>0.37000000000000005</v>
      </c>
      <c r="BG532" s="24">
        <v>0.52</v>
      </c>
      <c r="BH532" s="17">
        <v>482.61</v>
      </c>
      <c r="BI532" s="18">
        <v>466.61</v>
      </c>
      <c r="BJ532" s="19">
        <v>474.61</v>
      </c>
      <c r="BK532" s="18">
        <v>40.5</v>
      </c>
      <c r="BL532" s="18">
        <v>39.14</v>
      </c>
      <c r="BM532" s="18">
        <v>39.82</v>
      </c>
      <c r="BN532" s="25">
        <v>1.01</v>
      </c>
      <c r="BO532" s="23">
        <v>0.77</v>
      </c>
      <c r="BP532" s="24">
        <v>0.89</v>
      </c>
      <c r="BQ532" s="18">
        <v>8.6</v>
      </c>
      <c r="BR532" s="18">
        <v>6.6</v>
      </c>
      <c r="BS532" s="18">
        <v>7.6</v>
      </c>
      <c r="BT532" s="17">
        <v>10.89</v>
      </c>
      <c r="BU532" s="18">
        <v>10.49</v>
      </c>
      <c r="BV532" s="19">
        <v>10.690000000000001</v>
      </c>
      <c r="BW532" s="17">
        <v>2.76</v>
      </c>
      <c r="BX532" s="23">
        <v>2.4799999999999995</v>
      </c>
      <c r="BY532" s="24">
        <v>2.6199999999999997</v>
      </c>
      <c r="BZ532" s="17">
        <v>9.66</v>
      </c>
      <c r="CA532" s="18">
        <v>6.66</v>
      </c>
      <c r="CB532" s="19">
        <v>8.16</v>
      </c>
      <c r="CC532" s="17">
        <v>6.79</v>
      </c>
      <c r="CD532" s="18">
        <v>6.55</v>
      </c>
      <c r="CE532" s="19">
        <v>6.67</v>
      </c>
      <c r="CF532" s="18">
        <v>2.08</v>
      </c>
      <c r="CG532" s="18">
        <v>1.58</v>
      </c>
      <c r="CH532" s="18">
        <v>1.83</v>
      </c>
      <c r="CI532" s="17">
        <v>0.43</v>
      </c>
      <c r="CJ532" s="18">
        <v>0.39</v>
      </c>
      <c r="CK532" s="19">
        <v>0.41000000000000003</v>
      </c>
      <c r="CL532" s="17">
        <v>39.9</v>
      </c>
      <c r="CM532">
        <v>37.5</v>
      </c>
      <c r="CN532">
        <v>38.700000000000003</v>
      </c>
      <c r="CO532">
        <v>6.19</v>
      </c>
      <c r="CP532">
        <v>1.1900000000000004</v>
      </c>
      <c r="CQ532">
        <v>3.6900000000000004</v>
      </c>
    </row>
    <row r="533" spans="1:95">
      <c r="A533" s="223">
        <v>45819</v>
      </c>
      <c r="B533" s="132" t="s">
        <v>98</v>
      </c>
      <c r="C533" s="17">
        <v>145.94</v>
      </c>
      <c r="D533" s="18">
        <v>143.94</v>
      </c>
      <c r="E533" s="19">
        <v>144.94</v>
      </c>
      <c r="F533" s="17">
        <v>167.06</v>
      </c>
      <c r="G533" s="18">
        <v>164.06</v>
      </c>
      <c r="H533" s="19">
        <v>165.56</v>
      </c>
      <c r="I533" s="17">
        <v>107.62</v>
      </c>
      <c r="J533" s="18">
        <v>104.42</v>
      </c>
      <c r="K533" s="19">
        <v>106.02000000000001</v>
      </c>
      <c r="L533" s="18">
        <v>199.64</v>
      </c>
      <c r="M533" s="18">
        <v>191.64</v>
      </c>
      <c r="N533" s="18">
        <v>195.64</v>
      </c>
      <c r="O533" s="17">
        <v>177.16</v>
      </c>
      <c r="P533" s="18">
        <v>175.35999999999999</v>
      </c>
      <c r="Q533" s="19">
        <v>176.26</v>
      </c>
      <c r="R533" s="18">
        <v>22.49</v>
      </c>
      <c r="S533" s="18">
        <v>21.889999999999997</v>
      </c>
      <c r="T533" s="18">
        <v>22.189999999999998</v>
      </c>
      <c r="U533" s="17">
        <v>14.64</v>
      </c>
      <c r="V533" s="18">
        <v>14.040000000000001</v>
      </c>
      <c r="W533" s="19">
        <v>14.34</v>
      </c>
      <c r="X533" s="17">
        <v>15.49</v>
      </c>
      <c r="Y533" s="18">
        <v>14.69</v>
      </c>
      <c r="Z533" s="19">
        <v>15.09</v>
      </c>
      <c r="AA533" s="17">
        <v>96.44</v>
      </c>
      <c r="AB533" s="18">
        <v>92.44</v>
      </c>
      <c r="AC533" s="19">
        <v>94.44</v>
      </c>
      <c r="AD533" s="17">
        <v>89.69</v>
      </c>
      <c r="AE533" s="18">
        <v>85.69</v>
      </c>
      <c r="AF533" s="19">
        <v>87.69</v>
      </c>
      <c r="AG533" s="18">
        <v>18.89</v>
      </c>
      <c r="AH533" s="18">
        <v>18.03</v>
      </c>
      <c r="AI533" s="18">
        <v>18.46</v>
      </c>
      <c r="AJ533" s="20"/>
      <c r="AK533" s="21"/>
      <c r="AL533" s="22"/>
      <c r="AM533" s="18">
        <v>113.53</v>
      </c>
      <c r="AN533" s="18">
        <v>111.87</v>
      </c>
      <c r="AO533" s="18">
        <v>112.7</v>
      </c>
      <c r="AP533" s="17">
        <v>39.53</v>
      </c>
      <c r="AQ533" s="18">
        <v>37.93</v>
      </c>
      <c r="AR533" s="19">
        <v>38.730000000000004</v>
      </c>
      <c r="AS533" s="18">
        <v>40.22</v>
      </c>
      <c r="AT533" s="18">
        <v>38.86</v>
      </c>
      <c r="AU533" s="18">
        <v>39.54</v>
      </c>
      <c r="AV533" s="17">
        <v>20.47</v>
      </c>
      <c r="AW533" s="18">
        <v>19.869999999999997</v>
      </c>
      <c r="AX533" s="19">
        <v>20.169999999999998</v>
      </c>
      <c r="AY533" s="17">
        <v>4.5199999999999996</v>
      </c>
      <c r="AZ533" s="18">
        <v>4.3599999999999994</v>
      </c>
      <c r="BA533" s="19">
        <v>4.4399999999999995</v>
      </c>
      <c r="BB533" s="17">
        <v>1.85</v>
      </c>
      <c r="BC533" s="23">
        <v>1.55</v>
      </c>
      <c r="BD533" s="24">
        <v>1.7000000000000002</v>
      </c>
      <c r="BE533" s="18">
        <v>0.67</v>
      </c>
      <c r="BF533" s="23">
        <v>0.37000000000000005</v>
      </c>
      <c r="BG533" s="23">
        <v>0.52</v>
      </c>
      <c r="BH533" s="17">
        <v>479.2</v>
      </c>
      <c r="BI533" s="18">
        <v>463.2</v>
      </c>
      <c r="BJ533" s="19">
        <v>471.2</v>
      </c>
      <c r="BK533" s="18">
        <v>40.58</v>
      </c>
      <c r="BL533" s="18">
        <v>39.22</v>
      </c>
      <c r="BM533" s="18">
        <v>39.9</v>
      </c>
      <c r="BN533" s="25">
        <v>1.01</v>
      </c>
      <c r="BO533" s="23">
        <v>0.77</v>
      </c>
      <c r="BP533" s="24">
        <v>0.89</v>
      </c>
      <c r="BQ533" s="18">
        <v>8.6</v>
      </c>
      <c r="BR533" s="18">
        <v>6.6</v>
      </c>
      <c r="BS533" s="18">
        <v>7.6</v>
      </c>
      <c r="BT533" s="17">
        <v>10.84</v>
      </c>
      <c r="BU533" s="18">
        <v>10.44</v>
      </c>
      <c r="BV533" s="19">
        <v>10.64</v>
      </c>
      <c r="BW533" s="17">
        <v>2.76</v>
      </c>
      <c r="BX533" s="23">
        <v>2.4799999999999995</v>
      </c>
      <c r="BY533" s="24">
        <v>2.6199999999999997</v>
      </c>
      <c r="BZ533" s="17">
        <v>9.68</v>
      </c>
      <c r="CA533" s="18">
        <v>6.68</v>
      </c>
      <c r="CB533" s="19">
        <v>8.18</v>
      </c>
      <c r="CC533" s="17">
        <v>6.8</v>
      </c>
      <c r="CD533" s="18">
        <v>6.56</v>
      </c>
      <c r="CE533" s="19">
        <v>6.68</v>
      </c>
      <c r="CF533" s="17">
        <v>2.1</v>
      </c>
      <c r="CG533" s="18">
        <v>1.6</v>
      </c>
      <c r="CH533" s="19">
        <v>1.85</v>
      </c>
      <c r="CI533" s="17">
        <v>0.43</v>
      </c>
      <c r="CJ533" s="18">
        <v>0.39</v>
      </c>
      <c r="CK533" s="19">
        <v>0.41000000000000003</v>
      </c>
      <c r="CL533" s="17">
        <v>40.08</v>
      </c>
      <c r="CM533">
        <v>37.68</v>
      </c>
      <c r="CN533">
        <v>38.879999999999995</v>
      </c>
      <c r="CO533">
        <v>6.21</v>
      </c>
      <c r="CP533">
        <v>1.21</v>
      </c>
      <c r="CQ533">
        <v>3.71</v>
      </c>
    </row>
    <row r="534" spans="1:95">
      <c r="A534" s="223">
        <v>45820</v>
      </c>
      <c r="B534" s="132" t="s">
        <v>99</v>
      </c>
      <c r="C534" s="17">
        <v>145.12</v>
      </c>
      <c r="D534" s="18">
        <v>143.12</v>
      </c>
      <c r="E534" s="19">
        <v>144.12</v>
      </c>
      <c r="F534" s="17">
        <v>167.56</v>
      </c>
      <c r="G534" s="18">
        <v>164.56</v>
      </c>
      <c r="H534" s="19">
        <v>166.06</v>
      </c>
      <c r="I534" s="17">
        <v>107.08</v>
      </c>
      <c r="J534" s="18">
        <v>103.88</v>
      </c>
      <c r="K534" s="19">
        <v>105.47999999999999</v>
      </c>
      <c r="L534" s="18">
        <v>199.8</v>
      </c>
      <c r="M534" s="18">
        <v>191.8</v>
      </c>
      <c r="N534" s="18">
        <v>195.8</v>
      </c>
      <c r="O534" s="17">
        <v>177.13</v>
      </c>
      <c r="P534" s="18">
        <v>175.32999999999998</v>
      </c>
      <c r="Q534" s="19">
        <v>176.23</v>
      </c>
      <c r="R534" s="18">
        <v>22.56</v>
      </c>
      <c r="S534" s="18">
        <v>21.959999999999997</v>
      </c>
      <c r="T534" s="18">
        <v>22.259999999999998</v>
      </c>
      <c r="U534" s="17">
        <v>14.65</v>
      </c>
      <c r="V534" s="18">
        <v>14.05</v>
      </c>
      <c r="W534" s="19">
        <v>14.350000000000001</v>
      </c>
      <c r="X534" s="17">
        <v>15.5</v>
      </c>
      <c r="Y534" s="18">
        <v>14.7</v>
      </c>
      <c r="Z534" s="19">
        <v>15.1</v>
      </c>
      <c r="AA534" s="17">
        <v>95.74</v>
      </c>
      <c r="AB534" s="18">
        <v>91.74</v>
      </c>
      <c r="AC534" s="19">
        <v>93.74</v>
      </c>
      <c r="AD534" s="17">
        <v>88.98</v>
      </c>
      <c r="AE534" s="18">
        <v>84.98</v>
      </c>
      <c r="AF534" s="19">
        <v>86.98</v>
      </c>
      <c r="AG534" s="18">
        <v>18.78</v>
      </c>
      <c r="AH534" s="18">
        <v>17.920000000000002</v>
      </c>
      <c r="AI534" s="18">
        <v>18.350000000000001</v>
      </c>
      <c r="AJ534" s="20"/>
      <c r="AK534" s="21"/>
      <c r="AL534" s="22"/>
      <c r="AM534" s="18">
        <v>113.14</v>
      </c>
      <c r="AN534" s="18">
        <v>111.48</v>
      </c>
      <c r="AO534" s="18">
        <v>112.31</v>
      </c>
      <c r="AP534" s="17">
        <v>39.31</v>
      </c>
      <c r="AQ534" s="18">
        <v>37.71</v>
      </c>
      <c r="AR534" s="19">
        <v>38.510000000000005</v>
      </c>
      <c r="AS534" s="18">
        <v>39.99</v>
      </c>
      <c r="AT534" s="18">
        <v>38.630000000000003</v>
      </c>
      <c r="AU534" s="18">
        <v>39.31</v>
      </c>
      <c r="AV534" s="17">
        <v>20.329999999999998</v>
      </c>
      <c r="AW534" s="18">
        <v>19.729999999999997</v>
      </c>
      <c r="AX534" s="19">
        <v>20.029999999999998</v>
      </c>
      <c r="AY534" s="17">
        <v>4.51</v>
      </c>
      <c r="AZ534" s="18">
        <v>4.3499999999999996</v>
      </c>
      <c r="BA534" s="19">
        <v>4.43</v>
      </c>
      <c r="BB534" s="17">
        <v>1.85</v>
      </c>
      <c r="BC534" s="23">
        <v>1.55</v>
      </c>
      <c r="BD534" s="24">
        <v>1.7000000000000002</v>
      </c>
      <c r="BE534" s="18">
        <v>0.67</v>
      </c>
      <c r="BF534" s="23">
        <v>0.37000000000000005</v>
      </c>
      <c r="BG534" s="23">
        <v>0.52</v>
      </c>
      <c r="BH534" s="17">
        <v>481.77</v>
      </c>
      <c r="BI534" s="18">
        <v>465.77</v>
      </c>
      <c r="BJ534" s="19">
        <v>473.77</v>
      </c>
      <c r="BK534" s="18">
        <v>40.35</v>
      </c>
      <c r="BL534" s="18">
        <v>38.99</v>
      </c>
      <c r="BM534" s="18">
        <v>39.67</v>
      </c>
      <c r="BN534" s="25">
        <v>1.01</v>
      </c>
      <c r="BO534" s="23">
        <v>0.77</v>
      </c>
      <c r="BP534" s="24">
        <v>0.89</v>
      </c>
      <c r="BQ534" s="18">
        <v>8.6300000000000008</v>
      </c>
      <c r="BR534" s="18">
        <v>6.6300000000000008</v>
      </c>
      <c r="BS534" s="18">
        <v>7.6300000000000008</v>
      </c>
      <c r="BT534" s="17">
        <v>10.75</v>
      </c>
      <c r="BU534" s="18">
        <v>10.35</v>
      </c>
      <c r="BV534" s="19">
        <v>10.55</v>
      </c>
      <c r="BW534" s="17">
        <v>2.75</v>
      </c>
      <c r="BX534" s="23">
        <v>2.4699999999999998</v>
      </c>
      <c r="BY534" s="24">
        <v>2.61</v>
      </c>
      <c r="BZ534" s="17">
        <v>9.65</v>
      </c>
      <c r="CA534" s="18">
        <v>6.65</v>
      </c>
      <c r="CB534" s="19">
        <v>8.15</v>
      </c>
      <c r="CC534" s="17">
        <v>6.83</v>
      </c>
      <c r="CD534" s="18">
        <v>6.59</v>
      </c>
      <c r="CE534" s="19">
        <v>6.71</v>
      </c>
      <c r="CF534" s="17">
        <v>2.0699999999999998</v>
      </c>
      <c r="CG534" s="18">
        <v>1.5699999999999998</v>
      </c>
      <c r="CH534" s="19">
        <v>1.8199999999999998</v>
      </c>
      <c r="CI534" s="17">
        <v>0.44</v>
      </c>
      <c r="CJ534" s="18">
        <v>0.4</v>
      </c>
      <c r="CK534" s="19">
        <v>0.42000000000000004</v>
      </c>
      <c r="CL534" s="17">
        <v>40.299999999999997</v>
      </c>
      <c r="CM534">
        <v>37.9</v>
      </c>
      <c r="CN534">
        <v>39.099999999999994</v>
      </c>
      <c r="CO534">
        <v>6.19</v>
      </c>
      <c r="CP534">
        <v>1.1900000000000004</v>
      </c>
      <c r="CQ534">
        <v>3.6900000000000004</v>
      </c>
    </row>
    <row r="535" spans="1:95">
      <c r="A535" s="223">
        <v>45821</v>
      </c>
      <c r="B535" s="132" t="s">
        <v>100</v>
      </c>
      <c r="C535" s="17">
        <v>144.08000000000001</v>
      </c>
      <c r="D535" s="18">
        <v>142.08000000000001</v>
      </c>
      <c r="E535" s="19">
        <v>143.08000000000001</v>
      </c>
      <c r="F535" s="17">
        <v>166.89</v>
      </c>
      <c r="G535" s="18">
        <v>163.89</v>
      </c>
      <c r="H535" s="19">
        <v>165.39</v>
      </c>
      <c r="I535" s="17">
        <v>106.57</v>
      </c>
      <c r="J535" s="18">
        <v>103.36999999999999</v>
      </c>
      <c r="K535" s="19">
        <v>104.97</v>
      </c>
      <c r="L535" s="18">
        <v>198.16</v>
      </c>
      <c r="M535" s="18">
        <v>190.16</v>
      </c>
      <c r="N535" s="18">
        <v>194.16</v>
      </c>
      <c r="O535" s="17">
        <v>178.22</v>
      </c>
      <c r="P535" s="18">
        <v>176.42</v>
      </c>
      <c r="Q535" s="19">
        <v>177.32</v>
      </c>
      <c r="R535" s="18">
        <v>22.47</v>
      </c>
      <c r="S535" s="18">
        <v>21.869999999999997</v>
      </c>
      <c r="T535" s="18">
        <v>22.169999999999998</v>
      </c>
      <c r="U535" s="17">
        <v>14.69</v>
      </c>
      <c r="V535" s="18">
        <v>14.09</v>
      </c>
      <c r="W535" s="19">
        <v>14.39</v>
      </c>
      <c r="X535" s="17">
        <v>15.49</v>
      </c>
      <c r="Y535" s="18">
        <v>14.69</v>
      </c>
      <c r="Z535" s="19">
        <v>15.09</v>
      </c>
      <c r="AA535" s="17">
        <v>94.69</v>
      </c>
      <c r="AB535" s="18">
        <v>90.69</v>
      </c>
      <c r="AC535" s="19">
        <v>92.69</v>
      </c>
      <c r="AD535" s="17">
        <v>88.08</v>
      </c>
      <c r="AE535" s="18">
        <v>84.08</v>
      </c>
      <c r="AF535" s="19">
        <v>86.08</v>
      </c>
      <c r="AG535" s="18">
        <v>18.649999999999999</v>
      </c>
      <c r="AH535" s="18">
        <v>17.79</v>
      </c>
      <c r="AI535" s="18">
        <v>18.22</v>
      </c>
      <c r="AJ535" s="20"/>
      <c r="AK535" s="21"/>
      <c r="AL535" s="22"/>
      <c r="AM535" s="18">
        <v>112.51</v>
      </c>
      <c r="AN535" s="18">
        <v>110.85000000000001</v>
      </c>
      <c r="AO535" s="18">
        <v>111.68</v>
      </c>
      <c r="AP535" s="17">
        <v>39.03</v>
      </c>
      <c r="AQ535" s="18">
        <v>37.43</v>
      </c>
      <c r="AR535" s="19">
        <v>38.230000000000004</v>
      </c>
      <c r="AS535" s="18">
        <v>39.71</v>
      </c>
      <c r="AT535" s="18">
        <v>38.35</v>
      </c>
      <c r="AU535" s="18">
        <v>39.03</v>
      </c>
      <c r="AV535" s="17">
        <v>20.22</v>
      </c>
      <c r="AW535" s="18">
        <v>19.619999999999997</v>
      </c>
      <c r="AX535" s="19">
        <v>19.919999999999998</v>
      </c>
      <c r="AY535" s="17">
        <v>4.5</v>
      </c>
      <c r="AZ535" s="18">
        <v>4.34</v>
      </c>
      <c r="BA535" s="19">
        <v>4.42</v>
      </c>
      <c r="BB535" s="17">
        <v>1.83</v>
      </c>
      <c r="BC535" s="23">
        <v>1.53</v>
      </c>
      <c r="BD535" s="24">
        <v>1.6800000000000002</v>
      </c>
      <c r="BE535" s="18">
        <v>0.66</v>
      </c>
      <c r="BF535" s="23">
        <v>0.36000000000000004</v>
      </c>
      <c r="BG535" s="23">
        <v>0.51</v>
      </c>
      <c r="BH535" s="17">
        <v>477.89</v>
      </c>
      <c r="BI535" s="18">
        <v>461.89</v>
      </c>
      <c r="BJ535" s="19">
        <v>469.89</v>
      </c>
      <c r="BK535" s="18">
        <v>40.049999999999997</v>
      </c>
      <c r="BL535" s="18">
        <v>38.69</v>
      </c>
      <c r="BM535" s="18">
        <v>39.369999999999997</v>
      </c>
      <c r="BN535" s="25">
        <v>1</v>
      </c>
      <c r="BO535" s="23">
        <v>0.76</v>
      </c>
      <c r="BP535" s="24">
        <v>0.88</v>
      </c>
      <c r="BQ535" s="18">
        <v>8.5399999999999991</v>
      </c>
      <c r="BR535" s="18">
        <v>6.5399999999999991</v>
      </c>
      <c r="BS535" s="18">
        <v>7.5399999999999991</v>
      </c>
      <c r="BT535" s="17">
        <v>10.69</v>
      </c>
      <c r="BU535" s="18">
        <v>10.29</v>
      </c>
      <c r="BV535" s="19">
        <v>10.489999999999998</v>
      </c>
      <c r="BW535" s="17">
        <v>2.71</v>
      </c>
      <c r="BX535" s="23">
        <v>2.4299999999999997</v>
      </c>
      <c r="BY535" s="24">
        <v>2.57</v>
      </c>
      <c r="BZ535" s="17">
        <v>9.5</v>
      </c>
      <c r="CA535" s="18">
        <v>6.5</v>
      </c>
      <c r="CB535" s="19">
        <v>8</v>
      </c>
      <c r="CC535" s="17">
        <v>6.8</v>
      </c>
      <c r="CD535" s="18">
        <v>6.56</v>
      </c>
      <c r="CE535" s="19">
        <v>6.68</v>
      </c>
      <c r="CF535" s="17">
        <v>2.04</v>
      </c>
      <c r="CG535" s="18">
        <v>1.54</v>
      </c>
      <c r="CH535" s="19">
        <v>1.79</v>
      </c>
      <c r="CI535" s="17">
        <v>0.43</v>
      </c>
      <c r="CJ535" s="18">
        <v>0.39</v>
      </c>
      <c r="CK535" s="19">
        <v>0.41000000000000003</v>
      </c>
      <c r="CL535" s="17">
        <v>39.979999999999997</v>
      </c>
      <c r="CM535">
        <v>37.58</v>
      </c>
      <c r="CN535">
        <v>38.78</v>
      </c>
      <c r="CO535">
        <v>6.14</v>
      </c>
      <c r="CP535">
        <v>1.1399999999999997</v>
      </c>
      <c r="CQ535">
        <v>3.6399999999999997</v>
      </c>
    </row>
    <row r="536" spans="1:95" ht="18.600000000000001" thickBot="1">
      <c r="A536" s="223">
        <v>45822</v>
      </c>
      <c r="B536" s="132" t="s">
        <v>307</v>
      </c>
      <c r="C536" s="18"/>
      <c r="D536" s="18"/>
      <c r="E536" s="18"/>
      <c r="F536" s="17"/>
      <c r="G536" s="18"/>
      <c r="H536" s="19"/>
      <c r="I536" s="18"/>
      <c r="J536" s="18"/>
      <c r="K536" s="18"/>
      <c r="L536" s="17"/>
      <c r="M536" s="18"/>
      <c r="N536" s="19"/>
      <c r="O536" s="18"/>
      <c r="P536" s="18"/>
      <c r="Q536" s="18"/>
      <c r="R536" s="17"/>
      <c r="S536" s="18"/>
      <c r="T536" s="19"/>
      <c r="U536" s="17"/>
      <c r="V536" s="18"/>
      <c r="W536" s="19"/>
      <c r="X536" s="17"/>
      <c r="Y536" s="18"/>
      <c r="Z536" s="19"/>
      <c r="AA536" s="17"/>
      <c r="AB536" s="18"/>
      <c r="AC536" s="19"/>
      <c r="AD536" s="18"/>
      <c r="AE536" s="18"/>
      <c r="AF536" s="18"/>
      <c r="AG536" s="17"/>
      <c r="AH536" s="18"/>
      <c r="AI536" s="19"/>
      <c r="AJ536" s="20"/>
      <c r="AK536" s="21"/>
      <c r="AL536" s="22"/>
      <c r="AM536" s="17"/>
      <c r="AN536" s="18"/>
      <c r="AO536" s="19"/>
      <c r="AP536" s="17"/>
      <c r="AQ536" s="18"/>
      <c r="AR536" s="19"/>
      <c r="AS536" s="18"/>
      <c r="AT536" s="18"/>
      <c r="AU536" s="18"/>
      <c r="AV536" s="17"/>
      <c r="AW536" s="18"/>
      <c r="AX536" s="19"/>
      <c r="AY536" s="17"/>
      <c r="AZ536" s="18"/>
      <c r="BA536" s="19"/>
      <c r="BB536" s="17"/>
      <c r="BC536" s="23"/>
      <c r="BD536" s="24"/>
      <c r="BE536" s="17"/>
      <c r="BF536" s="23"/>
      <c r="BG536" s="24"/>
      <c r="BH536" s="17"/>
      <c r="BI536" s="18"/>
      <c r="BJ536" s="19"/>
      <c r="BK536" s="18"/>
      <c r="BL536" s="18"/>
      <c r="BM536" s="18"/>
      <c r="BN536" s="25"/>
      <c r="BO536" s="23"/>
      <c r="BP536" s="24"/>
      <c r="BQ536" s="18"/>
      <c r="BR536" s="18"/>
      <c r="BS536" s="18"/>
      <c r="BT536" s="17"/>
      <c r="BU536" s="18"/>
      <c r="BV536" s="19"/>
      <c r="BW536" s="17"/>
      <c r="BX536" s="23"/>
      <c r="BY536" s="24"/>
      <c r="BZ536" s="17"/>
      <c r="CA536" s="18"/>
      <c r="CB536" s="19"/>
      <c r="CC536" s="17"/>
      <c r="CD536" s="18"/>
      <c r="CE536" s="19"/>
      <c r="CF536" s="18"/>
      <c r="CG536" s="18"/>
      <c r="CH536" s="18"/>
      <c r="CI536" s="17"/>
      <c r="CJ536" s="18"/>
      <c r="CK536" s="19"/>
      <c r="CL536" s="17"/>
    </row>
    <row r="537" spans="1:95">
      <c r="A537" s="225">
        <v>45823</v>
      </c>
      <c r="B537" s="133" t="s">
        <v>308</v>
      </c>
      <c r="C537" s="60"/>
      <c r="D537" s="61"/>
      <c r="E537" s="62"/>
      <c r="F537" s="60"/>
      <c r="G537" s="61"/>
      <c r="H537" s="62"/>
      <c r="I537" s="60"/>
      <c r="J537" s="61"/>
      <c r="K537" s="62"/>
      <c r="L537" s="61"/>
      <c r="M537" s="61"/>
      <c r="N537" s="61"/>
      <c r="O537" s="60"/>
      <c r="P537" s="61"/>
      <c r="Q537" s="62"/>
      <c r="R537" s="61"/>
      <c r="S537" s="61"/>
      <c r="T537" s="61"/>
      <c r="U537" s="60"/>
      <c r="V537" s="61"/>
      <c r="W537" s="62"/>
      <c r="X537" s="60"/>
      <c r="Y537" s="61"/>
      <c r="Z537" s="62"/>
      <c r="AA537" s="60"/>
      <c r="AB537" s="61"/>
      <c r="AC537" s="62"/>
      <c r="AD537" s="60"/>
      <c r="AE537" s="61"/>
      <c r="AF537" s="62"/>
      <c r="AG537" s="61"/>
      <c r="AH537" s="61"/>
      <c r="AI537" s="61"/>
      <c r="AJ537" s="63"/>
      <c r="AK537" s="64"/>
      <c r="AL537" s="65"/>
      <c r="AM537" s="61"/>
      <c r="AN537" s="61"/>
      <c r="AO537" s="61"/>
      <c r="AP537" s="60"/>
      <c r="AQ537" s="61"/>
      <c r="AR537" s="62"/>
      <c r="AS537" s="61"/>
      <c r="AT537" s="61"/>
      <c r="AU537" s="61"/>
      <c r="AV537" s="60"/>
      <c r="AW537" s="61"/>
      <c r="AX537" s="62"/>
      <c r="AY537" s="60"/>
      <c r="AZ537" s="61"/>
      <c r="BA537" s="62"/>
      <c r="BB537" s="60"/>
      <c r="BC537" s="66"/>
      <c r="BD537" s="67"/>
      <c r="BE537" s="61"/>
      <c r="BF537" s="66"/>
      <c r="BG537" s="66"/>
      <c r="BH537" s="60"/>
      <c r="BI537" s="61"/>
      <c r="BJ537" s="62"/>
      <c r="BK537" s="61"/>
      <c r="BL537" s="61"/>
      <c r="BM537" s="61"/>
      <c r="BN537" s="68"/>
      <c r="BO537" s="66"/>
      <c r="BP537" s="67"/>
      <c r="BQ537" s="61"/>
      <c r="BR537" s="61"/>
      <c r="BS537" s="61"/>
      <c r="BT537" s="60"/>
      <c r="BU537" s="61"/>
      <c r="BV537" s="62"/>
      <c r="BW537" s="60"/>
      <c r="BX537" s="66"/>
      <c r="BY537" s="67"/>
      <c r="BZ537" s="60"/>
      <c r="CA537" s="61"/>
      <c r="CB537" s="62"/>
      <c r="CC537" s="60"/>
      <c r="CD537" s="61"/>
      <c r="CE537" s="62"/>
      <c r="CF537" s="60"/>
      <c r="CG537" s="61"/>
      <c r="CH537" s="62"/>
      <c r="CI537" s="60"/>
      <c r="CJ537" s="61"/>
      <c r="CK537" s="62"/>
      <c r="CL537" s="60"/>
    </row>
    <row r="538" spans="1:95">
      <c r="A538" s="226">
        <v>45824</v>
      </c>
      <c r="B538" s="134" t="s">
        <v>96</v>
      </c>
      <c r="C538" s="17">
        <v>145.41999999999999</v>
      </c>
      <c r="D538" s="18">
        <v>143.41999999999999</v>
      </c>
      <c r="E538" s="19">
        <v>144.41999999999999</v>
      </c>
      <c r="F538" s="17">
        <v>168.06</v>
      </c>
      <c r="G538" s="18">
        <v>165.06</v>
      </c>
      <c r="H538" s="19">
        <v>166.56</v>
      </c>
      <c r="I538" s="17">
        <v>107.86</v>
      </c>
      <c r="J538" s="18">
        <v>104.66</v>
      </c>
      <c r="K538" s="19">
        <v>106.25999999999999</v>
      </c>
      <c r="L538" s="18">
        <v>199.63</v>
      </c>
      <c r="M538" s="18">
        <v>191.63</v>
      </c>
      <c r="N538" s="18">
        <v>195.63</v>
      </c>
      <c r="O538" s="17">
        <v>178.71</v>
      </c>
      <c r="P538" s="18">
        <v>176.91</v>
      </c>
      <c r="Q538" s="19">
        <v>177.81</v>
      </c>
      <c r="R538" s="18">
        <v>22.63</v>
      </c>
      <c r="S538" s="18">
        <v>22.029999999999998</v>
      </c>
      <c r="T538" s="18">
        <v>22.33</v>
      </c>
      <c r="U538" s="17">
        <v>14.86</v>
      </c>
      <c r="V538" s="18">
        <v>14.26</v>
      </c>
      <c r="W538" s="19">
        <v>14.559999999999999</v>
      </c>
      <c r="X538" s="17">
        <v>15.59</v>
      </c>
      <c r="Y538" s="18">
        <v>14.79</v>
      </c>
      <c r="Z538" s="19">
        <v>15.19</v>
      </c>
      <c r="AA538" s="17">
        <v>95.77</v>
      </c>
      <c r="AB538" s="18">
        <v>91.77</v>
      </c>
      <c r="AC538" s="19">
        <v>93.77</v>
      </c>
      <c r="AD538" s="17">
        <v>88.98</v>
      </c>
      <c r="AE538" s="18">
        <v>84.98</v>
      </c>
      <c r="AF538" s="19">
        <v>86.98</v>
      </c>
      <c r="AG538" s="18">
        <v>18.82</v>
      </c>
      <c r="AH538" s="18">
        <v>17.96</v>
      </c>
      <c r="AI538" s="18">
        <v>18.39</v>
      </c>
      <c r="AJ538" s="20"/>
      <c r="AK538" s="21"/>
      <c r="AL538" s="22"/>
      <c r="AM538" s="18">
        <v>113.38</v>
      </c>
      <c r="AN538" s="18">
        <v>111.72</v>
      </c>
      <c r="AO538" s="18">
        <v>112.55</v>
      </c>
      <c r="AP538" s="17">
        <v>39.36</v>
      </c>
      <c r="AQ538" s="18">
        <v>37.76</v>
      </c>
      <c r="AR538" s="19">
        <v>38.56</v>
      </c>
      <c r="AS538" s="18">
        <v>39.97</v>
      </c>
      <c r="AT538" s="18">
        <v>38.61</v>
      </c>
      <c r="AU538" s="18">
        <v>39.29</v>
      </c>
      <c r="AV538" s="17">
        <v>20.39</v>
      </c>
      <c r="AW538" s="18">
        <v>19.79</v>
      </c>
      <c r="AX538" s="19">
        <v>20.09</v>
      </c>
      <c r="AY538" s="17">
        <v>4.53</v>
      </c>
      <c r="AZ538" s="18">
        <v>4.37</v>
      </c>
      <c r="BA538" s="19">
        <v>4.45</v>
      </c>
      <c r="BB538" s="17">
        <v>1.84</v>
      </c>
      <c r="BC538" s="23">
        <v>1.54</v>
      </c>
      <c r="BD538" s="24">
        <v>1.69</v>
      </c>
      <c r="BE538" s="18">
        <v>0.66</v>
      </c>
      <c r="BF538" s="23">
        <v>0.36000000000000004</v>
      </c>
      <c r="BG538" s="23">
        <v>0.51</v>
      </c>
      <c r="BH538" s="17">
        <v>482.44</v>
      </c>
      <c r="BI538" s="18">
        <v>466.44</v>
      </c>
      <c r="BJ538" s="19">
        <v>474.44</v>
      </c>
      <c r="BK538" s="18">
        <v>40.42</v>
      </c>
      <c r="BL538" s="18">
        <v>39.06</v>
      </c>
      <c r="BM538" s="18">
        <v>39.74</v>
      </c>
      <c r="BN538" s="25">
        <v>1.01</v>
      </c>
      <c r="BO538" s="23">
        <v>0.77</v>
      </c>
      <c r="BP538" s="24">
        <v>0.89</v>
      </c>
      <c r="BQ538" s="18">
        <v>8.6199999999999992</v>
      </c>
      <c r="BR538" s="18">
        <v>6.6199999999999992</v>
      </c>
      <c r="BS538" s="18">
        <v>7.6199999999999992</v>
      </c>
      <c r="BT538" s="17">
        <v>10.77</v>
      </c>
      <c r="BU538" s="18">
        <v>10.37</v>
      </c>
      <c r="BV538" s="19">
        <v>10.57</v>
      </c>
      <c r="BW538" s="17">
        <v>2.74</v>
      </c>
      <c r="BX538" s="23">
        <v>2.46</v>
      </c>
      <c r="BY538" s="24">
        <v>2.6</v>
      </c>
      <c r="BZ538" s="17">
        <v>9.5399999999999991</v>
      </c>
      <c r="CA538" s="18">
        <v>6.5399999999999991</v>
      </c>
      <c r="CB538" s="19">
        <v>8.0399999999999991</v>
      </c>
      <c r="CC538" s="17">
        <v>6.83</v>
      </c>
      <c r="CD538" s="18">
        <v>6.59</v>
      </c>
      <c r="CE538" s="19">
        <v>6.71</v>
      </c>
      <c r="CF538" s="17">
        <v>2.06</v>
      </c>
      <c r="CG538" s="18">
        <v>1.56</v>
      </c>
      <c r="CH538" s="19">
        <v>1.81</v>
      </c>
      <c r="CI538" s="17">
        <v>0.43</v>
      </c>
      <c r="CJ538" s="18">
        <v>0.39</v>
      </c>
      <c r="CK538" s="19">
        <v>0.41000000000000003</v>
      </c>
      <c r="CL538" s="17">
        <v>40.24</v>
      </c>
      <c r="CM538">
        <v>37.840000000000003</v>
      </c>
      <c r="CN538">
        <v>39.040000000000006</v>
      </c>
      <c r="CO538">
        <v>6.16</v>
      </c>
      <c r="CP538">
        <v>1.1600000000000001</v>
      </c>
      <c r="CQ538">
        <v>3.66</v>
      </c>
    </row>
    <row r="539" spans="1:95" ht="18.600000000000001" thickBot="1">
      <c r="A539" s="227">
        <v>45825</v>
      </c>
      <c r="B539" s="135" t="s">
        <v>97</v>
      </c>
      <c r="C539" s="71">
        <v>146.08000000000001</v>
      </c>
      <c r="D539" s="72">
        <v>144.08000000000001</v>
      </c>
      <c r="E539" s="73">
        <v>145.08000000000001</v>
      </c>
      <c r="F539" s="71">
        <v>169.07</v>
      </c>
      <c r="G539" s="72">
        <v>166.07</v>
      </c>
      <c r="H539" s="73">
        <v>167.57</v>
      </c>
      <c r="I539" s="71">
        <v>108.48</v>
      </c>
      <c r="J539" s="72">
        <v>105.28</v>
      </c>
      <c r="K539" s="73">
        <v>106.88</v>
      </c>
      <c r="L539" s="72">
        <v>200.84</v>
      </c>
      <c r="M539" s="72">
        <v>192.84</v>
      </c>
      <c r="N539" s="72">
        <v>196.84</v>
      </c>
      <c r="O539" s="71">
        <v>179.02</v>
      </c>
      <c r="P539" s="72">
        <v>177.22</v>
      </c>
      <c r="Q539" s="73">
        <v>178.12</v>
      </c>
      <c r="R539" s="72">
        <v>22.77</v>
      </c>
      <c r="S539" s="72">
        <v>22.169999999999998</v>
      </c>
      <c r="T539" s="72">
        <v>22.47</v>
      </c>
      <c r="U539" s="71">
        <v>14.93</v>
      </c>
      <c r="V539" s="72">
        <v>14.33</v>
      </c>
      <c r="W539" s="73">
        <v>14.629999999999999</v>
      </c>
      <c r="X539" s="71">
        <v>15.68</v>
      </c>
      <c r="Y539" s="72">
        <v>14.879999999999999</v>
      </c>
      <c r="Z539" s="73">
        <v>15.28</v>
      </c>
      <c r="AA539" s="71">
        <v>96.51</v>
      </c>
      <c r="AB539" s="72">
        <v>92.51</v>
      </c>
      <c r="AC539" s="73">
        <v>94.51</v>
      </c>
      <c r="AD539" s="71">
        <v>89.8</v>
      </c>
      <c r="AE539" s="72">
        <v>85.8</v>
      </c>
      <c r="AF539" s="73">
        <v>87.8</v>
      </c>
      <c r="AG539" s="72">
        <v>18.91</v>
      </c>
      <c r="AH539" s="72">
        <v>18.05</v>
      </c>
      <c r="AI539" s="72">
        <v>18.48</v>
      </c>
      <c r="AJ539" s="74"/>
      <c r="AK539" s="75"/>
      <c r="AL539" s="76"/>
      <c r="AM539" s="72">
        <v>113.96</v>
      </c>
      <c r="AN539" s="72">
        <v>112.3</v>
      </c>
      <c r="AO539" s="72">
        <v>113.13</v>
      </c>
      <c r="AP539" s="71">
        <v>39.549999999999997</v>
      </c>
      <c r="AQ539" s="72">
        <v>37.949999999999996</v>
      </c>
      <c r="AR539" s="73">
        <v>38.75</v>
      </c>
      <c r="AS539" s="72">
        <v>40.11</v>
      </c>
      <c r="AT539" s="72">
        <v>38.75</v>
      </c>
      <c r="AU539" s="72">
        <v>39.43</v>
      </c>
      <c r="AV539" s="71">
        <v>20.49</v>
      </c>
      <c r="AW539" s="72">
        <v>19.889999999999997</v>
      </c>
      <c r="AX539" s="73">
        <v>20.189999999999998</v>
      </c>
      <c r="AY539" s="71">
        <v>4.55</v>
      </c>
      <c r="AZ539" s="72">
        <v>4.3899999999999997</v>
      </c>
      <c r="BA539" s="73">
        <v>4.47</v>
      </c>
      <c r="BB539" s="71">
        <v>1.85</v>
      </c>
      <c r="BC539" s="77">
        <v>1.55</v>
      </c>
      <c r="BD539" s="78">
        <v>1.7000000000000002</v>
      </c>
      <c r="BE539" s="72">
        <v>0.67</v>
      </c>
      <c r="BF539" s="77">
        <v>0.37000000000000005</v>
      </c>
      <c r="BG539" s="77">
        <v>0.52</v>
      </c>
      <c r="BH539" s="71">
        <v>484.45</v>
      </c>
      <c r="BI539" s="72">
        <v>468.45</v>
      </c>
      <c r="BJ539" s="73">
        <v>476.45</v>
      </c>
      <c r="BK539" s="72">
        <v>40.61</v>
      </c>
      <c r="BL539" s="72">
        <v>39.25</v>
      </c>
      <c r="BM539" s="72">
        <v>39.93</v>
      </c>
      <c r="BN539" s="79">
        <v>1.02</v>
      </c>
      <c r="BO539" s="77">
        <v>0.78</v>
      </c>
      <c r="BP539" s="78">
        <v>0.9</v>
      </c>
      <c r="BQ539" s="72">
        <v>8.66</v>
      </c>
      <c r="BR539" s="72">
        <v>6.66</v>
      </c>
      <c r="BS539" s="72">
        <v>7.66</v>
      </c>
      <c r="BT539" s="71">
        <v>10.88</v>
      </c>
      <c r="BU539" s="72">
        <v>10.48</v>
      </c>
      <c r="BV539" s="73">
        <v>10.68</v>
      </c>
      <c r="BW539" s="71">
        <v>2.74</v>
      </c>
      <c r="BX539" s="77">
        <v>2.46</v>
      </c>
      <c r="BY539" s="78">
        <v>2.6</v>
      </c>
      <c r="BZ539" s="71">
        <v>9.64</v>
      </c>
      <c r="CA539" s="72">
        <v>6.6400000000000006</v>
      </c>
      <c r="CB539" s="73">
        <v>8.14</v>
      </c>
      <c r="CC539" s="71">
        <v>6.88</v>
      </c>
      <c r="CD539" s="72">
        <v>6.64</v>
      </c>
      <c r="CE539" s="73">
        <v>6.76</v>
      </c>
      <c r="CF539" s="71">
        <v>2.1</v>
      </c>
      <c r="CG539" s="72">
        <v>1.6</v>
      </c>
      <c r="CH539" s="73">
        <v>1.85</v>
      </c>
      <c r="CI539" s="71">
        <v>0.44</v>
      </c>
      <c r="CJ539" s="72">
        <v>0.4</v>
      </c>
      <c r="CK539" s="73">
        <v>0.42000000000000004</v>
      </c>
      <c r="CL539" s="71">
        <v>40.46</v>
      </c>
      <c r="CM539">
        <v>38.06</v>
      </c>
      <c r="CN539">
        <v>39.260000000000005</v>
      </c>
      <c r="CO539">
        <v>6.19</v>
      </c>
      <c r="CP539">
        <v>1.1900000000000004</v>
      </c>
      <c r="CQ539">
        <v>3.6900000000000004</v>
      </c>
    </row>
    <row r="540" spans="1:95">
      <c r="A540" s="228">
        <v>45826</v>
      </c>
      <c r="B540" s="136" t="s">
        <v>98</v>
      </c>
      <c r="C540" s="18">
        <v>146.36000000000001</v>
      </c>
      <c r="D540" s="18">
        <v>144.36000000000001</v>
      </c>
      <c r="E540" s="18">
        <v>145.36000000000001</v>
      </c>
      <c r="F540" s="18">
        <v>168.52</v>
      </c>
      <c r="G540" s="18">
        <v>165.52</v>
      </c>
      <c r="H540" s="18">
        <v>167.02</v>
      </c>
      <c r="I540" s="18">
        <v>107.89</v>
      </c>
      <c r="J540" s="18">
        <v>104.69</v>
      </c>
      <c r="K540" s="18">
        <v>106.28999999999999</v>
      </c>
      <c r="L540" s="18">
        <v>199.23</v>
      </c>
      <c r="M540" s="18">
        <v>191.23</v>
      </c>
      <c r="N540" s="18">
        <v>195.23</v>
      </c>
      <c r="O540" s="18">
        <v>178.86</v>
      </c>
      <c r="P540" s="18">
        <v>177.06</v>
      </c>
      <c r="Q540" s="18">
        <v>177.96</v>
      </c>
      <c r="R540" s="18">
        <v>22.69</v>
      </c>
      <c r="S540" s="18">
        <v>22.09</v>
      </c>
      <c r="T540" s="18">
        <v>22.39</v>
      </c>
      <c r="U540" s="18">
        <v>14.93</v>
      </c>
      <c r="V540" s="18">
        <v>14.33</v>
      </c>
      <c r="W540" s="18">
        <v>14.629999999999999</v>
      </c>
      <c r="X540" s="18">
        <v>15.6</v>
      </c>
      <c r="Y540" s="18">
        <v>14.799999999999999</v>
      </c>
      <c r="Z540" s="18">
        <v>15.2</v>
      </c>
      <c r="AA540" s="18">
        <v>96.22</v>
      </c>
      <c r="AB540" s="18">
        <v>92.22</v>
      </c>
      <c r="AC540" s="18">
        <v>94.22</v>
      </c>
      <c r="AD540" s="18">
        <v>89.49</v>
      </c>
      <c r="AE540" s="18">
        <v>85.49</v>
      </c>
      <c r="AF540" s="18">
        <v>87.49</v>
      </c>
      <c r="AG540" s="18">
        <v>18.940000000000001</v>
      </c>
      <c r="AH540" s="18">
        <v>18.080000000000002</v>
      </c>
      <c r="AI540" s="18">
        <v>18.510000000000002</v>
      </c>
      <c r="AJ540" s="21"/>
      <c r="AK540" s="21"/>
      <c r="AL540" s="21"/>
      <c r="AM540" s="18">
        <v>113.88</v>
      </c>
      <c r="AN540" s="18">
        <v>112.22</v>
      </c>
      <c r="AO540" s="18">
        <v>113.05</v>
      </c>
      <c r="AP540" s="18">
        <v>39.619999999999997</v>
      </c>
      <c r="AQ540" s="18">
        <v>38.019999999999996</v>
      </c>
      <c r="AR540" s="18">
        <v>38.819999999999993</v>
      </c>
      <c r="AS540" s="18">
        <v>40.33</v>
      </c>
      <c r="AT540" s="18">
        <v>38.97</v>
      </c>
      <c r="AU540" s="18">
        <v>39.65</v>
      </c>
      <c r="AV540" s="18">
        <v>20.52</v>
      </c>
      <c r="AW540" s="18">
        <v>19.919999999999998</v>
      </c>
      <c r="AX540" s="18">
        <v>20.22</v>
      </c>
      <c r="AY540" s="18">
        <v>4.54</v>
      </c>
      <c r="AZ540" s="18">
        <v>4.38</v>
      </c>
      <c r="BA540" s="18">
        <v>4.46</v>
      </c>
      <c r="BB540" s="18">
        <v>1.84</v>
      </c>
      <c r="BC540" s="23">
        <v>1.54</v>
      </c>
      <c r="BD540" s="23">
        <v>1.69</v>
      </c>
      <c r="BE540" s="18">
        <v>0.67</v>
      </c>
      <c r="BF540" s="23">
        <v>0.37000000000000005</v>
      </c>
      <c r="BG540" s="23">
        <v>0.52</v>
      </c>
      <c r="BH540" s="18">
        <v>480.41</v>
      </c>
      <c r="BI540" s="18">
        <v>464.41</v>
      </c>
      <c r="BJ540" s="18">
        <v>472.41</v>
      </c>
      <c r="BK540" s="18">
        <v>40.68</v>
      </c>
      <c r="BL540" s="18">
        <v>39.32</v>
      </c>
      <c r="BM540" s="18">
        <v>40</v>
      </c>
      <c r="BN540" s="23">
        <v>1.02</v>
      </c>
      <c r="BO540" s="23">
        <v>0.78</v>
      </c>
      <c r="BP540" s="23">
        <v>0.9</v>
      </c>
      <c r="BQ540" s="18">
        <v>8.65</v>
      </c>
      <c r="BR540" s="18">
        <v>6.65</v>
      </c>
      <c r="BS540" s="18">
        <v>7.65</v>
      </c>
      <c r="BT540" s="18">
        <v>10.77</v>
      </c>
      <c r="BU540" s="18">
        <v>10.37</v>
      </c>
      <c r="BV540" s="18">
        <v>10.57</v>
      </c>
      <c r="BW540" s="18">
        <v>2.73</v>
      </c>
      <c r="BX540" s="23">
        <v>2.4500000000000002</v>
      </c>
      <c r="BY540" s="23">
        <v>2.59</v>
      </c>
      <c r="BZ540" s="18">
        <v>9.59</v>
      </c>
      <c r="CA540" s="18">
        <v>6.59</v>
      </c>
      <c r="CB540" s="18">
        <v>8.09</v>
      </c>
      <c r="CC540" s="18">
        <v>6.85</v>
      </c>
      <c r="CD540" s="18">
        <v>6.6099999999999994</v>
      </c>
      <c r="CE540" s="18">
        <v>6.7299999999999995</v>
      </c>
      <c r="CF540" s="18">
        <v>2.11</v>
      </c>
      <c r="CG540" s="18">
        <v>1.6099999999999999</v>
      </c>
      <c r="CH540" s="18">
        <v>1.8599999999999999</v>
      </c>
      <c r="CI540" s="18">
        <v>0.43</v>
      </c>
      <c r="CJ540" s="18">
        <v>0.39</v>
      </c>
      <c r="CK540" s="18">
        <v>0.41000000000000003</v>
      </c>
      <c r="CL540" s="18">
        <v>40.24</v>
      </c>
      <c r="CM540">
        <v>37.840000000000003</v>
      </c>
      <c r="CN540">
        <v>39.040000000000006</v>
      </c>
      <c r="CO540">
        <v>6.19</v>
      </c>
      <c r="CP540">
        <v>1.1900000000000004</v>
      </c>
      <c r="CQ540">
        <v>3.6900000000000004</v>
      </c>
    </row>
    <row r="541" spans="1:95">
      <c r="A541" s="229">
        <v>45827</v>
      </c>
      <c r="B541" s="137" t="s">
        <v>99</v>
      </c>
      <c r="C541" s="18">
        <v>145.91999999999999</v>
      </c>
      <c r="D541" s="18">
        <v>143.91999999999999</v>
      </c>
      <c r="E541" s="18">
        <v>144.91999999999999</v>
      </c>
      <c r="F541" s="18">
        <v>167.84</v>
      </c>
      <c r="G541" s="18">
        <v>164.84</v>
      </c>
      <c r="H541" s="18">
        <v>166.34</v>
      </c>
      <c r="I541" s="18">
        <v>107.39</v>
      </c>
      <c r="J541" s="18">
        <v>104.19</v>
      </c>
      <c r="K541" s="18">
        <v>105.78999999999999</v>
      </c>
      <c r="L541" s="18">
        <v>198.4</v>
      </c>
      <c r="M541" s="18">
        <v>190.4</v>
      </c>
      <c r="N541" s="18">
        <v>194.4</v>
      </c>
      <c r="O541" s="18">
        <v>177.78</v>
      </c>
      <c r="P541" s="18">
        <v>175.98</v>
      </c>
      <c r="Q541" s="18">
        <v>176.88</v>
      </c>
      <c r="R541" s="18">
        <v>22.6</v>
      </c>
      <c r="S541" s="18">
        <v>22</v>
      </c>
      <c r="T541" s="18">
        <v>22.3</v>
      </c>
      <c r="U541" s="18">
        <v>14.83</v>
      </c>
      <c r="V541" s="18">
        <v>14.23</v>
      </c>
      <c r="W541" s="18">
        <v>14.530000000000001</v>
      </c>
      <c r="X541" s="18">
        <v>15.42</v>
      </c>
      <c r="Y541" s="18">
        <v>14.62</v>
      </c>
      <c r="Z541" s="18">
        <v>15.02</v>
      </c>
      <c r="AA541" s="18">
        <v>96.15</v>
      </c>
      <c r="AB541" s="18">
        <v>92.15</v>
      </c>
      <c r="AC541" s="18">
        <v>94.15</v>
      </c>
      <c r="AD541" s="18">
        <v>89.27</v>
      </c>
      <c r="AE541" s="18">
        <v>85.27</v>
      </c>
      <c r="AF541" s="18">
        <v>87.27</v>
      </c>
      <c r="AG541" s="18">
        <v>18.88</v>
      </c>
      <c r="AH541" s="18">
        <v>18.02</v>
      </c>
      <c r="AI541" s="18">
        <v>18.45</v>
      </c>
      <c r="AJ541" s="21"/>
      <c r="AK541" s="21"/>
      <c r="AL541" s="21"/>
      <c r="AM541" s="18">
        <v>113.51</v>
      </c>
      <c r="AN541" s="18">
        <v>111.85000000000001</v>
      </c>
      <c r="AO541" s="18">
        <v>112.68</v>
      </c>
      <c r="AP541" s="18">
        <v>39.51</v>
      </c>
      <c r="AQ541" s="18">
        <v>37.909999999999997</v>
      </c>
      <c r="AR541" s="18">
        <v>38.709999999999994</v>
      </c>
      <c r="AS541" s="18">
        <v>40.21</v>
      </c>
      <c r="AT541" s="18">
        <v>38.85</v>
      </c>
      <c r="AU541" s="18">
        <v>39.53</v>
      </c>
      <c r="AV541" s="18">
        <v>20.440000000000001</v>
      </c>
      <c r="AW541" s="18">
        <v>19.84</v>
      </c>
      <c r="AX541" s="18">
        <v>20.14</v>
      </c>
      <c r="AY541" s="18">
        <v>4.5</v>
      </c>
      <c r="AZ541" s="18">
        <v>4.34</v>
      </c>
      <c r="BA541" s="18">
        <v>4.42</v>
      </c>
      <c r="BB541" s="18">
        <v>1.84</v>
      </c>
      <c r="BC541" s="23">
        <v>1.54</v>
      </c>
      <c r="BD541" s="23">
        <v>1.69</v>
      </c>
      <c r="BE541" s="18">
        <v>0.67</v>
      </c>
      <c r="BF541" s="23">
        <v>0.37000000000000005</v>
      </c>
      <c r="BG541" s="23">
        <v>0.52</v>
      </c>
      <c r="BH541" s="18">
        <v>483.46</v>
      </c>
      <c r="BI541" s="18">
        <v>467.46</v>
      </c>
      <c r="BJ541" s="18">
        <v>475.46</v>
      </c>
      <c r="BK541" s="18">
        <v>40.57</v>
      </c>
      <c r="BL541" s="18">
        <v>39.21</v>
      </c>
      <c r="BM541" s="18">
        <v>39.89</v>
      </c>
      <c r="BN541" s="23">
        <v>1.01</v>
      </c>
      <c r="BO541" s="23">
        <v>0.77</v>
      </c>
      <c r="BP541" s="23">
        <v>0.89</v>
      </c>
      <c r="BQ541" s="18">
        <v>8.61</v>
      </c>
      <c r="BR541" s="18">
        <v>6.6099999999999994</v>
      </c>
      <c r="BS541" s="18">
        <v>7.6099999999999994</v>
      </c>
      <c r="BT541" s="18">
        <v>10.75</v>
      </c>
      <c r="BU541" s="18">
        <v>10.35</v>
      </c>
      <c r="BV541" s="18">
        <v>10.55</v>
      </c>
      <c r="BW541" s="18">
        <v>2.71</v>
      </c>
      <c r="BX541" s="23">
        <v>2.4299999999999997</v>
      </c>
      <c r="BY541" s="23">
        <v>2.57</v>
      </c>
      <c r="BZ541" s="18">
        <v>9.5500000000000007</v>
      </c>
      <c r="CA541" s="18">
        <v>6.5500000000000007</v>
      </c>
      <c r="CB541" s="18">
        <v>8.0500000000000007</v>
      </c>
      <c r="CC541" s="18">
        <v>6.83</v>
      </c>
      <c r="CD541" s="18">
        <v>6.59</v>
      </c>
      <c r="CE541" s="18">
        <v>6.71</v>
      </c>
      <c r="CF541" s="18">
        <v>2.1</v>
      </c>
      <c r="CG541" s="18">
        <v>1.6</v>
      </c>
      <c r="CH541" s="18">
        <v>1.85</v>
      </c>
      <c r="CI541" s="18">
        <v>0.43</v>
      </c>
      <c r="CJ541" s="18">
        <v>0.39</v>
      </c>
      <c r="CK541" s="18">
        <v>0.41000000000000003</v>
      </c>
      <c r="CL541" s="18">
        <v>40.15</v>
      </c>
      <c r="CM541">
        <v>37.75</v>
      </c>
      <c r="CN541">
        <v>38.950000000000003</v>
      </c>
      <c r="CO541">
        <v>6.17</v>
      </c>
      <c r="CP541">
        <v>1.17</v>
      </c>
      <c r="CQ541">
        <v>3.67</v>
      </c>
    </row>
    <row r="542" spans="1:95">
      <c r="A542" s="228">
        <v>45828</v>
      </c>
      <c r="B542" t="s">
        <v>100</v>
      </c>
      <c r="C542">
        <v>146.35</v>
      </c>
      <c r="D542">
        <v>144.35</v>
      </c>
      <c r="E542">
        <v>145.35</v>
      </c>
      <c r="F542">
        <v>168.97</v>
      </c>
      <c r="G542">
        <v>165.97</v>
      </c>
      <c r="H542">
        <v>167.47</v>
      </c>
      <c r="I542">
        <v>107.73</v>
      </c>
      <c r="J542">
        <v>104.53</v>
      </c>
      <c r="K542">
        <v>106.13</v>
      </c>
      <c r="L542">
        <v>200.06</v>
      </c>
      <c r="M542">
        <v>192.06</v>
      </c>
      <c r="N542">
        <v>196.06</v>
      </c>
      <c r="O542">
        <v>178.96</v>
      </c>
      <c r="P542">
        <v>177.16</v>
      </c>
      <c r="Q542">
        <v>178.06</v>
      </c>
      <c r="R542">
        <v>22.75</v>
      </c>
      <c r="S542">
        <v>22.15</v>
      </c>
      <c r="T542">
        <v>22.45</v>
      </c>
      <c r="U542">
        <v>14.81</v>
      </c>
      <c r="V542">
        <v>14.21</v>
      </c>
      <c r="W542">
        <v>14.510000000000002</v>
      </c>
      <c r="X542">
        <v>15.5</v>
      </c>
      <c r="Y542">
        <v>14.7</v>
      </c>
      <c r="Z542">
        <v>15.1</v>
      </c>
      <c r="AA542">
        <v>96.27</v>
      </c>
      <c r="AB542">
        <v>92.27</v>
      </c>
      <c r="AC542">
        <v>94.27</v>
      </c>
      <c r="AD542">
        <v>89.24</v>
      </c>
      <c r="AE542">
        <v>85.24</v>
      </c>
      <c r="AF542">
        <v>87.24</v>
      </c>
      <c r="AG542">
        <v>18.940000000000001</v>
      </c>
      <c r="AH542">
        <v>18.080000000000002</v>
      </c>
      <c r="AI542">
        <v>18.510000000000002</v>
      </c>
      <c r="AM542">
        <v>114</v>
      </c>
      <c r="AN542">
        <v>112.34</v>
      </c>
      <c r="AO542">
        <v>113.17</v>
      </c>
      <c r="AP542">
        <v>39.619999999999997</v>
      </c>
      <c r="AQ542">
        <v>38.019999999999996</v>
      </c>
      <c r="AR542">
        <v>38.819999999999993</v>
      </c>
      <c r="AS542">
        <v>40.33</v>
      </c>
      <c r="AT542">
        <v>38.97</v>
      </c>
      <c r="AU542">
        <v>39.65</v>
      </c>
      <c r="AV542">
        <v>20.53</v>
      </c>
      <c r="AW542">
        <v>19.93</v>
      </c>
      <c r="AX542">
        <v>20.23</v>
      </c>
      <c r="AY542">
        <v>4.53</v>
      </c>
      <c r="AZ542">
        <v>4.37</v>
      </c>
      <c r="BA542">
        <v>4.45</v>
      </c>
      <c r="BB542">
        <v>1.84</v>
      </c>
      <c r="BC542">
        <v>1.54</v>
      </c>
      <c r="BD542">
        <v>1.69</v>
      </c>
      <c r="BE542">
        <v>0.67</v>
      </c>
      <c r="BF542">
        <v>0.37000000000000005</v>
      </c>
      <c r="BG542">
        <v>0.52</v>
      </c>
      <c r="BH542">
        <v>484.87</v>
      </c>
      <c r="BI542">
        <v>468.87</v>
      </c>
      <c r="BJ542">
        <v>476.87</v>
      </c>
      <c r="BK542">
        <v>40.68</v>
      </c>
      <c r="BL542">
        <v>39.32</v>
      </c>
      <c r="BM542">
        <v>40</v>
      </c>
      <c r="BN542">
        <v>1.01</v>
      </c>
      <c r="BO542">
        <v>0.77</v>
      </c>
      <c r="BP542">
        <v>0.89</v>
      </c>
      <c r="BQ542">
        <v>8.64</v>
      </c>
      <c r="BR542">
        <v>6.6400000000000006</v>
      </c>
      <c r="BS542">
        <v>7.6400000000000006</v>
      </c>
      <c r="BT542">
        <v>10.83</v>
      </c>
      <c r="BU542">
        <v>10.43</v>
      </c>
      <c r="BV542">
        <v>10.629999999999999</v>
      </c>
      <c r="BW542">
        <v>2.7</v>
      </c>
      <c r="BX542">
        <v>2.42</v>
      </c>
      <c r="BY542">
        <v>2.56</v>
      </c>
      <c r="BZ542">
        <v>9.58</v>
      </c>
      <c r="CA542">
        <v>6.58</v>
      </c>
      <c r="CB542">
        <v>8.08</v>
      </c>
      <c r="CC542">
        <v>6.88</v>
      </c>
      <c r="CD542">
        <v>6.64</v>
      </c>
      <c r="CE542">
        <v>6.76</v>
      </c>
      <c r="CF542">
        <v>2.12</v>
      </c>
      <c r="CG542">
        <v>1.62</v>
      </c>
      <c r="CH542">
        <v>1.87</v>
      </c>
      <c r="CI542">
        <v>0.44</v>
      </c>
      <c r="CJ542">
        <v>0.4</v>
      </c>
      <c r="CK542">
        <v>0.42000000000000004</v>
      </c>
      <c r="CL542">
        <v>40.42</v>
      </c>
      <c r="CM542">
        <v>38.020000000000003</v>
      </c>
      <c r="CN542">
        <v>39.22</v>
      </c>
      <c r="CO542">
        <v>6.18</v>
      </c>
      <c r="CP542">
        <v>1.1799999999999997</v>
      </c>
      <c r="CQ542">
        <v>3.6799999999999997</v>
      </c>
    </row>
    <row r="543" spans="1:95">
      <c r="A543" s="228">
        <v>45829</v>
      </c>
      <c r="B543" t="s">
        <v>307</v>
      </c>
    </row>
    <row r="544" spans="1:95">
      <c r="A544" s="228">
        <v>45830</v>
      </c>
      <c r="B544" t="s">
        <v>308</v>
      </c>
    </row>
    <row r="545" spans="1:95">
      <c r="A545" s="228">
        <v>45831</v>
      </c>
      <c r="B545" t="s">
        <v>96</v>
      </c>
      <c r="C545">
        <v>147.5</v>
      </c>
      <c r="D545">
        <v>145.5</v>
      </c>
      <c r="E545">
        <v>146.5</v>
      </c>
      <c r="F545">
        <v>169.7</v>
      </c>
      <c r="G545">
        <v>166.7</v>
      </c>
      <c r="H545">
        <v>168.2</v>
      </c>
      <c r="I545">
        <v>108.08</v>
      </c>
      <c r="J545">
        <v>104.88</v>
      </c>
      <c r="K545">
        <v>106.47999999999999</v>
      </c>
      <c r="L545">
        <v>200.52</v>
      </c>
      <c r="M545">
        <v>192.52</v>
      </c>
      <c r="N545">
        <v>196.52</v>
      </c>
      <c r="O545">
        <v>179.78</v>
      </c>
      <c r="P545">
        <v>177.98</v>
      </c>
      <c r="Q545">
        <v>178.88</v>
      </c>
      <c r="R545">
        <v>22.85</v>
      </c>
      <c r="S545">
        <v>22.25</v>
      </c>
      <c r="T545">
        <v>22.55</v>
      </c>
      <c r="U545">
        <v>14.74</v>
      </c>
      <c r="V545">
        <v>14.14</v>
      </c>
      <c r="W545">
        <v>14.440000000000001</v>
      </c>
      <c r="X545">
        <v>15.5</v>
      </c>
      <c r="Y545">
        <v>14.7</v>
      </c>
      <c r="Z545">
        <v>15.1</v>
      </c>
      <c r="AA545">
        <v>96.24</v>
      </c>
      <c r="AB545">
        <v>92.24</v>
      </c>
      <c r="AC545">
        <v>94.24</v>
      </c>
      <c r="AD545">
        <v>89.23</v>
      </c>
      <c r="AE545">
        <v>85.23</v>
      </c>
      <c r="AF545">
        <v>87.23</v>
      </c>
      <c r="AG545">
        <v>19.09</v>
      </c>
      <c r="AH545">
        <v>18.23</v>
      </c>
      <c r="AI545">
        <v>18.66</v>
      </c>
      <c r="AM545">
        <v>114.44</v>
      </c>
      <c r="AN545">
        <v>112.78</v>
      </c>
      <c r="AO545">
        <v>113.61</v>
      </c>
      <c r="AP545">
        <v>39.78</v>
      </c>
      <c r="AQ545">
        <v>38.18</v>
      </c>
      <c r="AR545">
        <v>38.980000000000004</v>
      </c>
      <c r="AS545">
        <v>40.64</v>
      </c>
      <c r="AT545">
        <v>39.28</v>
      </c>
      <c r="AU545">
        <v>39.96</v>
      </c>
      <c r="AV545">
        <v>20.68</v>
      </c>
      <c r="AW545">
        <v>20.079999999999998</v>
      </c>
      <c r="AX545">
        <v>20.38</v>
      </c>
      <c r="AY545">
        <v>4.54</v>
      </c>
      <c r="AZ545">
        <v>4.38</v>
      </c>
      <c r="BA545">
        <v>4.46</v>
      </c>
      <c r="BB545">
        <v>1.85</v>
      </c>
      <c r="BC545">
        <v>1.55</v>
      </c>
      <c r="BD545">
        <v>1.7000000000000002</v>
      </c>
      <c r="BE545">
        <v>0.67</v>
      </c>
      <c r="BF545">
        <v>0.37000000000000005</v>
      </c>
      <c r="BG545">
        <v>0.52</v>
      </c>
      <c r="BH545">
        <v>488.64</v>
      </c>
      <c r="BI545">
        <v>472.64</v>
      </c>
      <c r="BJ545">
        <v>480.64</v>
      </c>
      <c r="BK545">
        <v>40.99</v>
      </c>
      <c r="BL545">
        <v>39.630000000000003</v>
      </c>
      <c r="BM545">
        <v>40.31</v>
      </c>
      <c r="BN545">
        <v>1.02</v>
      </c>
      <c r="BO545">
        <v>0.78</v>
      </c>
      <c r="BP545">
        <v>0.9</v>
      </c>
      <c r="BQ545">
        <v>8.61</v>
      </c>
      <c r="BR545">
        <v>6.6099999999999994</v>
      </c>
      <c r="BS545">
        <v>7.6099999999999994</v>
      </c>
      <c r="BT545">
        <v>10.82</v>
      </c>
      <c r="BU545">
        <v>10.42</v>
      </c>
      <c r="BV545">
        <v>10.620000000000001</v>
      </c>
      <c r="BW545">
        <v>2.73</v>
      </c>
      <c r="BX545">
        <v>2.4500000000000002</v>
      </c>
      <c r="BY545">
        <v>2.59</v>
      </c>
      <c r="BZ545">
        <v>9.6</v>
      </c>
      <c r="CA545">
        <v>6.6</v>
      </c>
      <c r="CB545">
        <v>8.1</v>
      </c>
      <c r="CC545">
        <v>6.91</v>
      </c>
      <c r="CD545">
        <v>6.67</v>
      </c>
      <c r="CE545">
        <v>6.79</v>
      </c>
      <c r="CF545">
        <v>2.12</v>
      </c>
      <c r="CG545">
        <v>1.62</v>
      </c>
      <c r="CH545">
        <v>1.87</v>
      </c>
      <c r="CI545">
        <v>0.44</v>
      </c>
      <c r="CJ545">
        <v>0.4</v>
      </c>
      <c r="CK545">
        <v>0.42000000000000004</v>
      </c>
      <c r="CL545">
        <v>40.549999999999997</v>
      </c>
      <c r="CM545">
        <v>38.15</v>
      </c>
      <c r="CN545">
        <v>39.349999999999994</v>
      </c>
      <c r="CO545">
        <v>6.19</v>
      </c>
      <c r="CP545">
        <v>1.1900000000000004</v>
      </c>
      <c r="CQ545">
        <v>3.6900000000000004</v>
      </c>
    </row>
    <row r="546" spans="1:95">
      <c r="A546" s="228">
        <v>45832</v>
      </c>
      <c r="B546" t="s">
        <v>97</v>
      </c>
      <c r="C546">
        <v>146.72</v>
      </c>
      <c r="D546">
        <v>144.72</v>
      </c>
      <c r="E546">
        <v>145.72</v>
      </c>
      <c r="F546">
        <v>170.45</v>
      </c>
      <c r="G546">
        <v>167.45</v>
      </c>
      <c r="H546">
        <v>168.95</v>
      </c>
      <c r="I546">
        <v>107.72</v>
      </c>
      <c r="J546">
        <v>104.52</v>
      </c>
      <c r="K546">
        <v>106.12</v>
      </c>
      <c r="L546">
        <v>201.44</v>
      </c>
      <c r="M546">
        <v>193.44</v>
      </c>
      <c r="N546">
        <v>197.44</v>
      </c>
      <c r="O546">
        <v>180.25</v>
      </c>
      <c r="P546">
        <v>178.45</v>
      </c>
      <c r="Q546">
        <v>179.35</v>
      </c>
      <c r="R546">
        <v>22.95</v>
      </c>
      <c r="S546">
        <v>22.349999999999998</v>
      </c>
      <c r="T546">
        <v>22.65</v>
      </c>
      <c r="U546">
        <v>14.76</v>
      </c>
      <c r="V546">
        <v>14.16</v>
      </c>
      <c r="W546">
        <v>14.46</v>
      </c>
      <c r="X546">
        <v>15.63</v>
      </c>
      <c r="Y546">
        <v>14.83</v>
      </c>
      <c r="Z546">
        <v>15.23</v>
      </c>
      <c r="AA546">
        <v>96.46</v>
      </c>
      <c r="AB546">
        <v>92.46</v>
      </c>
      <c r="AC546">
        <v>94.46</v>
      </c>
      <c r="AD546">
        <v>89.37</v>
      </c>
      <c r="AE546">
        <v>85.37</v>
      </c>
      <c r="AF546">
        <v>87.37</v>
      </c>
      <c r="AG546">
        <v>18.989999999999998</v>
      </c>
      <c r="AH546">
        <v>18.13</v>
      </c>
      <c r="AI546">
        <v>18.559999999999999</v>
      </c>
      <c r="AM546">
        <v>114.43</v>
      </c>
      <c r="AN546">
        <v>112.77000000000001</v>
      </c>
      <c r="AO546">
        <v>113.60000000000001</v>
      </c>
      <c r="AP546">
        <v>39.72</v>
      </c>
      <c r="AQ546">
        <v>38.119999999999997</v>
      </c>
      <c r="AR546">
        <v>38.92</v>
      </c>
      <c r="AS546">
        <v>40.43</v>
      </c>
      <c r="AT546">
        <v>39.07</v>
      </c>
      <c r="AU546">
        <v>39.75</v>
      </c>
      <c r="AV546">
        <v>20.61</v>
      </c>
      <c r="AW546">
        <v>20.009999999999998</v>
      </c>
      <c r="AX546">
        <v>20.309999999999999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0.67</v>
      </c>
      <c r="BF546">
        <v>0.37000000000000005</v>
      </c>
      <c r="BG546">
        <v>0.52</v>
      </c>
      <c r="BH546">
        <v>486.87</v>
      </c>
      <c r="BI546">
        <v>470.87</v>
      </c>
      <c r="BJ546">
        <v>478.87</v>
      </c>
      <c r="BK546">
        <v>40.78</v>
      </c>
      <c r="BL546">
        <v>39.42</v>
      </c>
      <c r="BM546">
        <v>40.1</v>
      </c>
      <c r="BN546">
        <v>1.01</v>
      </c>
      <c r="BO546">
        <v>0.77</v>
      </c>
      <c r="BP546">
        <v>0.89</v>
      </c>
      <c r="BQ546">
        <v>8.64</v>
      </c>
      <c r="BR546">
        <v>6.6400000000000006</v>
      </c>
      <c r="BS546">
        <v>7.6400000000000006</v>
      </c>
      <c r="BT546">
        <v>10.88</v>
      </c>
      <c r="BU546">
        <v>10.48</v>
      </c>
      <c r="BV546">
        <v>10.68</v>
      </c>
      <c r="BW546">
        <v>2.7</v>
      </c>
      <c r="BX546">
        <v>2.42</v>
      </c>
      <c r="BY546">
        <v>2.56</v>
      </c>
      <c r="BZ546">
        <v>9.68</v>
      </c>
      <c r="CA546">
        <v>6.68</v>
      </c>
      <c r="CB546">
        <v>8.18</v>
      </c>
      <c r="CC546">
        <v>6.93</v>
      </c>
      <c r="CD546">
        <v>6.6899999999999995</v>
      </c>
      <c r="CE546">
        <v>6.81</v>
      </c>
      <c r="CF546">
        <v>2.11</v>
      </c>
      <c r="CG546">
        <v>1.6099999999999999</v>
      </c>
      <c r="CH546">
        <v>1.8599999999999999</v>
      </c>
      <c r="CI546">
        <v>0.44</v>
      </c>
      <c r="CJ546">
        <v>0.4</v>
      </c>
      <c r="CK546">
        <v>0.42000000000000004</v>
      </c>
      <c r="CL546">
        <v>40.76</v>
      </c>
      <c r="CM546">
        <v>38.36</v>
      </c>
      <c r="CN546">
        <v>39.56</v>
      </c>
      <c r="CO546">
        <v>6.18</v>
      </c>
      <c r="CP546">
        <v>1.1799999999999997</v>
      </c>
      <c r="CQ546">
        <v>3.6799999999999997</v>
      </c>
    </row>
    <row r="547" spans="1:95">
      <c r="A547" s="228">
        <v>45833</v>
      </c>
      <c r="B547" t="s">
        <v>98</v>
      </c>
      <c r="C547">
        <v>146.06</v>
      </c>
      <c r="D547">
        <v>144.06</v>
      </c>
      <c r="E547">
        <v>145.06</v>
      </c>
      <c r="F547">
        <v>170.13</v>
      </c>
      <c r="G547">
        <v>167.13</v>
      </c>
      <c r="H547">
        <v>168.63</v>
      </c>
      <c r="I547">
        <v>107.31</v>
      </c>
      <c r="J547">
        <v>104.11</v>
      </c>
      <c r="K547">
        <v>105.71000000000001</v>
      </c>
      <c r="L547">
        <v>201.53</v>
      </c>
      <c r="M547">
        <v>193.53</v>
      </c>
      <c r="N547">
        <v>197.53</v>
      </c>
      <c r="O547">
        <v>181.19</v>
      </c>
      <c r="P547">
        <v>179.39</v>
      </c>
      <c r="Q547">
        <v>180.29</v>
      </c>
      <c r="R547">
        <v>22.9</v>
      </c>
      <c r="S547">
        <v>22.299999999999997</v>
      </c>
      <c r="T547">
        <v>22.599999999999998</v>
      </c>
      <c r="U547">
        <v>14.66</v>
      </c>
      <c r="V547">
        <v>14.06</v>
      </c>
      <c r="W547">
        <v>14.36</v>
      </c>
      <c r="X547">
        <v>15.66</v>
      </c>
      <c r="Y547">
        <v>14.86</v>
      </c>
      <c r="Z547">
        <v>15.26</v>
      </c>
      <c r="AA547">
        <v>96.26</v>
      </c>
      <c r="AB547">
        <v>92.26</v>
      </c>
      <c r="AC547">
        <v>94.26</v>
      </c>
      <c r="AD547">
        <v>89.3</v>
      </c>
      <c r="AE547">
        <v>85.3</v>
      </c>
      <c r="AF547">
        <v>87.3</v>
      </c>
      <c r="AG547">
        <v>18.91</v>
      </c>
      <c r="AH547">
        <v>18.05</v>
      </c>
      <c r="AI547">
        <v>18.48</v>
      </c>
      <c r="AM547">
        <v>114.23</v>
      </c>
      <c r="AN547">
        <v>112.57000000000001</v>
      </c>
      <c r="AO547">
        <v>113.4</v>
      </c>
      <c r="AP547">
        <v>39.56</v>
      </c>
      <c r="AQ547">
        <v>37.96</v>
      </c>
      <c r="AR547">
        <v>38.760000000000005</v>
      </c>
      <c r="AS547">
        <v>40.25</v>
      </c>
      <c r="AT547">
        <v>38.89</v>
      </c>
      <c r="AU547">
        <v>39.57</v>
      </c>
      <c r="AV547">
        <v>20.55</v>
      </c>
      <c r="AW547">
        <v>19.95</v>
      </c>
      <c r="AX547">
        <v>20.25</v>
      </c>
      <c r="AY547">
        <v>4.53</v>
      </c>
      <c r="AZ547">
        <v>4.37</v>
      </c>
      <c r="BA547">
        <v>4.45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485.01</v>
      </c>
      <c r="BI547">
        <v>469.01</v>
      </c>
      <c r="BJ547">
        <v>477.01</v>
      </c>
      <c r="BK547">
        <v>40.619999999999997</v>
      </c>
      <c r="BL547">
        <v>39.26</v>
      </c>
      <c r="BM547">
        <v>39.94</v>
      </c>
      <c r="BN547">
        <v>1.01</v>
      </c>
      <c r="BO547">
        <v>0.77</v>
      </c>
      <c r="BP547">
        <v>0.89</v>
      </c>
      <c r="BQ547">
        <v>8.64</v>
      </c>
      <c r="BR547">
        <v>6.6400000000000006</v>
      </c>
      <c r="BS547">
        <v>7.6400000000000006</v>
      </c>
      <c r="BT547">
        <v>10.89</v>
      </c>
      <c r="BU547">
        <v>10.49</v>
      </c>
      <c r="BV547">
        <v>10.690000000000001</v>
      </c>
      <c r="BW547">
        <v>2.7</v>
      </c>
      <c r="BX547">
        <v>2.42</v>
      </c>
      <c r="BY547">
        <v>2.56</v>
      </c>
      <c r="BZ547">
        <v>9.67</v>
      </c>
      <c r="CA547">
        <v>6.67</v>
      </c>
      <c r="CB547">
        <v>8.17</v>
      </c>
      <c r="CC547">
        <v>6.92</v>
      </c>
      <c r="CD547">
        <v>6.68</v>
      </c>
      <c r="CE547">
        <v>6.8</v>
      </c>
      <c r="CF547">
        <v>2.11</v>
      </c>
      <c r="CG547">
        <v>1.6099999999999999</v>
      </c>
      <c r="CH547">
        <v>1.8599999999999999</v>
      </c>
      <c r="CI547">
        <v>0.44</v>
      </c>
      <c r="CJ547">
        <v>0.4</v>
      </c>
      <c r="CK547">
        <v>0.42000000000000004</v>
      </c>
      <c r="CL547">
        <v>40.880000000000003</v>
      </c>
      <c r="CM547">
        <v>38.480000000000004</v>
      </c>
      <c r="CN547">
        <v>39.680000000000007</v>
      </c>
      <c r="CO547">
        <v>6.17</v>
      </c>
      <c r="CP547">
        <v>1.17</v>
      </c>
      <c r="CQ547">
        <v>3.67</v>
      </c>
    </row>
    <row r="548" spans="1:95">
      <c r="A548" s="228">
        <v>45834</v>
      </c>
      <c r="B548" t="s">
        <v>99</v>
      </c>
      <c r="C548">
        <v>145.80000000000001</v>
      </c>
      <c r="D548">
        <v>143.80000000000001</v>
      </c>
      <c r="E548">
        <v>144.80000000000001</v>
      </c>
      <c r="F548">
        <v>170.57</v>
      </c>
      <c r="G548">
        <v>167.57</v>
      </c>
      <c r="H548">
        <v>169.07</v>
      </c>
      <c r="I548">
        <v>107.16</v>
      </c>
      <c r="J548">
        <v>103.96</v>
      </c>
      <c r="K548">
        <v>105.56</v>
      </c>
      <c r="L548">
        <v>202.16</v>
      </c>
      <c r="M548">
        <v>194.16</v>
      </c>
      <c r="N548">
        <v>198.16</v>
      </c>
      <c r="O548">
        <v>181.02</v>
      </c>
      <c r="P548">
        <v>179.22</v>
      </c>
      <c r="Q548">
        <v>180.12</v>
      </c>
      <c r="R548">
        <v>22.96</v>
      </c>
      <c r="S548">
        <v>22.36</v>
      </c>
      <c r="T548">
        <v>22.66</v>
      </c>
      <c r="U548">
        <v>14.61</v>
      </c>
      <c r="V548">
        <v>14.01</v>
      </c>
      <c r="W548">
        <v>14.309999999999999</v>
      </c>
      <c r="X548">
        <v>15.71</v>
      </c>
      <c r="Y548">
        <v>14.91</v>
      </c>
      <c r="Z548">
        <v>15.31</v>
      </c>
      <c r="AA548">
        <v>96.4</v>
      </c>
      <c r="AB548">
        <v>92.4</v>
      </c>
      <c r="AC548">
        <v>94.4</v>
      </c>
      <c r="AD548">
        <v>89.6</v>
      </c>
      <c r="AE548">
        <v>85.6</v>
      </c>
      <c r="AF548">
        <v>87.6</v>
      </c>
      <c r="AG548">
        <v>18.87</v>
      </c>
      <c r="AH548">
        <v>18.010000000000002</v>
      </c>
      <c r="AI548">
        <v>18.440000000000001</v>
      </c>
      <c r="AM548">
        <v>114.26</v>
      </c>
      <c r="AN548">
        <v>112.60000000000001</v>
      </c>
      <c r="AO548">
        <v>113.43</v>
      </c>
      <c r="AP548">
        <v>39.51</v>
      </c>
      <c r="AQ548">
        <v>37.909999999999997</v>
      </c>
      <c r="AR548">
        <v>38.709999999999994</v>
      </c>
      <c r="AS548">
        <v>40.18</v>
      </c>
      <c r="AT548">
        <v>38.82</v>
      </c>
      <c r="AU548">
        <v>39.5</v>
      </c>
      <c r="AV548">
        <v>20.49</v>
      </c>
      <c r="AW548">
        <v>19.889999999999997</v>
      </c>
      <c r="AX548">
        <v>20.189999999999998</v>
      </c>
      <c r="AY548">
        <v>4.53</v>
      </c>
      <c r="AZ548">
        <v>4.37</v>
      </c>
      <c r="BA548">
        <v>4.45</v>
      </c>
      <c r="BB548">
        <v>1.85</v>
      </c>
      <c r="BC548">
        <v>1.55</v>
      </c>
      <c r="BD548">
        <v>1.7000000000000002</v>
      </c>
      <c r="BE548">
        <v>0.67</v>
      </c>
      <c r="BF548">
        <v>0.37000000000000005</v>
      </c>
      <c r="BG548">
        <v>0.52</v>
      </c>
      <c r="BH548">
        <v>484.47</v>
      </c>
      <c r="BI548">
        <v>468.47</v>
      </c>
      <c r="BJ548">
        <v>476.47</v>
      </c>
      <c r="BK548">
        <v>40.53</v>
      </c>
      <c r="BL548">
        <v>39.17</v>
      </c>
      <c r="BM548">
        <v>39.85</v>
      </c>
      <c r="BN548">
        <v>1.01</v>
      </c>
      <c r="BO548">
        <v>0.77</v>
      </c>
      <c r="BP548">
        <v>0.89</v>
      </c>
      <c r="BQ548">
        <v>8.66</v>
      </c>
      <c r="BR548">
        <v>6.66</v>
      </c>
      <c r="BS548">
        <v>7.66</v>
      </c>
      <c r="BT548">
        <v>10.87</v>
      </c>
      <c r="BU548">
        <v>10.469999999999999</v>
      </c>
      <c r="BV548">
        <v>10.669999999999998</v>
      </c>
      <c r="BW548">
        <v>2.72</v>
      </c>
      <c r="BX548">
        <v>2.4400000000000004</v>
      </c>
      <c r="BY548">
        <v>2.58</v>
      </c>
      <c r="BZ548">
        <v>9.68</v>
      </c>
      <c r="CA548">
        <v>6.68</v>
      </c>
      <c r="CB548">
        <v>8.18</v>
      </c>
      <c r="CC548">
        <v>6.95</v>
      </c>
      <c r="CD548">
        <v>6.71</v>
      </c>
      <c r="CE548">
        <v>6.83</v>
      </c>
      <c r="CF548">
        <v>2.1</v>
      </c>
      <c r="CG548">
        <v>1.6</v>
      </c>
      <c r="CH548">
        <v>1.85</v>
      </c>
      <c r="CI548">
        <v>0.44</v>
      </c>
      <c r="CJ548">
        <v>0.4</v>
      </c>
      <c r="CK548">
        <v>0.42000000000000004</v>
      </c>
      <c r="CL548">
        <v>41.01</v>
      </c>
      <c r="CM548">
        <v>38.61</v>
      </c>
      <c r="CN548">
        <v>39.81</v>
      </c>
      <c r="CO548">
        <v>6.15</v>
      </c>
      <c r="CP548">
        <v>1.1500000000000004</v>
      </c>
      <c r="CQ548">
        <v>3.6500000000000004</v>
      </c>
    </row>
    <row r="549" spans="1:95">
      <c r="A549" s="228">
        <v>45835</v>
      </c>
      <c r="B549" t="s">
        <v>100</v>
      </c>
      <c r="C549">
        <v>145.58000000000001</v>
      </c>
      <c r="D549">
        <v>143.58000000000001</v>
      </c>
      <c r="E549">
        <v>144.58000000000001</v>
      </c>
      <c r="F549">
        <v>170.57</v>
      </c>
      <c r="G549">
        <v>167.57</v>
      </c>
      <c r="H549">
        <v>169.07</v>
      </c>
      <c r="I549">
        <v>107.54</v>
      </c>
      <c r="J549">
        <v>104.34</v>
      </c>
      <c r="K549">
        <v>105.94</v>
      </c>
      <c r="L549">
        <v>202.61</v>
      </c>
      <c r="M549">
        <v>194.61</v>
      </c>
      <c r="N549">
        <v>198.61</v>
      </c>
      <c r="O549">
        <v>181.38</v>
      </c>
      <c r="P549">
        <v>179.57999999999998</v>
      </c>
      <c r="Q549">
        <v>180.48</v>
      </c>
      <c r="R549">
        <v>22.96</v>
      </c>
      <c r="S549">
        <v>22.36</v>
      </c>
      <c r="T549">
        <v>22.66</v>
      </c>
      <c r="U549">
        <v>14.65</v>
      </c>
      <c r="V549">
        <v>14.05</v>
      </c>
      <c r="W549">
        <v>14.350000000000001</v>
      </c>
      <c r="X549">
        <v>15.61</v>
      </c>
      <c r="Y549">
        <v>14.809999999999999</v>
      </c>
      <c r="Z549">
        <v>15.209999999999999</v>
      </c>
      <c r="AA549">
        <v>96.74</v>
      </c>
      <c r="AB549">
        <v>92.74</v>
      </c>
      <c r="AC549">
        <v>94.74</v>
      </c>
      <c r="AD549">
        <v>89.73</v>
      </c>
      <c r="AE549">
        <v>85.73</v>
      </c>
      <c r="AF549">
        <v>87.73</v>
      </c>
      <c r="AG549">
        <v>18.84</v>
      </c>
      <c r="AH549">
        <v>17.98</v>
      </c>
      <c r="AI549">
        <v>18.41</v>
      </c>
      <c r="AM549">
        <v>114.24</v>
      </c>
      <c r="AN549">
        <v>112.58</v>
      </c>
      <c r="AO549">
        <v>113.41</v>
      </c>
      <c r="AP549">
        <v>39.44</v>
      </c>
      <c r="AQ549">
        <v>37.839999999999996</v>
      </c>
      <c r="AR549">
        <v>38.64</v>
      </c>
      <c r="AS549">
        <v>39.979999999999997</v>
      </c>
      <c r="AT549">
        <v>38.619999999999997</v>
      </c>
      <c r="AU549">
        <v>39.299999999999997</v>
      </c>
      <c r="AV549">
        <v>20.47</v>
      </c>
      <c r="AW549">
        <v>19.869999999999997</v>
      </c>
      <c r="AX549">
        <v>20.169999999999998</v>
      </c>
      <c r="AY549">
        <v>4.5199999999999996</v>
      </c>
      <c r="AZ549">
        <v>4.3599999999999994</v>
      </c>
      <c r="BA549">
        <v>4.4399999999999995</v>
      </c>
      <c r="BB549">
        <v>1.85</v>
      </c>
      <c r="BC549">
        <v>1.55</v>
      </c>
      <c r="BD549">
        <v>1.7000000000000002</v>
      </c>
      <c r="BE549">
        <v>0.66</v>
      </c>
      <c r="BF549">
        <v>0.36000000000000004</v>
      </c>
      <c r="BG549">
        <v>0.51</v>
      </c>
      <c r="BH549">
        <v>483.44</v>
      </c>
      <c r="BI549">
        <v>467.44</v>
      </c>
      <c r="BJ549">
        <v>475.44</v>
      </c>
      <c r="BK549">
        <v>40.47</v>
      </c>
      <c r="BL549">
        <v>39.11</v>
      </c>
      <c r="BM549">
        <v>39.79</v>
      </c>
      <c r="BN549">
        <v>1.02</v>
      </c>
      <c r="BO549">
        <v>0.78</v>
      </c>
      <c r="BP549">
        <v>0.9</v>
      </c>
      <c r="BQ549">
        <v>8.67</v>
      </c>
      <c r="BR549">
        <v>6.67</v>
      </c>
      <c r="BS549">
        <v>7.67</v>
      </c>
      <c r="BT549">
        <v>10.88</v>
      </c>
      <c r="BU549">
        <v>10.48</v>
      </c>
      <c r="BV549">
        <v>10.68</v>
      </c>
      <c r="BW549">
        <v>2.72</v>
      </c>
      <c r="BX549">
        <v>2.4400000000000004</v>
      </c>
      <c r="BY549">
        <v>2.58</v>
      </c>
      <c r="BZ549">
        <v>9.59</v>
      </c>
      <c r="CA549">
        <v>6.59</v>
      </c>
      <c r="CB549">
        <v>8.09</v>
      </c>
      <c r="CC549">
        <v>6.96</v>
      </c>
      <c r="CD549">
        <v>6.72</v>
      </c>
      <c r="CE549">
        <v>6.84</v>
      </c>
      <c r="CF549">
        <v>2.09</v>
      </c>
      <c r="CG549">
        <v>1.5899999999999999</v>
      </c>
      <c r="CH549">
        <v>1.8399999999999999</v>
      </c>
      <c r="CI549">
        <v>0.44</v>
      </c>
      <c r="CJ549">
        <v>0.4</v>
      </c>
      <c r="CK549">
        <v>0.42000000000000004</v>
      </c>
      <c r="CL549">
        <v>41.1</v>
      </c>
      <c r="CM549">
        <v>38.700000000000003</v>
      </c>
      <c r="CN549">
        <v>39.900000000000006</v>
      </c>
      <c r="CO549">
        <v>6.15</v>
      </c>
      <c r="CP549">
        <v>1.1500000000000004</v>
      </c>
      <c r="CQ549">
        <v>3.6500000000000004</v>
      </c>
    </row>
    <row r="550" spans="1:95">
      <c r="A550" s="228">
        <v>45836</v>
      </c>
      <c r="B550" t="s">
        <v>307</v>
      </c>
    </row>
    <row r="551" spans="1:95">
      <c r="A551" s="228">
        <v>45837</v>
      </c>
      <c r="B551" t="s">
        <v>308</v>
      </c>
    </row>
    <row r="552" spans="1:95">
      <c r="A552" s="228">
        <v>45838</v>
      </c>
      <c r="B552" t="s">
        <v>96</v>
      </c>
      <c r="C552">
        <v>145.81</v>
      </c>
      <c r="D552">
        <v>143.81</v>
      </c>
      <c r="E552">
        <v>144.81</v>
      </c>
      <c r="F552">
        <v>171.16</v>
      </c>
      <c r="G552">
        <v>168.16</v>
      </c>
      <c r="H552">
        <v>169.66</v>
      </c>
      <c r="I552">
        <v>107.29</v>
      </c>
      <c r="J552">
        <v>104.09</v>
      </c>
      <c r="K552">
        <v>105.69</v>
      </c>
      <c r="L552">
        <v>202.56</v>
      </c>
      <c r="M552">
        <v>194.56</v>
      </c>
      <c r="N552">
        <v>198.56</v>
      </c>
      <c r="O552">
        <v>182.07</v>
      </c>
      <c r="P552">
        <v>180.26999999999998</v>
      </c>
      <c r="Q552">
        <v>181.17</v>
      </c>
      <c r="R552">
        <v>23.04</v>
      </c>
      <c r="S552">
        <v>22.439999999999998</v>
      </c>
      <c r="T552">
        <v>22.74</v>
      </c>
      <c r="U552">
        <v>14.65</v>
      </c>
      <c r="V552">
        <v>14.05</v>
      </c>
      <c r="W552">
        <v>14.350000000000001</v>
      </c>
      <c r="X552">
        <v>15.67</v>
      </c>
      <c r="Y552">
        <v>14.87</v>
      </c>
      <c r="Z552">
        <v>15.27</v>
      </c>
      <c r="AA552">
        <v>96.5</v>
      </c>
      <c r="AB552">
        <v>92.5</v>
      </c>
      <c r="AC552">
        <v>94.5</v>
      </c>
      <c r="AD552">
        <v>89.71</v>
      </c>
      <c r="AE552">
        <v>85.71</v>
      </c>
      <c r="AF552">
        <v>87.71</v>
      </c>
      <c r="AG552">
        <v>18.87</v>
      </c>
      <c r="AH552">
        <v>18.010000000000002</v>
      </c>
      <c r="AI552">
        <v>18.440000000000001</v>
      </c>
      <c r="AM552">
        <v>114.34</v>
      </c>
      <c r="AN552">
        <v>112.68</v>
      </c>
      <c r="AO552">
        <v>113.51</v>
      </c>
      <c r="AP552">
        <v>39.49</v>
      </c>
      <c r="AQ552">
        <v>37.89</v>
      </c>
      <c r="AR552">
        <v>38.69</v>
      </c>
      <c r="AS552">
        <v>40.18</v>
      </c>
      <c r="AT552">
        <v>38.82</v>
      </c>
      <c r="AU552">
        <v>39.5</v>
      </c>
      <c r="AV552">
        <v>20.49</v>
      </c>
      <c r="AW552">
        <v>19.889999999999997</v>
      </c>
      <c r="AX552">
        <v>20.189999999999998</v>
      </c>
      <c r="AY552">
        <v>4.5199999999999996</v>
      </c>
      <c r="AZ552">
        <v>4.3599999999999994</v>
      </c>
      <c r="BA552">
        <v>4.4399999999999995</v>
      </c>
      <c r="BB552">
        <v>1.85</v>
      </c>
      <c r="BC552">
        <v>1.55</v>
      </c>
      <c r="BD552">
        <v>1.7000000000000002</v>
      </c>
      <c r="BE552">
        <v>0.67</v>
      </c>
      <c r="BF552">
        <v>0.37000000000000005</v>
      </c>
      <c r="BG552">
        <v>0.52</v>
      </c>
      <c r="BH552">
        <v>484.51</v>
      </c>
      <c r="BI552">
        <v>468.51</v>
      </c>
      <c r="BJ552">
        <v>476.51</v>
      </c>
      <c r="BK552">
        <v>40.53</v>
      </c>
      <c r="BL552">
        <v>39.17</v>
      </c>
      <c r="BM552">
        <v>39.85</v>
      </c>
      <c r="BN552">
        <v>1.02</v>
      </c>
      <c r="BO552">
        <v>0.78</v>
      </c>
      <c r="BP552">
        <v>0.9</v>
      </c>
      <c r="BQ552">
        <v>8.69</v>
      </c>
      <c r="BR552">
        <v>6.6899999999999995</v>
      </c>
      <c r="BS552">
        <v>7.6899999999999995</v>
      </c>
      <c r="BT552">
        <v>10.87</v>
      </c>
      <c r="BU552">
        <v>10.469999999999999</v>
      </c>
      <c r="BV552">
        <v>10.669999999999998</v>
      </c>
      <c r="BW552">
        <v>2.73</v>
      </c>
      <c r="BX552">
        <v>2.4500000000000002</v>
      </c>
      <c r="BY552">
        <v>2.59</v>
      </c>
      <c r="BZ552">
        <v>9.6300000000000008</v>
      </c>
      <c r="CA552">
        <v>6.6300000000000008</v>
      </c>
      <c r="CB552">
        <v>8.1300000000000008</v>
      </c>
      <c r="CC552">
        <v>6.98</v>
      </c>
      <c r="CD552">
        <v>6.74</v>
      </c>
      <c r="CE552">
        <v>6.86</v>
      </c>
      <c r="CF552">
        <v>2.1</v>
      </c>
      <c r="CG552">
        <v>1.6</v>
      </c>
      <c r="CH552">
        <v>1.85</v>
      </c>
      <c r="CI552">
        <v>0.45</v>
      </c>
      <c r="CJ552">
        <v>0.41000000000000003</v>
      </c>
      <c r="CK552">
        <v>0.43000000000000005</v>
      </c>
      <c r="CL552">
        <v>41.25</v>
      </c>
      <c r="CM552">
        <v>38.85</v>
      </c>
      <c r="CN552">
        <v>40.049999999999997</v>
      </c>
      <c r="CO552">
        <v>6.13</v>
      </c>
      <c r="CP552">
        <v>1.1299999999999999</v>
      </c>
      <c r="CQ552">
        <v>3.63</v>
      </c>
    </row>
    <row r="553" spans="1:95">
      <c r="A553" s="228">
        <v>45839</v>
      </c>
      <c r="B553" t="s">
        <v>97</v>
      </c>
      <c r="C553">
        <v>144.69</v>
      </c>
      <c r="D553">
        <v>142.69</v>
      </c>
      <c r="E553">
        <v>143.69</v>
      </c>
      <c r="F553">
        <v>170.97</v>
      </c>
      <c r="G553">
        <v>167.97</v>
      </c>
      <c r="H553">
        <v>169.47</v>
      </c>
      <c r="I553">
        <v>107.2</v>
      </c>
      <c r="J553">
        <v>104</v>
      </c>
      <c r="K553">
        <v>105.6</v>
      </c>
      <c r="L553">
        <v>201.43</v>
      </c>
      <c r="M553">
        <v>193.43</v>
      </c>
      <c r="N553">
        <v>197.43</v>
      </c>
      <c r="O553">
        <v>182.3</v>
      </c>
      <c r="P553">
        <v>180.5</v>
      </c>
      <c r="Q553">
        <v>181.4</v>
      </c>
      <c r="R553">
        <v>23.02</v>
      </c>
      <c r="S553">
        <v>22.419999999999998</v>
      </c>
      <c r="T553">
        <v>22.72</v>
      </c>
      <c r="U553">
        <v>14.56</v>
      </c>
      <c r="V553">
        <v>13.96</v>
      </c>
      <c r="W553">
        <v>14.260000000000002</v>
      </c>
      <c r="X553">
        <v>15.59</v>
      </c>
      <c r="Y553">
        <v>14.79</v>
      </c>
      <c r="Z553">
        <v>15.19</v>
      </c>
      <c r="AA553">
        <v>96.5</v>
      </c>
      <c r="AB553">
        <v>92.5</v>
      </c>
      <c r="AC553">
        <v>94.5</v>
      </c>
      <c r="AD553">
        <v>89.56</v>
      </c>
      <c r="AE553">
        <v>85.56</v>
      </c>
      <c r="AF553">
        <v>87.56</v>
      </c>
      <c r="AG553">
        <v>18.73</v>
      </c>
      <c r="AH553">
        <v>17.87</v>
      </c>
      <c r="AI553">
        <v>18.3</v>
      </c>
      <c r="AM553">
        <v>113.9</v>
      </c>
      <c r="AN553">
        <v>112.24000000000001</v>
      </c>
      <c r="AO553">
        <v>113.07000000000001</v>
      </c>
      <c r="AP553">
        <v>39.200000000000003</v>
      </c>
      <c r="AQ553">
        <v>37.6</v>
      </c>
      <c r="AR553">
        <v>38.400000000000006</v>
      </c>
      <c r="AS553">
        <v>39.880000000000003</v>
      </c>
      <c r="AT553">
        <v>38.520000000000003</v>
      </c>
      <c r="AU553">
        <v>39.200000000000003</v>
      </c>
      <c r="AV553">
        <v>20.38</v>
      </c>
      <c r="AW553">
        <v>19.779999999999998</v>
      </c>
      <c r="AX553">
        <v>20.079999999999998</v>
      </c>
      <c r="AY553">
        <v>4.51</v>
      </c>
      <c r="AZ553">
        <v>4.3499999999999996</v>
      </c>
      <c r="BA553">
        <v>4.43</v>
      </c>
      <c r="BB553">
        <v>1.84</v>
      </c>
      <c r="BC553">
        <v>1.54</v>
      </c>
      <c r="BD553">
        <v>1.69</v>
      </c>
      <c r="BE553">
        <v>0.66</v>
      </c>
      <c r="BF553">
        <v>0.36000000000000004</v>
      </c>
      <c r="BG553">
        <v>0.51</v>
      </c>
      <c r="BH553">
        <v>480.82</v>
      </c>
      <c r="BI553">
        <v>464.82</v>
      </c>
      <c r="BJ553">
        <v>472.82</v>
      </c>
      <c r="BK553">
        <v>40.22</v>
      </c>
      <c r="BL553">
        <v>38.86</v>
      </c>
      <c r="BM553">
        <v>39.54</v>
      </c>
      <c r="BN553">
        <v>1.01</v>
      </c>
      <c r="BO553">
        <v>0.77</v>
      </c>
      <c r="BP553">
        <v>0.89</v>
      </c>
      <c r="BQ553">
        <v>8.66</v>
      </c>
      <c r="BR553">
        <v>6.66</v>
      </c>
      <c r="BS553">
        <v>7.66</v>
      </c>
      <c r="BT553">
        <v>10.86</v>
      </c>
      <c r="BU553">
        <v>10.459999999999999</v>
      </c>
      <c r="BV553">
        <v>10.66</v>
      </c>
      <c r="BW553">
        <v>2.72</v>
      </c>
      <c r="BX553">
        <v>2.4400000000000004</v>
      </c>
      <c r="BY553">
        <v>2.58</v>
      </c>
      <c r="BZ553">
        <v>9.6199999999999992</v>
      </c>
      <c r="CA553">
        <v>6.6199999999999992</v>
      </c>
      <c r="CB553">
        <v>8.1199999999999992</v>
      </c>
      <c r="CC553">
        <v>6.98</v>
      </c>
      <c r="CD553">
        <v>6.74</v>
      </c>
      <c r="CE553">
        <v>6.86</v>
      </c>
      <c r="CF553">
        <v>2.09</v>
      </c>
      <c r="CG553">
        <v>1.5899999999999999</v>
      </c>
      <c r="CH553">
        <v>1.8399999999999999</v>
      </c>
      <c r="CI553">
        <v>0.44</v>
      </c>
      <c r="CJ553">
        <v>0.4</v>
      </c>
      <c r="CK553">
        <v>0.42000000000000004</v>
      </c>
      <c r="CL553">
        <v>41.15</v>
      </c>
      <c r="CM553">
        <v>38.75</v>
      </c>
      <c r="CN553">
        <v>39.950000000000003</v>
      </c>
      <c r="CO553">
        <v>6.11</v>
      </c>
      <c r="CP553">
        <v>1.1100000000000003</v>
      </c>
      <c r="CQ553">
        <v>3.6100000000000003</v>
      </c>
    </row>
    <row r="554" spans="1:95">
      <c r="A554" s="228">
        <v>45840</v>
      </c>
      <c r="B554" t="s">
        <v>98</v>
      </c>
      <c r="C554">
        <v>144.69999999999999</v>
      </c>
      <c r="D554">
        <v>142.69999999999999</v>
      </c>
      <c r="E554">
        <v>143.69999999999999</v>
      </c>
      <c r="F554">
        <v>171.08</v>
      </c>
      <c r="G554">
        <v>168.08</v>
      </c>
      <c r="H554">
        <v>169.58</v>
      </c>
      <c r="I554">
        <v>106.94</v>
      </c>
      <c r="J554">
        <v>103.74</v>
      </c>
      <c r="K554">
        <v>105.34</v>
      </c>
      <c r="L554">
        <v>201.53</v>
      </c>
      <c r="M554">
        <v>193.53</v>
      </c>
      <c r="N554">
        <v>197.53</v>
      </c>
      <c r="O554">
        <v>182.55</v>
      </c>
      <c r="P554">
        <v>180.75</v>
      </c>
      <c r="Q554">
        <v>181.65</v>
      </c>
      <c r="R554">
        <v>23.03</v>
      </c>
      <c r="S554">
        <v>22.43</v>
      </c>
      <c r="T554">
        <v>22.73</v>
      </c>
      <c r="U554">
        <v>14.57</v>
      </c>
      <c r="V554">
        <v>13.97</v>
      </c>
      <c r="W554">
        <v>14.27</v>
      </c>
      <c r="X554">
        <v>15.55</v>
      </c>
      <c r="Y554">
        <v>14.75</v>
      </c>
      <c r="Z554">
        <v>15.15</v>
      </c>
      <c r="AA554">
        <v>96.57</v>
      </c>
      <c r="AB554">
        <v>92.57</v>
      </c>
      <c r="AC554">
        <v>94.57</v>
      </c>
      <c r="AD554">
        <v>89.71</v>
      </c>
      <c r="AE554">
        <v>85.71</v>
      </c>
      <c r="AF554">
        <v>87.71</v>
      </c>
      <c r="AG554">
        <v>18.73</v>
      </c>
      <c r="AH554">
        <v>17.87</v>
      </c>
      <c r="AI554">
        <v>18.3</v>
      </c>
      <c r="AM554">
        <v>113.67</v>
      </c>
      <c r="AN554">
        <v>112.01</v>
      </c>
      <c r="AO554">
        <v>112.84</v>
      </c>
      <c r="AP554">
        <v>39.200000000000003</v>
      </c>
      <c r="AQ554">
        <v>37.6</v>
      </c>
      <c r="AR554">
        <v>38.400000000000006</v>
      </c>
      <c r="AS554">
        <v>39.880000000000003</v>
      </c>
      <c r="AT554">
        <v>38.520000000000003</v>
      </c>
      <c r="AU554">
        <v>39.200000000000003</v>
      </c>
      <c r="AV554">
        <v>20.36</v>
      </c>
      <c r="AW554">
        <v>19.759999999999998</v>
      </c>
      <c r="AX554">
        <v>20.059999999999999</v>
      </c>
      <c r="AY554">
        <v>4.51</v>
      </c>
      <c r="AZ554">
        <v>4.3499999999999996</v>
      </c>
      <c r="BA554">
        <v>4.43</v>
      </c>
      <c r="BB554">
        <v>1.84</v>
      </c>
      <c r="BC554">
        <v>1.54</v>
      </c>
      <c r="BD554">
        <v>1.69</v>
      </c>
      <c r="BE554">
        <v>0.66</v>
      </c>
      <c r="BF554">
        <v>0.36000000000000004</v>
      </c>
      <c r="BG554">
        <v>0.51</v>
      </c>
      <c r="BH554">
        <v>481.32</v>
      </c>
      <c r="BI554">
        <v>465.32</v>
      </c>
      <c r="BJ554">
        <v>473.32</v>
      </c>
      <c r="BK554">
        <v>40.229999999999997</v>
      </c>
      <c r="BL554">
        <v>38.869999999999997</v>
      </c>
      <c r="BM554">
        <v>39.549999999999997</v>
      </c>
      <c r="BN554">
        <v>1.01</v>
      </c>
      <c r="BO554">
        <v>0.77</v>
      </c>
      <c r="BP554">
        <v>0.89</v>
      </c>
      <c r="BQ554">
        <v>8.67</v>
      </c>
      <c r="BR554">
        <v>6.67</v>
      </c>
      <c r="BS554">
        <v>7.67</v>
      </c>
      <c r="BT554">
        <v>10.81</v>
      </c>
      <c r="BU554">
        <v>10.41</v>
      </c>
      <c r="BV554">
        <v>10.61</v>
      </c>
      <c r="BW554">
        <v>2.72</v>
      </c>
      <c r="BX554">
        <v>2.4400000000000004</v>
      </c>
      <c r="BY554">
        <v>2.58</v>
      </c>
      <c r="BZ554">
        <v>9.66</v>
      </c>
      <c r="CA554">
        <v>6.66</v>
      </c>
      <c r="CB554">
        <v>8.16</v>
      </c>
      <c r="CC554">
        <v>6.99</v>
      </c>
      <c r="CD554">
        <v>6.75</v>
      </c>
      <c r="CE554">
        <v>6.87</v>
      </c>
      <c r="CF554">
        <v>2.08</v>
      </c>
      <c r="CG554">
        <v>1.58</v>
      </c>
      <c r="CH554">
        <v>1.83</v>
      </c>
      <c r="CI554">
        <v>0.45</v>
      </c>
      <c r="CJ554">
        <v>0.41000000000000003</v>
      </c>
      <c r="CK554">
        <v>0.43000000000000005</v>
      </c>
      <c r="CL554">
        <v>41.13</v>
      </c>
      <c r="CM554">
        <v>38.730000000000004</v>
      </c>
      <c r="CN554">
        <v>39.930000000000007</v>
      </c>
      <c r="CO554">
        <v>6.11</v>
      </c>
      <c r="CP554">
        <v>1.1100000000000003</v>
      </c>
      <c r="CQ554">
        <v>3.6100000000000003</v>
      </c>
    </row>
    <row r="555" spans="1:95">
      <c r="A555" s="228">
        <v>45841</v>
      </c>
      <c r="B555" t="s">
        <v>99</v>
      </c>
      <c r="C555">
        <v>144.63999999999999</v>
      </c>
      <c r="D555">
        <v>142.63999999999999</v>
      </c>
      <c r="E555">
        <v>143.63999999999999</v>
      </c>
      <c r="F555">
        <v>171.07</v>
      </c>
      <c r="G555">
        <v>168.07</v>
      </c>
      <c r="H555">
        <v>169.57</v>
      </c>
      <c r="I555">
        <v>107.36</v>
      </c>
      <c r="J555">
        <v>104.16</v>
      </c>
      <c r="K555">
        <v>105.75999999999999</v>
      </c>
      <c r="L555">
        <v>200.1</v>
      </c>
      <c r="M555">
        <v>192.1</v>
      </c>
      <c r="N555">
        <v>196.1</v>
      </c>
      <c r="O555">
        <v>182.38</v>
      </c>
      <c r="P555">
        <v>180.57999999999998</v>
      </c>
      <c r="Q555">
        <v>181.48</v>
      </c>
      <c r="R555">
        <v>23.03</v>
      </c>
      <c r="S555">
        <v>22.43</v>
      </c>
      <c r="T555">
        <v>22.73</v>
      </c>
      <c r="U555">
        <v>14.59</v>
      </c>
      <c r="V555">
        <v>13.99</v>
      </c>
      <c r="W555">
        <v>14.29</v>
      </c>
      <c r="X555">
        <v>15.51</v>
      </c>
      <c r="Y555">
        <v>14.709999999999999</v>
      </c>
      <c r="Z555">
        <v>15.11</v>
      </c>
      <c r="AA555">
        <v>96.54</v>
      </c>
      <c r="AB555">
        <v>92.54</v>
      </c>
      <c r="AC555">
        <v>94.54</v>
      </c>
      <c r="AD555">
        <v>89.46</v>
      </c>
      <c r="AE555">
        <v>85.46</v>
      </c>
      <c r="AF555">
        <v>87.46</v>
      </c>
      <c r="AG555">
        <v>18.72</v>
      </c>
      <c r="AH555">
        <v>17.86</v>
      </c>
      <c r="AI555">
        <v>18.29</v>
      </c>
      <c r="AM555">
        <v>113.71</v>
      </c>
      <c r="AN555">
        <v>112.05</v>
      </c>
      <c r="AO555">
        <v>112.88</v>
      </c>
      <c r="AP555">
        <v>39.19</v>
      </c>
      <c r="AQ555">
        <v>37.589999999999996</v>
      </c>
      <c r="AR555">
        <v>38.39</v>
      </c>
      <c r="AS555">
        <v>39.86</v>
      </c>
      <c r="AT555">
        <v>38.5</v>
      </c>
      <c r="AU555">
        <v>39.18</v>
      </c>
      <c r="AV555">
        <v>20.36</v>
      </c>
      <c r="AW555">
        <v>19.759999999999998</v>
      </c>
      <c r="AX555">
        <v>20.059999999999999</v>
      </c>
      <c r="AY555">
        <v>4.5199999999999996</v>
      </c>
      <c r="AZ555">
        <v>4.3599999999999994</v>
      </c>
      <c r="BA555">
        <v>4.4399999999999995</v>
      </c>
      <c r="BB555">
        <v>1.84</v>
      </c>
      <c r="BC555">
        <v>1.54</v>
      </c>
      <c r="BD555">
        <v>1.69</v>
      </c>
      <c r="BE555">
        <v>0.66</v>
      </c>
      <c r="BF555">
        <v>0.36000000000000004</v>
      </c>
      <c r="BG555">
        <v>0.51</v>
      </c>
      <c r="BH555">
        <v>481.28</v>
      </c>
      <c r="BI555">
        <v>465.28</v>
      </c>
      <c r="BJ555">
        <v>473.28</v>
      </c>
      <c r="BK555">
        <v>40.22</v>
      </c>
      <c r="BL555">
        <v>38.86</v>
      </c>
      <c r="BM555">
        <v>39.54</v>
      </c>
      <c r="BN555">
        <v>1.01</v>
      </c>
      <c r="BO555">
        <v>0.77</v>
      </c>
      <c r="BP555">
        <v>0.89</v>
      </c>
      <c r="BQ555">
        <v>8.65</v>
      </c>
      <c r="BR555">
        <v>6.65</v>
      </c>
      <c r="BS555">
        <v>7.65</v>
      </c>
      <c r="BT555">
        <v>10.81</v>
      </c>
      <c r="BU555">
        <v>10.41</v>
      </c>
      <c r="BV555">
        <v>10.61</v>
      </c>
      <c r="BW555">
        <v>2.72</v>
      </c>
      <c r="BX555">
        <v>2.4400000000000004</v>
      </c>
      <c r="BY555">
        <v>2.58</v>
      </c>
      <c r="BZ555">
        <v>9.67</v>
      </c>
      <c r="CA555">
        <v>6.67</v>
      </c>
      <c r="CB555">
        <v>8.17</v>
      </c>
      <c r="CC555">
        <v>7</v>
      </c>
      <c r="CD555">
        <v>6.76</v>
      </c>
      <c r="CE555">
        <v>6.88</v>
      </c>
      <c r="CF555">
        <v>2.08</v>
      </c>
      <c r="CG555">
        <v>1.58</v>
      </c>
      <c r="CH555">
        <v>1.83</v>
      </c>
      <c r="CI555">
        <v>0.44</v>
      </c>
      <c r="CJ555">
        <v>0.4</v>
      </c>
      <c r="CK555">
        <v>0.42000000000000004</v>
      </c>
      <c r="CL555">
        <v>41</v>
      </c>
      <c r="CM555">
        <v>38.6</v>
      </c>
      <c r="CN555">
        <v>39.799999999999997</v>
      </c>
      <c r="CO555">
        <v>6.12</v>
      </c>
      <c r="CP555">
        <v>1.1200000000000001</v>
      </c>
      <c r="CQ555">
        <v>3.62</v>
      </c>
    </row>
    <row r="556" spans="1:95">
      <c r="A556" s="228">
        <v>45842</v>
      </c>
      <c r="B556" t="s">
        <v>100</v>
      </c>
      <c r="C556">
        <v>145.63</v>
      </c>
      <c r="D556">
        <v>143.63</v>
      </c>
      <c r="E556">
        <v>144.63</v>
      </c>
      <c r="F556">
        <v>171.61</v>
      </c>
      <c r="G556">
        <v>168.61</v>
      </c>
      <c r="H556">
        <v>170.11</v>
      </c>
      <c r="I556">
        <v>108.14</v>
      </c>
      <c r="J556">
        <v>104.94</v>
      </c>
      <c r="K556">
        <v>106.53999999999999</v>
      </c>
      <c r="L556">
        <v>201.52</v>
      </c>
      <c r="M556">
        <v>193.52</v>
      </c>
      <c r="N556">
        <v>197.52</v>
      </c>
      <c r="O556">
        <v>182.87</v>
      </c>
      <c r="P556">
        <v>181.07</v>
      </c>
      <c r="Q556">
        <v>181.97</v>
      </c>
      <c r="R556">
        <v>23.1</v>
      </c>
      <c r="S556">
        <v>22.5</v>
      </c>
      <c r="T556">
        <v>22.8</v>
      </c>
      <c r="U556">
        <v>14.69</v>
      </c>
      <c r="V556">
        <v>14.09</v>
      </c>
      <c r="W556">
        <v>14.39</v>
      </c>
      <c r="X556">
        <v>15.51</v>
      </c>
      <c r="Y556">
        <v>14.709999999999999</v>
      </c>
      <c r="Z556">
        <v>15.11</v>
      </c>
      <c r="AA556">
        <v>97.02</v>
      </c>
      <c r="AB556">
        <v>93.02</v>
      </c>
      <c r="AC556">
        <v>95.02</v>
      </c>
      <c r="AD556">
        <v>89.91</v>
      </c>
      <c r="AE556">
        <v>85.91</v>
      </c>
      <c r="AF556">
        <v>87.91</v>
      </c>
      <c r="AG556">
        <v>18.850000000000001</v>
      </c>
      <c r="AH556">
        <v>17.990000000000002</v>
      </c>
      <c r="AI556">
        <v>18.420000000000002</v>
      </c>
      <c r="AM556">
        <v>114.34</v>
      </c>
      <c r="AN556">
        <v>112.68</v>
      </c>
      <c r="AO556">
        <v>113.51</v>
      </c>
      <c r="AP556">
        <v>39.450000000000003</v>
      </c>
      <c r="AQ556">
        <v>37.85</v>
      </c>
      <c r="AR556">
        <v>38.650000000000006</v>
      </c>
      <c r="AS556">
        <v>40.130000000000003</v>
      </c>
      <c r="AT556">
        <v>38.770000000000003</v>
      </c>
      <c r="AU556">
        <v>39.450000000000003</v>
      </c>
      <c r="AV556">
        <v>20.47</v>
      </c>
      <c r="AW556">
        <v>19.869999999999997</v>
      </c>
      <c r="AX556">
        <v>20.169999999999998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0.66</v>
      </c>
      <c r="BF556">
        <v>0.36000000000000004</v>
      </c>
      <c r="BG556">
        <v>0.51</v>
      </c>
      <c r="BH556">
        <v>484.23</v>
      </c>
      <c r="BI556">
        <v>468.23</v>
      </c>
      <c r="BJ556">
        <v>476.23</v>
      </c>
      <c r="BK556">
        <v>40.49</v>
      </c>
      <c r="BL556">
        <v>39.130000000000003</v>
      </c>
      <c r="BM556">
        <v>39.81</v>
      </c>
      <c r="BN556">
        <v>1.01</v>
      </c>
      <c r="BO556">
        <v>0.77</v>
      </c>
      <c r="BP556">
        <v>0.89</v>
      </c>
      <c r="BQ556">
        <v>8.75</v>
      </c>
      <c r="BR556">
        <v>6.75</v>
      </c>
      <c r="BS556">
        <v>7.75</v>
      </c>
      <c r="BT556">
        <v>10.81</v>
      </c>
      <c r="BU556">
        <v>10.41</v>
      </c>
      <c r="BV556">
        <v>10.61</v>
      </c>
      <c r="BW556">
        <v>2.74</v>
      </c>
      <c r="BX556">
        <v>2.46</v>
      </c>
      <c r="BY556">
        <v>2.6</v>
      </c>
      <c r="BZ556">
        <v>9.76</v>
      </c>
      <c r="CA556">
        <v>6.76</v>
      </c>
      <c r="CB556">
        <v>8.26</v>
      </c>
      <c r="CC556">
        <v>7.03</v>
      </c>
      <c r="CD556">
        <v>6.79</v>
      </c>
      <c r="CE556">
        <v>6.91</v>
      </c>
      <c r="CF556">
        <v>2.08</v>
      </c>
      <c r="CG556">
        <v>1.58</v>
      </c>
      <c r="CH556">
        <v>1.83</v>
      </c>
      <c r="CI556">
        <v>0.45</v>
      </c>
      <c r="CJ556">
        <v>0.41000000000000003</v>
      </c>
      <c r="CK556">
        <v>0.43000000000000005</v>
      </c>
      <c r="CL556">
        <v>41.34</v>
      </c>
      <c r="CM556">
        <v>38.940000000000005</v>
      </c>
      <c r="CN556">
        <v>40.14</v>
      </c>
      <c r="CO556">
        <v>6.14</v>
      </c>
      <c r="CP556">
        <v>1.1399999999999997</v>
      </c>
      <c r="CQ556">
        <v>3.6399999999999997</v>
      </c>
    </row>
    <row r="557" spans="1:95">
      <c r="A557" s="228">
        <v>45843</v>
      </c>
      <c r="B557" t="s">
        <v>307</v>
      </c>
    </row>
    <row r="558" spans="1:95">
      <c r="A558" s="228">
        <v>45844</v>
      </c>
      <c r="B558" t="s">
        <v>308</v>
      </c>
    </row>
    <row r="559" spans="1:95">
      <c r="A559" s="228">
        <v>45845</v>
      </c>
      <c r="B559" t="s">
        <v>96</v>
      </c>
      <c r="C559">
        <v>145.41</v>
      </c>
      <c r="D559">
        <v>143.41</v>
      </c>
      <c r="E559">
        <v>144.41</v>
      </c>
      <c r="F559">
        <v>171.61</v>
      </c>
      <c r="G559">
        <v>168.61</v>
      </c>
      <c r="H559">
        <v>170.11</v>
      </c>
      <c r="I559">
        <v>107.71</v>
      </c>
      <c r="J559">
        <v>104.50999999999999</v>
      </c>
      <c r="K559">
        <v>106.10999999999999</v>
      </c>
      <c r="L559">
        <v>201.06</v>
      </c>
      <c r="M559">
        <v>193.06</v>
      </c>
      <c r="N559">
        <v>197.06</v>
      </c>
      <c r="O559">
        <v>182.78</v>
      </c>
      <c r="P559">
        <v>180.98</v>
      </c>
      <c r="Q559">
        <v>181.88</v>
      </c>
      <c r="R559">
        <v>23.1</v>
      </c>
      <c r="S559">
        <v>22.5</v>
      </c>
      <c r="T559">
        <v>22.8</v>
      </c>
      <c r="U559">
        <v>14.63</v>
      </c>
      <c r="V559">
        <v>14.030000000000001</v>
      </c>
      <c r="W559">
        <v>14.330000000000002</v>
      </c>
      <c r="X559">
        <v>15.51</v>
      </c>
      <c r="Y559">
        <v>14.709999999999999</v>
      </c>
      <c r="Z559">
        <v>15.11</v>
      </c>
      <c r="AA559">
        <v>96.43</v>
      </c>
      <c r="AB559">
        <v>92.43</v>
      </c>
      <c r="AC559">
        <v>94.43</v>
      </c>
      <c r="AD559">
        <v>89.22</v>
      </c>
      <c r="AE559">
        <v>85.22</v>
      </c>
      <c r="AF559">
        <v>87.22</v>
      </c>
      <c r="AG559">
        <v>18.82</v>
      </c>
      <c r="AH559">
        <v>17.96</v>
      </c>
      <c r="AI559">
        <v>18.39</v>
      </c>
      <c r="AM559">
        <v>114.08</v>
      </c>
      <c r="AN559">
        <v>112.42</v>
      </c>
      <c r="AO559">
        <v>113.25</v>
      </c>
      <c r="AP559">
        <v>39.39</v>
      </c>
      <c r="AQ559">
        <v>37.79</v>
      </c>
      <c r="AR559">
        <v>38.590000000000003</v>
      </c>
      <c r="AS559">
        <v>40.06</v>
      </c>
      <c r="AT559">
        <v>38.700000000000003</v>
      </c>
      <c r="AU559">
        <v>39.380000000000003</v>
      </c>
      <c r="AV559">
        <v>20.45</v>
      </c>
      <c r="AW559">
        <v>19.849999999999998</v>
      </c>
      <c r="AX559">
        <v>20.149999999999999</v>
      </c>
      <c r="AY559">
        <v>4.54</v>
      </c>
      <c r="AZ559">
        <v>4.38</v>
      </c>
      <c r="BA559">
        <v>4.46</v>
      </c>
      <c r="BB559">
        <v>1.85</v>
      </c>
      <c r="BC559">
        <v>1.55</v>
      </c>
      <c r="BD559">
        <v>1.7000000000000002</v>
      </c>
      <c r="BE559">
        <v>0.66</v>
      </c>
      <c r="BF559">
        <v>0.36000000000000004</v>
      </c>
      <c r="BG559">
        <v>0.51</v>
      </c>
      <c r="BH559">
        <v>483.5</v>
      </c>
      <c r="BI559">
        <v>467.5</v>
      </c>
      <c r="BJ559">
        <v>475.5</v>
      </c>
      <c r="BK559">
        <v>40.43</v>
      </c>
      <c r="BL559">
        <v>39.07</v>
      </c>
      <c r="BM559">
        <v>39.75</v>
      </c>
      <c r="BN559">
        <v>1.02</v>
      </c>
      <c r="BO559">
        <v>0.78</v>
      </c>
      <c r="BP559">
        <v>0.9</v>
      </c>
      <c r="BQ559">
        <v>8.76</v>
      </c>
      <c r="BR559">
        <v>6.76</v>
      </c>
      <c r="BS559">
        <v>7.76</v>
      </c>
      <c r="BT559">
        <v>10.79</v>
      </c>
      <c r="BU559">
        <v>10.389999999999999</v>
      </c>
      <c r="BV559">
        <v>10.59</v>
      </c>
      <c r="BW559">
        <v>2.73</v>
      </c>
      <c r="BX559">
        <v>2.4500000000000002</v>
      </c>
      <c r="BY559">
        <v>2.59</v>
      </c>
      <c r="BZ559">
        <v>9.7100000000000009</v>
      </c>
      <c r="CA559">
        <v>6.7100000000000009</v>
      </c>
      <c r="CB559">
        <v>8.2100000000000009</v>
      </c>
      <c r="CC559">
        <v>7.03</v>
      </c>
      <c r="CD559">
        <v>6.79</v>
      </c>
      <c r="CE559">
        <v>6.91</v>
      </c>
      <c r="CF559">
        <v>2.09</v>
      </c>
      <c r="CG559">
        <v>1.5899999999999999</v>
      </c>
      <c r="CH559">
        <v>1.8399999999999999</v>
      </c>
      <c r="CI559">
        <v>0.45</v>
      </c>
      <c r="CJ559">
        <v>0.41000000000000003</v>
      </c>
      <c r="CK559">
        <v>0.43000000000000005</v>
      </c>
      <c r="CL559">
        <v>41.34</v>
      </c>
      <c r="CM559">
        <v>38.940000000000005</v>
      </c>
      <c r="CN559">
        <v>40.14</v>
      </c>
      <c r="CO559">
        <v>6.11</v>
      </c>
      <c r="CP559">
        <v>1.1100000000000003</v>
      </c>
      <c r="CQ559">
        <v>3.6100000000000003</v>
      </c>
    </row>
    <row r="560" spans="1:95">
      <c r="A560" s="228">
        <v>45846</v>
      </c>
      <c r="B560" t="s">
        <v>97</v>
      </c>
      <c r="C560">
        <v>147.09</v>
      </c>
      <c r="D560">
        <v>145.09</v>
      </c>
      <c r="E560">
        <v>146.09</v>
      </c>
      <c r="F560">
        <v>173.02</v>
      </c>
      <c r="G560">
        <v>170.02</v>
      </c>
      <c r="H560">
        <v>171.52</v>
      </c>
      <c r="I560">
        <v>108.59</v>
      </c>
      <c r="J560">
        <v>105.39</v>
      </c>
      <c r="K560">
        <v>106.99000000000001</v>
      </c>
      <c r="L560">
        <v>203.12</v>
      </c>
      <c r="M560">
        <v>195.12</v>
      </c>
      <c r="N560">
        <v>199.12</v>
      </c>
      <c r="O560">
        <v>184.22</v>
      </c>
      <c r="P560">
        <v>182.42</v>
      </c>
      <c r="Q560">
        <v>183.32</v>
      </c>
      <c r="R560">
        <v>23.29</v>
      </c>
      <c r="S560">
        <v>22.689999999999998</v>
      </c>
      <c r="T560">
        <v>22.99</v>
      </c>
      <c r="U560">
        <v>14.76</v>
      </c>
      <c r="V560">
        <v>14.16</v>
      </c>
      <c r="W560">
        <v>14.46</v>
      </c>
      <c r="X560">
        <v>15.76</v>
      </c>
      <c r="Y560">
        <v>14.959999999999999</v>
      </c>
      <c r="Z560">
        <v>15.36</v>
      </c>
      <c r="AA560">
        <v>97.19</v>
      </c>
      <c r="AB560">
        <v>93.19</v>
      </c>
      <c r="AC560">
        <v>95.19</v>
      </c>
      <c r="AD560">
        <v>89.81</v>
      </c>
      <c r="AE560">
        <v>85.81</v>
      </c>
      <c r="AF560">
        <v>87.81</v>
      </c>
      <c r="AG560">
        <v>19.04</v>
      </c>
      <c r="AH560">
        <v>18.18</v>
      </c>
      <c r="AI560">
        <v>18.61</v>
      </c>
      <c r="AM560">
        <v>115.14</v>
      </c>
      <c r="AN560">
        <v>113.48</v>
      </c>
      <c r="AO560">
        <v>114.31</v>
      </c>
      <c r="AP560">
        <v>39.85</v>
      </c>
      <c r="AQ560">
        <v>38.25</v>
      </c>
      <c r="AR560">
        <v>39.049999999999997</v>
      </c>
      <c r="AS560">
        <v>40.53</v>
      </c>
      <c r="AT560">
        <v>39.17</v>
      </c>
      <c r="AU560">
        <v>39.85</v>
      </c>
      <c r="AV560">
        <v>20.66</v>
      </c>
      <c r="AW560">
        <v>20.059999999999999</v>
      </c>
      <c r="AX560">
        <v>20.36</v>
      </c>
      <c r="AY560">
        <v>4.57</v>
      </c>
      <c r="AZ560">
        <v>4.41</v>
      </c>
      <c r="BA560">
        <v>4.49</v>
      </c>
      <c r="BB560">
        <v>1.86</v>
      </c>
      <c r="BC560">
        <v>1.56</v>
      </c>
      <c r="BD560">
        <v>1.71</v>
      </c>
      <c r="BE560">
        <v>0.67</v>
      </c>
      <c r="BF560">
        <v>0.37000000000000005</v>
      </c>
      <c r="BG560">
        <v>0.52</v>
      </c>
      <c r="BH560">
        <v>489.03</v>
      </c>
      <c r="BI560">
        <v>473.03</v>
      </c>
      <c r="BJ560">
        <v>481.03</v>
      </c>
      <c r="BK560">
        <v>40.880000000000003</v>
      </c>
      <c r="BL560">
        <v>39.520000000000003</v>
      </c>
      <c r="BM560">
        <v>40.200000000000003</v>
      </c>
      <c r="BN560">
        <v>1.02</v>
      </c>
      <c r="BO560">
        <v>0.78</v>
      </c>
      <c r="BP560">
        <v>0.9</v>
      </c>
      <c r="BQ560">
        <v>8.84</v>
      </c>
      <c r="BR560">
        <v>6.84</v>
      </c>
      <c r="BS560">
        <v>7.84</v>
      </c>
      <c r="BT560">
        <v>10.88</v>
      </c>
      <c r="BU560">
        <v>10.48</v>
      </c>
      <c r="BV560">
        <v>10.68</v>
      </c>
      <c r="BW560">
        <v>2.75</v>
      </c>
      <c r="BX560">
        <v>2.4699999999999998</v>
      </c>
      <c r="BY560">
        <v>2.61</v>
      </c>
      <c r="BZ560">
        <v>9.6999999999999993</v>
      </c>
      <c r="CA560">
        <v>6.6999999999999993</v>
      </c>
      <c r="CB560">
        <v>8.1999999999999993</v>
      </c>
      <c r="CC560">
        <v>7.09</v>
      </c>
      <c r="CD560">
        <v>6.85</v>
      </c>
      <c r="CE560">
        <v>6.97</v>
      </c>
      <c r="CF560">
        <v>2.11</v>
      </c>
      <c r="CG560">
        <v>1.6099999999999999</v>
      </c>
      <c r="CH560">
        <v>1.8599999999999999</v>
      </c>
      <c r="CI560">
        <v>0.45</v>
      </c>
      <c r="CJ560">
        <v>0.41000000000000003</v>
      </c>
      <c r="CK560">
        <v>0.43000000000000005</v>
      </c>
      <c r="CL560">
        <v>41.6</v>
      </c>
      <c r="CM560">
        <v>39.200000000000003</v>
      </c>
      <c r="CN560">
        <v>40.400000000000006</v>
      </c>
      <c r="CO560">
        <v>6.16</v>
      </c>
      <c r="CP560">
        <v>1.1600000000000001</v>
      </c>
      <c r="CQ560">
        <v>3.66</v>
      </c>
    </row>
    <row r="561" spans="1:95">
      <c r="A561" s="228">
        <v>45847</v>
      </c>
      <c r="B561" t="s">
        <v>98</v>
      </c>
      <c r="C561">
        <v>147.88999999999999</v>
      </c>
      <c r="D561">
        <v>145.88999999999999</v>
      </c>
      <c r="E561">
        <v>146.88999999999999</v>
      </c>
      <c r="F561">
        <v>173.71</v>
      </c>
      <c r="G561">
        <v>170.71</v>
      </c>
      <c r="H561">
        <v>172.21</v>
      </c>
      <c r="I561">
        <v>109.01</v>
      </c>
      <c r="J561">
        <v>105.81</v>
      </c>
      <c r="K561">
        <v>107.41</v>
      </c>
      <c r="L561">
        <v>203.56</v>
      </c>
      <c r="M561">
        <v>195.56</v>
      </c>
      <c r="N561">
        <v>199.56</v>
      </c>
      <c r="O561">
        <v>185.37</v>
      </c>
      <c r="P561">
        <v>183.57</v>
      </c>
      <c r="Q561">
        <v>184.47</v>
      </c>
      <c r="R561">
        <v>23.38</v>
      </c>
      <c r="S561">
        <v>22.779999999999998</v>
      </c>
      <c r="T561">
        <v>23.08</v>
      </c>
      <c r="U561">
        <v>14.86</v>
      </c>
      <c r="V561">
        <v>14.26</v>
      </c>
      <c r="W561">
        <v>14.559999999999999</v>
      </c>
      <c r="X561">
        <v>15.83</v>
      </c>
      <c r="Y561">
        <v>15.03</v>
      </c>
      <c r="Z561">
        <v>15.43</v>
      </c>
      <c r="AA561">
        <v>97.88</v>
      </c>
      <c r="AB561">
        <v>93.88</v>
      </c>
      <c r="AC561">
        <v>95.88</v>
      </c>
      <c r="AD561">
        <v>90.02</v>
      </c>
      <c r="AE561">
        <v>86.02</v>
      </c>
      <c r="AF561">
        <v>88.02</v>
      </c>
      <c r="AG561">
        <v>19.14</v>
      </c>
      <c r="AH561">
        <v>18.28</v>
      </c>
      <c r="AI561">
        <v>18.71</v>
      </c>
      <c r="AM561">
        <v>115.61</v>
      </c>
      <c r="AN561">
        <v>113.95</v>
      </c>
      <c r="AO561">
        <v>114.78</v>
      </c>
      <c r="AP561">
        <v>40.049999999999997</v>
      </c>
      <c r="AQ561">
        <v>38.449999999999996</v>
      </c>
      <c r="AR561">
        <v>39.25</v>
      </c>
      <c r="AS561">
        <v>40.75</v>
      </c>
      <c r="AT561">
        <v>39.39</v>
      </c>
      <c r="AU561">
        <v>40.07</v>
      </c>
      <c r="AV561">
        <v>20.75</v>
      </c>
      <c r="AW561">
        <v>20.149999999999999</v>
      </c>
      <c r="AX561">
        <v>20.45</v>
      </c>
      <c r="AY561">
        <v>4.57</v>
      </c>
      <c r="AZ561">
        <v>4.41</v>
      </c>
      <c r="BA561">
        <v>4.49</v>
      </c>
      <c r="BB561">
        <v>1.87</v>
      </c>
      <c r="BC561">
        <v>1.57</v>
      </c>
      <c r="BD561">
        <v>1.7200000000000002</v>
      </c>
      <c r="BE561">
        <v>0.67</v>
      </c>
      <c r="BF561">
        <v>0.37000000000000005</v>
      </c>
      <c r="BG561">
        <v>0.52</v>
      </c>
      <c r="BH561">
        <v>491.35</v>
      </c>
      <c r="BI561">
        <v>475.35</v>
      </c>
      <c r="BJ561">
        <v>483.35</v>
      </c>
      <c r="BK561">
        <v>41.11</v>
      </c>
      <c r="BL561">
        <v>39.75</v>
      </c>
      <c r="BM561">
        <v>40.43</v>
      </c>
      <c r="BN561">
        <v>1.03</v>
      </c>
      <c r="BO561">
        <v>0.79</v>
      </c>
      <c r="BP561">
        <v>0.91</v>
      </c>
      <c r="BQ561">
        <v>8.9</v>
      </c>
      <c r="BR561">
        <v>6.9</v>
      </c>
      <c r="BS561">
        <v>7.9</v>
      </c>
      <c r="BT561">
        <v>10.89</v>
      </c>
      <c r="BU561">
        <v>10.49</v>
      </c>
      <c r="BV561">
        <v>10.690000000000001</v>
      </c>
      <c r="BW561">
        <v>2.77</v>
      </c>
      <c r="BX561">
        <v>2.4900000000000002</v>
      </c>
      <c r="BY561">
        <v>2.63</v>
      </c>
      <c r="BZ561">
        <v>9.7799999999999994</v>
      </c>
      <c r="CA561">
        <v>6.7799999999999994</v>
      </c>
      <c r="CB561">
        <v>8.2799999999999994</v>
      </c>
      <c r="CC561">
        <v>7.11</v>
      </c>
      <c r="CD561">
        <v>6.87</v>
      </c>
      <c r="CE561">
        <v>6.99</v>
      </c>
      <c r="CF561">
        <v>2.12</v>
      </c>
      <c r="CG561">
        <v>1.62</v>
      </c>
      <c r="CH561">
        <v>1.87</v>
      </c>
      <c r="CI561">
        <v>0.45</v>
      </c>
      <c r="CJ561">
        <v>0.41000000000000003</v>
      </c>
      <c r="CK561">
        <v>0.43000000000000005</v>
      </c>
      <c r="CL561">
        <v>41.8</v>
      </c>
      <c r="CM561">
        <v>39.4</v>
      </c>
      <c r="CN561">
        <v>40.599999999999994</v>
      </c>
      <c r="CO561">
        <v>6.17</v>
      </c>
      <c r="CP561">
        <v>1.17</v>
      </c>
      <c r="CQ561">
        <v>3.67</v>
      </c>
    </row>
    <row r="562" spans="1:95">
      <c r="A562" s="228">
        <v>45848</v>
      </c>
      <c r="B562" t="s">
        <v>99</v>
      </c>
      <c r="C562">
        <v>146.88999999999999</v>
      </c>
      <c r="D562">
        <v>144.88999999999999</v>
      </c>
      <c r="E562">
        <v>145.88999999999999</v>
      </c>
      <c r="F562">
        <v>172.73</v>
      </c>
      <c r="G562">
        <v>169.73</v>
      </c>
      <c r="H562">
        <v>171.23</v>
      </c>
      <c r="I562">
        <v>108.27</v>
      </c>
      <c r="J562">
        <v>105.07</v>
      </c>
      <c r="K562">
        <v>106.66999999999999</v>
      </c>
      <c r="L562">
        <v>202.54</v>
      </c>
      <c r="M562">
        <v>194.54</v>
      </c>
      <c r="N562">
        <v>198.54</v>
      </c>
      <c r="O562">
        <v>184.94</v>
      </c>
      <c r="P562">
        <v>183.14</v>
      </c>
      <c r="Q562">
        <v>184.04</v>
      </c>
      <c r="R562">
        <v>23.25</v>
      </c>
      <c r="S562">
        <v>22.65</v>
      </c>
      <c r="T562">
        <v>22.95</v>
      </c>
      <c r="U562">
        <v>14.76</v>
      </c>
      <c r="V562">
        <v>14.16</v>
      </c>
      <c r="W562">
        <v>14.46</v>
      </c>
      <c r="X562">
        <v>15.75</v>
      </c>
      <c r="Y562">
        <v>14.95</v>
      </c>
      <c r="Z562">
        <v>15.35</v>
      </c>
      <c r="AA562">
        <v>97.53</v>
      </c>
      <c r="AB562">
        <v>93.53</v>
      </c>
      <c r="AC562">
        <v>95.53</v>
      </c>
      <c r="AD562">
        <v>89.65</v>
      </c>
      <c r="AE562">
        <v>85.65</v>
      </c>
      <c r="AF562">
        <v>87.65</v>
      </c>
      <c r="AG562">
        <v>19.010000000000002</v>
      </c>
      <c r="AH562">
        <v>18.150000000000002</v>
      </c>
      <c r="AI562">
        <v>18.580000000000002</v>
      </c>
      <c r="AM562">
        <v>114.9</v>
      </c>
      <c r="AN562">
        <v>113.24000000000001</v>
      </c>
      <c r="AO562">
        <v>114.07000000000001</v>
      </c>
      <c r="AP562">
        <v>39.79</v>
      </c>
      <c r="AQ562">
        <v>38.19</v>
      </c>
      <c r="AR562">
        <v>38.989999999999995</v>
      </c>
      <c r="AS562">
        <v>40.479999999999997</v>
      </c>
      <c r="AT562">
        <v>39.119999999999997</v>
      </c>
      <c r="AU562">
        <v>39.799999999999997</v>
      </c>
      <c r="AV562">
        <v>20.62</v>
      </c>
      <c r="AW562">
        <v>20.02</v>
      </c>
      <c r="AX562">
        <v>20.32</v>
      </c>
      <c r="AY562">
        <v>4.55</v>
      </c>
      <c r="AZ562">
        <v>4.3899999999999997</v>
      </c>
      <c r="BA562">
        <v>4.47</v>
      </c>
      <c r="BB562">
        <v>1.86</v>
      </c>
      <c r="BC562">
        <v>1.56</v>
      </c>
      <c r="BD562">
        <v>1.71</v>
      </c>
      <c r="BE562">
        <v>0.67</v>
      </c>
      <c r="BF562">
        <v>0.37000000000000005</v>
      </c>
      <c r="BG562">
        <v>0.52</v>
      </c>
      <c r="BH562">
        <v>488.22</v>
      </c>
      <c r="BI562">
        <v>472.22</v>
      </c>
      <c r="BJ562">
        <v>480.22</v>
      </c>
      <c r="BK562">
        <v>40.840000000000003</v>
      </c>
      <c r="BL562">
        <v>39.480000000000004</v>
      </c>
      <c r="BM562">
        <v>40.160000000000004</v>
      </c>
      <c r="BN562">
        <v>1.02</v>
      </c>
      <c r="BO562">
        <v>0.78</v>
      </c>
      <c r="BP562">
        <v>0.9</v>
      </c>
      <c r="BQ562">
        <v>8.85</v>
      </c>
      <c r="BR562">
        <v>6.85</v>
      </c>
      <c r="BS562">
        <v>7.85</v>
      </c>
      <c r="BT562">
        <v>10.85</v>
      </c>
      <c r="BU562">
        <v>10.45</v>
      </c>
      <c r="BV562">
        <v>10.649999999999999</v>
      </c>
      <c r="BW562">
        <v>2.75</v>
      </c>
      <c r="BX562">
        <v>2.4699999999999998</v>
      </c>
      <c r="BY562">
        <v>2.61</v>
      </c>
      <c r="BZ562">
        <v>9.7100000000000009</v>
      </c>
      <c r="CA562">
        <v>6.7100000000000009</v>
      </c>
      <c r="CB562">
        <v>8.2100000000000009</v>
      </c>
      <c r="CC562">
        <v>7.06</v>
      </c>
      <c r="CD562">
        <v>6.8199999999999994</v>
      </c>
      <c r="CE562">
        <v>6.9399999999999995</v>
      </c>
      <c r="CF562">
        <v>2.12</v>
      </c>
      <c r="CG562">
        <v>1.62</v>
      </c>
      <c r="CH562">
        <v>1.87</v>
      </c>
      <c r="CI562">
        <v>0.45</v>
      </c>
      <c r="CJ562">
        <v>0.41000000000000003</v>
      </c>
      <c r="CK562">
        <v>0.43000000000000005</v>
      </c>
      <c r="CL562">
        <v>41.6</v>
      </c>
      <c r="CM562">
        <v>39.200000000000003</v>
      </c>
      <c r="CN562">
        <v>40.400000000000006</v>
      </c>
      <c r="CO562">
        <v>6.15</v>
      </c>
      <c r="CP562">
        <v>1.1500000000000004</v>
      </c>
      <c r="CQ562">
        <v>3.6500000000000004</v>
      </c>
    </row>
    <row r="563" spans="1:95">
      <c r="A563" s="228">
        <v>45849</v>
      </c>
      <c r="B563" t="s">
        <v>100</v>
      </c>
      <c r="C563">
        <v>147.66</v>
      </c>
      <c r="D563">
        <v>145.66</v>
      </c>
      <c r="E563">
        <v>146.66</v>
      </c>
      <c r="F563">
        <v>172.56</v>
      </c>
      <c r="G563">
        <v>169.56</v>
      </c>
      <c r="H563">
        <v>171.06</v>
      </c>
      <c r="I563">
        <v>108.52</v>
      </c>
      <c r="J563">
        <v>105.32</v>
      </c>
      <c r="K563">
        <v>106.91999999999999</v>
      </c>
      <c r="L563">
        <v>202.74</v>
      </c>
      <c r="M563">
        <v>194.74</v>
      </c>
      <c r="N563">
        <v>198.74</v>
      </c>
      <c r="O563">
        <v>184.68</v>
      </c>
      <c r="P563">
        <v>182.88</v>
      </c>
      <c r="Q563">
        <v>183.78</v>
      </c>
      <c r="R563">
        <v>23.23</v>
      </c>
      <c r="S563">
        <v>22.63</v>
      </c>
      <c r="T563">
        <v>22.93</v>
      </c>
      <c r="U563">
        <v>14.81</v>
      </c>
      <c r="V563">
        <v>14.21</v>
      </c>
      <c r="W563">
        <v>14.510000000000002</v>
      </c>
      <c r="X563">
        <v>15.79</v>
      </c>
      <c r="Y563">
        <v>14.989999999999998</v>
      </c>
      <c r="Z563">
        <v>15.389999999999999</v>
      </c>
      <c r="AA563">
        <v>98.19</v>
      </c>
      <c r="AB563">
        <v>94.19</v>
      </c>
      <c r="AC563">
        <v>96.19</v>
      </c>
      <c r="AD563">
        <v>90.14</v>
      </c>
      <c r="AE563">
        <v>86.14</v>
      </c>
      <c r="AF563">
        <v>88.14</v>
      </c>
      <c r="AG563">
        <v>19.11</v>
      </c>
      <c r="AH563">
        <v>18.25</v>
      </c>
      <c r="AI563">
        <v>18.68</v>
      </c>
      <c r="AM563">
        <v>115.26</v>
      </c>
      <c r="AN563">
        <v>113.60000000000001</v>
      </c>
      <c r="AO563">
        <v>114.43</v>
      </c>
      <c r="AP563">
        <v>39.99</v>
      </c>
      <c r="AQ563">
        <v>38.39</v>
      </c>
      <c r="AR563">
        <v>39.19</v>
      </c>
      <c r="AS563">
        <v>40.69</v>
      </c>
      <c r="AT563">
        <v>39.33</v>
      </c>
      <c r="AU563">
        <v>40.01</v>
      </c>
      <c r="AV563">
        <v>20.71</v>
      </c>
      <c r="AW563">
        <v>20.11</v>
      </c>
      <c r="AX563">
        <v>20.41</v>
      </c>
      <c r="AY563">
        <v>4.58</v>
      </c>
      <c r="AZ563">
        <v>4.42</v>
      </c>
      <c r="BA563">
        <v>4.5</v>
      </c>
      <c r="BB563">
        <v>1.87</v>
      </c>
      <c r="BC563">
        <v>1.57</v>
      </c>
      <c r="BD563">
        <v>1.7200000000000002</v>
      </c>
      <c r="BE563">
        <v>0.67</v>
      </c>
      <c r="BF563">
        <v>0.37000000000000005</v>
      </c>
      <c r="BG563">
        <v>0.52</v>
      </c>
      <c r="BH563">
        <v>490.12</v>
      </c>
      <c r="BI563">
        <v>474.12</v>
      </c>
      <c r="BJ563">
        <v>482.12</v>
      </c>
      <c r="BK563">
        <v>41.04</v>
      </c>
      <c r="BL563">
        <v>39.68</v>
      </c>
      <c r="BM563">
        <v>40.36</v>
      </c>
      <c r="BN563">
        <v>1.03</v>
      </c>
      <c r="BO563">
        <v>0.79</v>
      </c>
      <c r="BP563">
        <v>0.91</v>
      </c>
      <c r="BQ563">
        <v>8.85</v>
      </c>
      <c r="BR563">
        <v>6.85</v>
      </c>
      <c r="BS563">
        <v>7.85</v>
      </c>
      <c r="BT563">
        <v>10.88</v>
      </c>
      <c r="BU563">
        <v>10.48</v>
      </c>
      <c r="BV563">
        <v>10.68</v>
      </c>
      <c r="BW563">
        <v>2.77</v>
      </c>
      <c r="BX563">
        <v>2.4900000000000002</v>
      </c>
      <c r="BY563">
        <v>2.63</v>
      </c>
      <c r="BZ563">
        <v>9.75</v>
      </c>
      <c r="CA563">
        <v>6.75</v>
      </c>
      <c r="CB563">
        <v>8.25</v>
      </c>
      <c r="CC563">
        <v>7.07</v>
      </c>
      <c r="CD563">
        <v>6.83</v>
      </c>
      <c r="CE563">
        <v>6.95</v>
      </c>
      <c r="CF563">
        <v>2.14</v>
      </c>
      <c r="CG563">
        <v>1.6400000000000001</v>
      </c>
      <c r="CH563">
        <v>1.8900000000000001</v>
      </c>
      <c r="CI563">
        <v>0.45</v>
      </c>
      <c r="CJ563">
        <v>0.41000000000000003</v>
      </c>
      <c r="CK563">
        <v>0.43000000000000005</v>
      </c>
      <c r="CL563">
        <v>41.47</v>
      </c>
      <c r="CM563">
        <v>39.07</v>
      </c>
      <c r="CN563">
        <v>40.269999999999996</v>
      </c>
      <c r="CO563">
        <v>6.16</v>
      </c>
      <c r="CP563">
        <v>1.1600000000000001</v>
      </c>
      <c r="CQ563">
        <v>3.66</v>
      </c>
    </row>
    <row r="564" spans="1:95">
      <c r="A564" s="228">
        <v>45850</v>
      </c>
      <c r="B564" t="s">
        <v>307</v>
      </c>
    </row>
    <row r="565" spans="1:95">
      <c r="A565" s="228">
        <v>45851</v>
      </c>
      <c r="B565" t="s">
        <v>308</v>
      </c>
    </row>
    <row r="566" spans="1:95">
      <c r="A566" s="228">
        <v>45852</v>
      </c>
      <c r="B566" t="s">
        <v>96</v>
      </c>
      <c r="C566">
        <v>148.02000000000001</v>
      </c>
      <c r="D566">
        <v>146.02000000000001</v>
      </c>
      <c r="E566">
        <v>147.02000000000001</v>
      </c>
      <c r="F566">
        <v>173.35</v>
      </c>
      <c r="G566">
        <v>170.35</v>
      </c>
      <c r="H566">
        <v>171.85</v>
      </c>
      <c r="I566">
        <v>109.04</v>
      </c>
      <c r="J566">
        <v>105.84</v>
      </c>
      <c r="K566">
        <v>107.44</v>
      </c>
      <c r="L566">
        <v>202.48</v>
      </c>
      <c r="M566">
        <v>194.48</v>
      </c>
      <c r="N566">
        <v>198.48</v>
      </c>
      <c r="O566">
        <v>185.55</v>
      </c>
      <c r="P566">
        <v>183.75</v>
      </c>
      <c r="Q566">
        <v>184.65</v>
      </c>
      <c r="R566">
        <v>23.33</v>
      </c>
      <c r="S566">
        <v>22.729999999999997</v>
      </c>
      <c r="T566">
        <v>23.029999999999998</v>
      </c>
      <c r="U566">
        <v>14.8</v>
      </c>
      <c r="V566">
        <v>14.200000000000001</v>
      </c>
      <c r="W566">
        <v>14.5</v>
      </c>
      <c r="X566">
        <v>15.77</v>
      </c>
      <c r="Y566">
        <v>14.969999999999999</v>
      </c>
      <c r="Z566">
        <v>15.37</v>
      </c>
      <c r="AA566">
        <v>98.78</v>
      </c>
      <c r="AB566">
        <v>94.78</v>
      </c>
      <c r="AC566">
        <v>96.78</v>
      </c>
      <c r="AD566">
        <v>90.3</v>
      </c>
      <c r="AE566">
        <v>86.3</v>
      </c>
      <c r="AF566">
        <v>88.3</v>
      </c>
      <c r="AG566">
        <v>19.16</v>
      </c>
      <c r="AH566">
        <v>18.3</v>
      </c>
      <c r="AI566">
        <v>18.73</v>
      </c>
      <c r="AM566">
        <v>115.7</v>
      </c>
      <c r="AN566">
        <v>114.04</v>
      </c>
      <c r="AO566">
        <v>114.87</v>
      </c>
      <c r="AP566">
        <v>40.08</v>
      </c>
      <c r="AQ566">
        <v>38.479999999999997</v>
      </c>
      <c r="AR566">
        <v>39.28</v>
      </c>
      <c r="AS566">
        <v>40.770000000000003</v>
      </c>
      <c r="AT566">
        <v>39.410000000000004</v>
      </c>
      <c r="AU566">
        <v>40.090000000000003</v>
      </c>
      <c r="AV566">
        <v>20.79</v>
      </c>
      <c r="AW566">
        <v>20.189999999999998</v>
      </c>
      <c r="AX566">
        <v>20.49</v>
      </c>
      <c r="AY566">
        <v>4.62</v>
      </c>
      <c r="AZ566">
        <v>4.46</v>
      </c>
      <c r="BA566">
        <v>4.54</v>
      </c>
      <c r="BB566">
        <v>1.87</v>
      </c>
      <c r="BC566">
        <v>1.57</v>
      </c>
      <c r="BD566">
        <v>1.7200000000000002</v>
      </c>
      <c r="BE566">
        <v>0.67</v>
      </c>
      <c r="BF566">
        <v>0.37000000000000005</v>
      </c>
      <c r="BG566">
        <v>0.52</v>
      </c>
      <c r="BH566">
        <v>491.46</v>
      </c>
      <c r="BI566">
        <v>475.46</v>
      </c>
      <c r="BJ566">
        <v>483.46</v>
      </c>
      <c r="BK566">
        <v>41.14</v>
      </c>
      <c r="BL566">
        <v>39.78</v>
      </c>
      <c r="BM566">
        <v>40.46</v>
      </c>
      <c r="BN566">
        <v>1.03</v>
      </c>
      <c r="BO566">
        <v>0.79</v>
      </c>
      <c r="BP566">
        <v>0.91</v>
      </c>
      <c r="BQ566">
        <v>8.8800000000000008</v>
      </c>
      <c r="BR566">
        <v>6.8800000000000008</v>
      </c>
      <c r="BS566">
        <v>7.8800000000000008</v>
      </c>
      <c r="BT566">
        <v>10.88</v>
      </c>
      <c r="BU566">
        <v>10.48</v>
      </c>
      <c r="BV566">
        <v>10.68</v>
      </c>
      <c r="BW566">
        <v>2.77</v>
      </c>
      <c r="BX566">
        <v>2.4900000000000002</v>
      </c>
      <c r="BY566">
        <v>2.63</v>
      </c>
      <c r="BZ566">
        <v>9.6999999999999993</v>
      </c>
      <c r="CA566">
        <v>6.6999999999999993</v>
      </c>
      <c r="CB566">
        <v>8.1999999999999993</v>
      </c>
      <c r="CC566">
        <v>7.08</v>
      </c>
      <c r="CD566">
        <v>6.84</v>
      </c>
      <c r="CE566">
        <v>6.96</v>
      </c>
      <c r="CF566">
        <v>2.14</v>
      </c>
      <c r="CG566">
        <v>1.6400000000000001</v>
      </c>
      <c r="CH566">
        <v>1.8900000000000001</v>
      </c>
      <c r="CI566">
        <v>0.45</v>
      </c>
      <c r="CJ566">
        <v>0.41000000000000003</v>
      </c>
      <c r="CK566">
        <v>0.43000000000000005</v>
      </c>
      <c r="CL566">
        <v>41.42</v>
      </c>
      <c r="CM566">
        <v>39.020000000000003</v>
      </c>
      <c r="CN566">
        <v>40.22</v>
      </c>
      <c r="CO566">
        <v>6.17</v>
      </c>
      <c r="CP566">
        <v>1.17</v>
      </c>
      <c r="CQ566">
        <v>3.67</v>
      </c>
    </row>
    <row r="567" spans="1:95">
      <c r="A567" s="228">
        <v>45853</v>
      </c>
      <c r="B567" t="s">
        <v>97</v>
      </c>
      <c r="C567">
        <v>148.69</v>
      </c>
      <c r="D567">
        <v>146.69</v>
      </c>
      <c r="E567">
        <v>147.69</v>
      </c>
      <c r="F567">
        <v>173.84</v>
      </c>
      <c r="G567">
        <v>170.84</v>
      </c>
      <c r="H567">
        <v>172.34</v>
      </c>
      <c r="I567">
        <v>109.4</v>
      </c>
      <c r="J567">
        <v>106.2</v>
      </c>
      <c r="K567">
        <v>107.80000000000001</v>
      </c>
      <c r="L567">
        <v>202.44</v>
      </c>
      <c r="M567">
        <v>194.44</v>
      </c>
      <c r="N567">
        <v>198.44</v>
      </c>
      <c r="O567">
        <v>186.16</v>
      </c>
      <c r="P567">
        <v>184.35999999999999</v>
      </c>
      <c r="Q567">
        <v>185.26</v>
      </c>
      <c r="R567">
        <v>23.39</v>
      </c>
      <c r="S567">
        <v>22.79</v>
      </c>
      <c r="T567">
        <v>23.09</v>
      </c>
      <c r="U567">
        <v>14.86</v>
      </c>
      <c r="V567">
        <v>14.26</v>
      </c>
      <c r="W567">
        <v>14.559999999999999</v>
      </c>
      <c r="X567">
        <v>15.78</v>
      </c>
      <c r="Y567">
        <v>14.979999999999999</v>
      </c>
      <c r="Z567">
        <v>15.379999999999999</v>
      </c>
      <c r="AA567">
        <v>98.74</v>
      </c>
      <c r="AB567">
        <v>94.74</v>
      </c>
      <c r="AC567">
        <v>96.74</v>
      </c>
      <c r="AD567">
        <v>90.27</v>
      </c>
      <c r="AE567">
        <v>86.27</v>
      </c>
      <c r="AF567">
        <v>88.27</v>
      </c>
      <c r="AG567">
        <v>19.239999999999998</v>
      </c>
      <c r="AH567">
        <v>18.38</v>
      </c>
      <c r="AI567">
        <v>18.809999999999999</v>
      </c>
      <c r="AM567">
        <v>116.03</v>
      </c>
      <c r="AN567">
        <v>114.37</v>
      </c>
      <c r="AO567">
        <v>115.2</v>
      </c>
      <c r="AP567">
        <v>40.26</v>
      </c>
      <c r="AQ567">
        <v>38.659999999999997</v>
      </c>
      <c r="AR567">
        <v>39.459999999999994</v>
      </c>
      <c r="AS567">
        <v>40.97</v>
      </c>
      <c r="AT567">
        <v>39.61</v>
      </c>
      <c r="AU567">
        <v>40.29</v>
      </c>
      <c r="AV567">
        <v>20.9</v>
      </c>
      <c r="AW567">
        <v>20.299999999999997</v>
      </c>
      <c r="AX567">
        <v>20.599999999999998</v>
      </c>
      <c r="AY567">
        <v>4.63</v>
      </c>
      <c r="AZ567">
        <v>4.47</v>
      </c>
      <c r="BA567">
        <v>4.55</v>
      </c>
      <c r="BB567">
        <v>1.88</v>
      </c>
      <c r="BC567">
        <v>1.5799999999999998</v>
      </c>
      <c r="BD567">
        <v>1.73</v>
      </c>
      <c r="BE567">
        <v>0.67</v>
      </c>
      <c r="BF567">
        <v>0.37000000000000005</v>
      </c>
      <c r="BG567">
        <v>0.52</v>
      </c>
      <c r="BH567">
        <v>493.98</v>
      </c>
      <c r="BI567">
        <v>477.98</v>
      </c>
      <c r="BJ567">
        <v>485.98</v>
      </c>
      <c r="BK567">
        <v>41.32</v>
      </c>
      <c r="BL567">
        <v>39.96</v>
      </c>
      <c r="BM567">
        <v>40.64</v>
      </c>
      <c r="BN567">
        <v>1.03</v>
      </c>
      <c r="BO567">
        <v>0.79</v>
      </c>
      <c r="BP567">
        <v>0.91</v>
      </c>
      <c r="BQ567">
        <v>8.8800000000000008</v>
      </c>
      <c r="BR567">
        <v>6.8800000000000008</v>
      </c>
      <c r="BS567">
        <v>7.8800000000000008</v>
      </c>
      <c r="BT567">
        <v>10.89</v>
      </c>
      <c r="BU567">
        <v>10.49</v>
      </c>
      <c r="BV567">
        <v>10.690000000000001</v>
      </c>
      <c r="BW567">
        <v>2.77</v>
      </c>
      <c r="BX567">
        <v>2.4900000000000002</v>
      </c>
      <c r="BY567">
        <v>2.63</v>
      </c>
      <c r="BZ567">
        <v>9.75</v>
      </c>
      <c r="CA567">
        <v>6.75</v>
      </c>
      <c r="CB567">
        <v>8.25</v>
      </c>
      <c r="CC567">
        <v>7.11</v>
      </c>
      <c r="CD567">
        <v>6.87</v>
      </c>
      <c r="CE567">
        <v>6.99</v>
      </c>
      <c r="CF567">
        <v>2.15</v>
      </c>
      <c r="CG567">
        <v>1.65</v>
      </c>
      <c r="CH567">
        <v>1.9</v>
      </c>
      <c r="CI567">
        <v>0.45</v>
      </c>
      <c r="CJ567">
        <v>0.41000000000000003</v>
      </c>
      <c r="CK567">
        <v>0.43000000000000005</v>
      </c>
      <c r="CL567">
        <v>41.72</v>
      </c>
      <c r="CM567">
        <v>39.32</v>
      </c>
      <c r="CN567">
        <v>40.519999999999996</v>
      </c>
      <c r="CO567">
        <v>6.18</v>
      </c>
      <c r="CP567">
        <v>1.1799999999999997</v>
      </c>
      <c r="CQ567">
        <v>3.6799999999999997</v>
      </c>
    </row>
    <row r="568" spans="1:95">
      <c r="A568" s="228">
        <v>45854</v>
      </c>
      <c r="B568" t="s">
        <v>98</v>
      </c>
      <c r="C568">
        <v>150.05000000000001</v>
      </c>
      <c r="D568">
        <v>148.05000000000001</v>
      </c>
      <c r="E568">
        <v>149.05000000000001</v>
      </c>
      <c r="F568">
        <v>174.52</v>
      </c>
      <c r="G568">
        <v>171.52</v>
      </c>
      <c r="H568">
        <v>173.02</v>
      </c>
      <c r="I568">
        <v>110.3</v>
      </c>
      <c r="J568">
        <v>107.1</v>
      </c>
      <c r="K568">
        <v>108.69999999999999</v>
      </c>
      <c r="L568">
        <v>203.64</v>
      </c>
      <c r="M568">
        <v>195.64</v>
      </c>
      <c r="N568">
        <v>199.64</v>
      </c>
      <c r="O568">
        <v>186.82</v>
      </c>
      <c r="P568">
        <v>185.01999999999998</v>
      </c>
      <c r="Q568">
        <v>185.92</v>
      </c>
      <c r="R568">
        <v>23.48</v>
      </c>
      <c r="S568">
        <v>22.88</v>
      </c>
      <c r="T568">
        <v>23.18</v>
      </c>
      <c r="U568">
        <v>14.85</v>
      </c>
      <c r="V568">
        <v>14.25</v>
      </c>
      <c r="W568">
        <v>14.55</v>
      </c>
      <c r="X568">
        <v>15.74</v>
      </c>
      <c r="Y568">
        <v>14.94</v>
      </c>
      <c r="Z568">
        <v>15.34</v>
      </c>
      <c r="AA568">
        <v>99.31</v>
      </c>
      <c r="AB568">
        <v>95.31</v>
      </c>
      <c r="AC568">
        <v>97.31</v>
      </c>
      <c r="AD568">
        <v>90.88</v>
      </c>
      <c r="AE568">
        <v>86.88</v>
      </c>
      <c r="AF568">
        <v>88.88</v>
      </c>
      <c r="AG568">
        <v>19.41</v>
      </c>
      <c r="AH568">
        <v>18.55</v>
      </c>
      <c r="AI568">
        <v>18.98</v>
      </c>
      <c r="AM568">
        <v>116.84</v>
      </c>
      <c r="AN568">
        <v>115.18</v>
      </c>
      <c r="AO568">
        <v>116.01</v>
      </c>
      <c r="AP568">
        <v>40.630000000000003</v>
      </c>
      <c r="AQ568">
        <v>39.03</v>
      </c>
      <c r="AR568">
        <v>39.83</v>
      </c>
      <c r="AS568">
        <v>41.34</v>
      </c>
      <c r="AT568">
        <v>39.980000000000004</v>
      </c>
      <c r="AU568">
        <v>40.660000000000004</v>
      </c>
      <c r="AV568">
        <v>21.05</v>
      </c>
      <c r="AW568">
        <v>20.45</v>
      </c>
      <c r="AX568">
        <v>20.75</v>
      </c>
      <c r="AY568">
        <v>4.6500000000000004</v>
      </c>
      <c r="AZ568">
        <v>4.49</v>
      </c>
      <c r="BA568">
        <v>4.57</v>
      </c>
      <c r="BB568">
        <v>1.89</v>
      </c>
      <c r="BC568">
        <v>1.5899999999999999</v>
      </c>
      <c r="BD568">
        <v>1.7399999999999998</v>
      </c>
      <c r="BE568">
        <v>0.68</v>
      </c>
      <c r="BF568">
        <v>0.38000000000000006</v>
      </c>
      <c r="BG568">
        <v>0.53</v>
      </c>
      <c r="BH568">
        <v>498.13</v>
      </c>
      <c r="BI568">
        <v>482.13</v>
      </c>
      <c r="BJ568">
        <v>490.13</v>
      </c>
      <c r="BK568">
        <v>41.71</v>
      </c>
      <c r="BL568">
        <v>40.35</v>
      </c>
      <c r="BM568">
        <v>41.03</v>
      </c>
      <c r="BN568">
        <v>1.04</v>
      </c>
      <c r="BO568">
        <v>0.8</v>
      </c>
      <c r="BP568">
        <v>0.92</v>
      </c>
      <c r="BQ568">
        <v>8.93</v>
      </c>
      <c r="BR568">
        <v>6.93</v>
      </c>
      <c r="BS568">
        <v>7.93</v>
      </c>
      <c r="BT568">
        <v>10.96</v>
      </c>
      <c r="BU568">
        <v>10.56</v>
      </c>
      <c r="BV568">
        <v>10.760000000000002</v>
      </c>
      <c r="BW568">
        <v>2.8</v>
      </c>
      <c r="BX568">
        <v>2.5199999999999996</v>
      </c>
      <c r="BY568">
        <v>2.6599999999999997</v>
      </c>
      <c r="BZ568">
        <v>9.82</v>
      </c>
      <c r="CA568">
        <v>6.82</v>
      </c>
      <c r="CB568">
        <v>8.32</v>
      </c>
      <c r="CC568">
        <v>7.14</v>
      </c>
      <c r="CD568">
        <v>6.8999999999999995</v>
      </c>
      <c r="CE568">
        <v>7.02</v>
      </c>
      <c r="CF568">
        <v>2.16</v>
      </c>
      <c r="CG568">
        <v>1.6600000000000001</v>
      </c>
      <c r="CH568">
        <v>1.9100000000000001</v>
      </c>
      <c r="CI568">
        <v>0.45</v>
      </c>
      <c r="CJ568">
        <v>0.41000000000000003</v>
      </c>
      <c r="CK568">
        <v>0.43000000000000005</v>
      </c>
      <c r="CL568">
        <v>41.8</v>
      </c>
      <c r="CM568">
        <v>39.4</v>
      </c>
      <c r="CN568">
        <v>40.599999999999994</v>
      </c>
      <c r="CO568">
        <v>6.21</v>
      </c>
      <c r="CP568">
        <v>1.21</v>
      </c>
      <c r="CQ568">
        <v>3.71</v>
      </c>
    </row>
    <row r="569" spans="1:95">
      <c r="A569" s="228">
        <v>45855</v>
      </c>
      <c r="B569" t="s">
        <v>99</v>
      </c>
      <c r="C569">
        <v>149.51</v>
      </c>
      <c r="D569">
        <v>147.51</v>
      </c>
      <c r="E569">
        <v>148.51</v>
      </c>
      <c r="F569">
        <v>174.02</v>
      </c>
      <c r="G569">
        <v>171.02</v>
      </c>
      <c r="H569">
        <v>172.52</v>
      </c>
      <c r="I569">
        <v>109.98</v>
      </c>
      <c r="J569">
        <v>106.78</v>
      </c>
      <c r="K569">
        <v>108.38</v>
      </c>
      <c r="L569">
        <v>202.96</v>
      </c>
      <c r="M569">
        <v>194.96</v>
      </c>
      <c r="N569">
        <v>198.96</v>
      </c>
      <c r="O569">
        <v>185.96</v>
      </c>
      <c r="P569">
        <v>184.16</v>
      </c>
      <c r="Q569">
        <v>185.06</v>
      </c>
      <c r="R569">
        <v>23.42</v>
      </c>
      <c r="S569">
        <v>22.82</v>
      </c>
      <c r="T569">
        <v>23.12</v>
      </c>
      <c r="U569">
        <v>14.77</v>
      </c>
      <c r="V569">
        <v>14.17</v>
      </c>
      <c r="W569">
        <v>14.469999999999999</v>
      </c>
      <c r="X569">
        <v>15.66</v>
      </c>
      <c r="Y569">
        <v>14.86</v>
      </c>
      <c r="Z569">
        <v>15.26</v>
      </c>
      <c r="AA569">
        <v>98.68</v>
      </c>
      <c r="AB569">
        <v>94.68</v>
      </c>
      <c r="AC569">
        <v>96.68</v>
      </c>
      <c r="AD569">
        <v>90.05</v>
      </c>
      <c r="AE569">
        <v>86.05</v>
      </c>
      <c r="AF569">
        <v>88.05</v>
      </c>
      <c r="AG569">
        <v>19.34</v>
      </c>
      <c r="AH569">
        <v>18.48</v>
      </c>
      <c r="AI569">
        <v>18.91</v>
      </c>
      <c r="AM569">
        <v>116.39</v>
      </c>
      <c r="AN569">
        <v>114.73</v>
      </c>
      <c r="AO569">
        <v>115.56</v>
      </c>
      <c r="AP569">
        <v>40.479999999999997</v>
      </c>
      <c r="AQ569">
        <v>38.879999999999995</v>
      </c>
      <c r="AR569">
        <v>39.679999999999993</v>
      </c>
      <c r="AS569">
        <v>41.19</v>
      </c>
      <c r="AT569">
        <v>39.83</v>
      </c>
      <c r="AU569">
        <v>40.51</v>
      </c>
      <c r="AV569">
        <v>20.97</v>
      </c>
      <c r="AW569">
        <v>20.369999999999997</v>
      </c>
      <c r="AX569">
        <v>20.669999999999998</v>
      </c>
      <c r="AY569">
        <v>4.6399999999999997</v>
      </c>
      <c r="AZ569">
        <v>4.4799999999999995</v>
      </c>
      <c r="BA569">
        <v>4.5599999999999996</v>
      </c>
      <c r="BB569">
        <v>1.89</v>
      </c>
      <c r="BC569">
        <v>1.5899999999999999</v>
      </c>
      <c r="BD569">
        <v>1.7399999999999998</v>
      </c>
      <c r="BE569">
        <v>0.68</v>
      </c>
      <c r="BF569">
        <v>0.38000000000000006</v>
      </c>
      <c r="BG569">
        <v>0.53</v>
      </c>
      <c r="BH569">
        <v>496.52</v>
      </c>
      <c r="BI569">
        <v>480.52</v>
      </c>
      <c r="BJ569">
        <v>488.52</v>
      </c>
      <c r="BK569">
        <v>41.56</v>
      </c>
      <c r="BL569">
        <v>40.200000000000003</v>
      </c>
      <c r="BM569">
        <v>40.880000000000003</v>
      </c>
      <c r="BN569">
        <v>1.04</v>
      </c>
      <c r="BO569">
        <v>0.8</v>
      </c>
      <c r="BP569">
        <v>0.92</v>
      </c>
      <c r="BQ569">
        <v>8.92</v>
      </c>
      <c r="BR569">
        <v>6.92</v>
      </c>
      <c r="BS569">
        <v>7.92</v>
      </c>
      <c r="BT569">
        <v>10.89</v>
      </c>
      <c r="BU569">
        <v>10.49</v>
      </c>
      <c r="BV569">
        <v>10.690000000000001</v>
      </c>
      <c r="BW569">
        <v>2.77</v>
      </c>
      <c r="BX569">
        <v>2.4900000000000002</v>
      </c>
      <c r="BY569">
        <v>2.63</v>
      </c>
      <c r="BZ569">
        <v>9.82</v>
      </c>
      <c r="CA569">
        <v>6.82</v>
      </c>
      <c r="CB569">
        <v>8.32</v>
      </c>
      <c r="CC569">
        <v>7.13</v>
      </c>
      <c r="CD569">
        <v>6.89</v>
      </c>
      <c r="CE569">
        <v>7.01</v>
      </c>
      <c r="CF569">
        <v>2.15</v>
      </c>
      <c r="CG569">
        <v>1.65</v>
      </c>
      <c r="CH569">
        <v>1.9</v>
      </c>
      <c r="CI569">
        <v>0.45</v>
      </c>
      <c r="CJ569">
        <v>0.41000000000000003</v>
      </c>
      <c r="CK569">
        <v>0.43000000000000005</v>
      </c>
      <c r="CL569">
        <v>41.73</v>
      </c>
      <c r="CM569">
        <v>39.33</v>
      </c>
      <c r="CN569">
        <v>40.53</v>
      </c>
      <c r="CO569">
        <v>6.2</v>
      </c>
      <c r="CP569">
        <v>1.2000000000000002</v>
      </c>
      <c r="CQ569">
        <v>3.7</v>
      </c>
    </row>
    <row r="570" spans="1:95">
      <c r="A570" s="228">
        <v>45856</v>
      </c>
      <c r="B570" t="s">
        <v>100</v>
      </c>
      <c r="C570">
        <v>149.69</v>
      </c>
      <c r="D570">
        <v>147.69</v>
      </c>
      <c r="E570">
        <v>148.69</v>
      </c>
      <c r="F570">
        <v>174.29</v>
      </c>
      <c r="G570">
        <v>171.29</v>
      </c>
      <c r="H570">
        <v>172.79</v>
      </c>
      <c r="I570">
        <v>109.83</v>
      </c>
      <c r="J570">
        <v>106.63</v>
      </c>
      <c r="K570">
        <v>108.22999999999999</v>
      </c>
      <c r="L570">
        <v>203.72</v>
      </c>
      <c r="M570">
        <v>195.72</v>
      </c>
      <c r="N570">
        <v>199.72</v>
      </c>
      <c r="O570">
        <v>186.05</v>
      </c>
      <c r="P570">
        <v>184.25</v>
      </c>
      <c r="Q570">
        <v>185.15</v>
      </c>
      <c r="R570">
        <v>23.45</v>
      </c>
      <c r="S570">
        <v>22.849999999999998</v>
      </c>
      <c r="T570">
        <v>23.15</v>
      </c>
      <c r="U570">
        <v>14.78</v>
      </c>
      <c r="V570">
        <v>14.18</v>
      </c>
      <c r="W570">
        <v>14.48</v>
      </c>
      <c r="X570">
        <v>15.68</v>
      </c>
      <c r="Y570">
        <v>14.879999999999999</v>
      </c>
      <c r="Z570">
        <v>15.28</v>
      </c>
      <c r="AA570">
        <v>98.72</v>
      </c>
      <c r="AB570">
        <v>94.72</v>
      </c>
      <c r="AC570">
        <v>96.72</v>
      </c>
      <c r="AD570">
        <v>90.5</v>
      </c>
      <c r="AE570">
        <v>86.5</v>
      </c>
      <c r="AF570">
        <v>88.5</v>
      </c>
      <c r="AG570">
        <v>19.37</v>
      </c>
      <c r="AH570">
        <v>18.510000000000002</v>
      </c>
      <c r="AI570">
        <v>18.940000000000001</v>
      </c>
      <c r="AM570">
        <v>116.56</v>
      </c>
      <c r="AN570">
        <v>114.9</v>
      </c>
      <c r="AO570">
        <v>115.73</v>
      </c>
      <c r="AP570">
        <v>40.520000000000003</v>
      </c>
      <c r="AQ570">
        <v>38.92</v>
      </c>
      <c r="AR570">
        <v>39.72</v>
      </c>
      <c r="AS570">
        <v>41.23</v>
      </c>
      <c r="AT570">
        <v>39.869999999999997</v>
      </c>
      <c r="AU570">
        <v>40.549999999999997</v>
      </c>
      <c r="AV570">
        <v>21</v>
      </c>
      <c r="AW570">
        <v>20.399999999999999</v>
      </c>
      <c r="AX570">
        <v>20.7</v>
      </c>
      <c r="AY570">
        <v>4.67</v>
      </c>
      <c r="AZ570">
        <v>4.51</v>
      </c>
      <c r="BA570">
        <v>4.59</v>
      </c>
      <c r="BB570">
        <v>1.89</v>
      </c>
      <c r="BC570">
        <v>1.5899999999999999</v>
      </c>
      <c r="BD570">
        <v>1.7399999999999998</v>
      </c>
      <c r="BE570">
        <v>0.68</v>
      </c>
      <c r="BF570">
        <v>0.38000000000000006</v>
      </c>
      <c r="BG570">
        <v>0.53</v>
      </c>
      <c r="BH570">
        <v>497.11</v>
      </c>
      <c r="BI570">
        <v>481.11</v>
      </c>
      <c r="BJ570">
        <v>489.11</v>
      </c>
      <c r="BK570">
        <v>41.6</v>
      </c>
      <c r="BL570">
        <v>40.24</v>
      </c>
      <c r="BM570">
        <v>40.92</v>
      </c>
      <c r="BN570">
        <v>1.03</v>
      </c>
      <c r="BO570">
        <v>0.79</v>
      </c>
      <c r="BP570">
        <v>0.91</v>
      </c>
      <c r="BQ570">
        <v>8.93</v>
      </c>
      <c r="BR570">
        <v>6.93</v>
      </c>
      <c r="BS570">
        <v>7.93</v>
      </c>
      <c r="BT570">
        <v>10.91</v>
      </c>
      <c r="BU570">
        <v>10.51</v>
      </c>
      <c r="BV570">
        <v>10.71</v>
      </c>
      <c r="BW570">
        <v>2.76</v>
      </c>
      <c r="BX570">
        <v>2.4799999999999995</v>
      </c>
      <c r="BY570">
        <v>2.6199999999999997</v>
      </c>
      <c r="BZ570">
        <v>9.86</v>
      </c>
      <c r="CA570">
        <v>6.8599999999999994</v>
      </c>
      <c r="CB570">
        <v>8.36</v>
      </c>
      <c r="CC570">
        <v>7.14</v>
      </c>
      <c r="CD570">
        <v>6.8999999999999995</v>
      </c>
      <c r="CE570">
        <v>7.02</v>
      </c>
      <c r="CF570">
        <v>2.16</v>
      </c>
      <c r="CG570">
        <v>1.6600000000000001</v>
      </c>
      <c r="CH570">
        <v>1.9100000000000001</v>
      </c>
      <c r="CI570">
        <v>0.45</v>
      </c>
      <c r="CJ570">
        <v>0.41000000000000003</v>
      </c>
      <c r="CK570">
        <v>0.43000000000000005</v>
      </c>
      <c r="CL570">
        <v>41.81</v>
      </c>
      <c r="CM570">
        <v>39.410000000000004</v>
      </c>
      <c r="CN570">
        <v>40.61</v>
      </c>
      <c r="CO570">
        <v>6.19</v>
      </c>
      <c r="CP570">
        <v>1.1900000000000004</v>
      </c>
      <c r="CQ570">
        <v>3.6900000000000004</v>
      </c>
    </row>
    <row r="571" spans="1:95">
      <c r="A571" s="228">
        <v>45857</v>
      </c>
      <c r="B571" t="s">
        <v>307</v>
      </c>
    </row>
    <row r="572" spans="1:95">
      <c r="A572" s="228">
        <v>45858</v>
      </c>
      <c r="B572" t="s">
        <v>308</v>
      </c>
    </row>
    <row r="573" spans="1:95">
      <c r="A573" s="228">
        <v>45859</v>
      </c>
      <c r="B573" t="s">
        <v>96</v>
      </c>
    </row>
    <row r="574" spans="1:95">
      <c r="A574" s="228">
        <v>45860</v>
      </c>
      <c r="B574" t="s">
        <v>97</v>
      </c>
      <c r="C574">
        <v>148.47</v>
      </c>
      <c r="D574">
        <v>146.47</v>
      </c>
      <c r="E574">
        <v>147.47</v>
      </c>
      <c r="F574">
        <v>173.83</v>
      </c>
      <c r="G574">
        <v>170.83</v>
      </c>
      <c r="H574">
        <v>172.33</v>
      </c>
      <c r="I574">
        <v>109.35</v>
      </c>
      <c r="J574">
        <v>106.14999999999999</v>
      </c>
      <c r="K574">
        <v>107.75</v>
      </c>
      <c r="L574">
        <v>202.82</v>
      </c>
      <c r="M574">
        <v>194.82</v>
      </c>
      <c r="N574">
        <v>198.82</v>
      </c>
      <c r="O574">
        <v>185.63</v>
      </c>
      <c r="P574">
        <v>183.82999999999998</v>
      </c>
      <c r="Q574">
        <v>184.73</v>
      </c>
      <c r="R574">
        <v>23.39</v>
      </c>
      <c r="S574">
        <v>22.79</v>
      </c>
      <c r="T574">
        <v>23.09</v>
      </c>
      <c r="U574">
        <v>14.81</v>
      </c>
      <c r="V574">
        <v>14.21</v>
      </c>
      <c r="W574">
        <v>14.510000000000002</v>
      </c>
      <c r="X574">
        <v>15.81</v>
      </c>
      <c r="Y574">
        <v>15.01</v>
      </c>
      <c r="Z574">
        <v>15.41</v>
      </c>
      <c r="AA574">
        <v>98.09</v>
      </c>
      <c r="AB574">
        <v>94.09</v>
      </c>
      <c r="AC574">
        <v>96.09</v>
      </c>
      <c r="AD574">
        <v>89.89</v>
      </c>
      <c r="AE574">
        <v>85.89</v>
      </c>
      <c r="AF574">
        <v>87.89</v>
      </c>
      <c r="AG574">
        <v>19.21</v>
      </c>
      <c r="AH574">
        <v>18.350000000000001</v>
      </c>
      <c r="AI574">
        <v>18.78</v>
      </c>
      <c r="AM574">
        <v>115.95</v>
      </c>
      <c r="AN574">
        <v>114.29</v>
      </c>
      <c r="AO574">
        <v>115.12</v>
      </c>
      <c r="AP574">
        <v>40.200000000000003</v>
      </c>
      <c r="AQ574">
        <v>38.6</v>
      </c>
      <c r="AR574">
        <v>39.400000000000006</v>
      </c>
      <c r="AS574">
        <v>40.909999999999997</v>
      </c>
      <c r="AT574">
        <v>39.549999999999997</v>
      </c>
      <c r="AU574">
        <v>40.229999999999997</v>
      </c>
      <c r="AV574">
        <v>20.86</v>
      </c>
      <c r="AW574">
        <v>20.259999999999998</v>
      </c>
      <c r="AX574">
        <v>20.56</v>
      </c>
      <c r="AY574">
        <v>4.6500000000000004</v>
      </c>
      <c r="AZ574">
        <v>4.49</v>
      </c>
      <c r="BA574">
        <v>4.57</v>
      </c>
      <c r="BB574">
        <v>1.87</v>
      </c>
      <c r="BC574">
        <v>1.57</v>
      </c>
      <c r="BD574">
        <v>1.7200000000000002</v>
      </c>
      <c r="BE574">
        <v>0.67</v>
      </c>
      <c r="BF574">
        <v>0.37000000000000005</v>
      </c>
      <c r="BG574">
        <v>0.52</v>
      </c>
      <c r="BH574">
        <v>488.51</v>
      </c>
      <c r="BI574">
        <v>472.51</v>
      </c>
      <c r="BJ574">
        <v>480.51</v>
      </c>
      <c r="BK574">
        <v>41.26</v>
      </c>
      <c r="BL574">
        <v>39.9</v>
      </c>
      <c r="BM574">
        <v>40.58</v>
      </c>
      <c r="BN574">
        <v>1.03</v>
      </c>
      <c r="BO574">
        <v>0.79</v>
      </c>
      <c r="BP574">
        <v>0.91</v>
      </c>
      <c r="BQ574">
        <v>8.9</v>
      </c>
      <c r="BR574">
        <v>6.9</v>
      </c>
      <c r="BS574">
        <v>7.9</v>
      </c>
      <c r="BT574">
        <v>10.86</v>
      </c>
      <c r="BU574">
        <v>10.459999999999999</v>
      </c>
      <c r="BV574">
        <v>10.66</v>
      </c>
      <c r="BW574">
        <v>2.75</v>
      </c>
      <c r="BX574">
        <v>2.4699999999999998</v>
      </c>
      <c r="BY574">
        <v>2.61</v>
      </c>
      <c r="BZ574">
        <v>9.8699999999999992</v>
      </c>
      <c r="CA574">
        <v>6.8699999999999992</v>
      </c>
      <c r="CB574">
        <v>8.3699999999999992</v>
      </c>
      <c r="CC574">
        <v>7.12</v>
      </c>
      <c r="CD574">
        <v>6.88</v>
      </c>
      <c r="CE574">
        <v>7</v>
      </c>
      <c r="CF574">
        <v>2.14</v>
      </c>
      <c r="CG574">
        <v>1.6400000000000001</v>
      </c>
      <c r="CH574">
        <v>1.8900000000000001</v>
      </c>
      <c r="CI574">
        <v>0.45</v>
      </c>
      <c r="CJ574">
        <v>0.41000000000000003</v>
      </c>
      <c r="CK574">
        <v>0.43000000000000005</v>
      </c>
      <c r="CL574">
        <v>41.83</v>
      </c>
      <c r="CM574">
        <v>39.43</v>
      </c>
      <c r="CN574">
        <v>40.629999999999995</v>
      </c>
      <c r="CO574">
        <v>6.15</v>
      </c>
      <c r="CP574">
        <v>1.1500000000000004</v>
      </c>
      <c r="CQ574">
        <v>3.6500000000000004</v>
      </c>
    </row>
    <row r="575" spans="1:95">
      <c r="A575" s="228">
        <v>45861</v>
      </c>
      <c r="B575" t="s">
        <v>98</v>
      </c>
      <c r="C575">
        <v>147.47999999999999</v>
      </c>
      <c r="D575">
        <v>145.47999999999999</v>
      </c>
      <c r="E575">
        <v>146.47999999999999</v>
      </c>
      <c r="F575">
        <v>173.51</v>
      </c>
      <c r="G575">
        <v>170.51</v>
      </c>
      <c r="H575">
        <v>172.01</v>
      </c>
      <c r="I575">
        <v>109.34</v>
      </c>
      <c r="J575">
        <v>106.14</v>
      </c>
      <c r="K575">
        <v>107.74000000000001</v>
      </c>
      <c r="L575">
        <v>202.1</v>
      </c>
      <c r="M575">
        <v>194.1</v>
      </c>
      <c r="N575">
        <v>198.1</v>
      </c>
      <c r="O575">
        <v>185.55</v>
      </c>
      <c r="P575">
        <v>183.75</v>
      </c>
      <c r="Q575">
        <v>184.65</v>
      </c>
      <c r="R575">
        <v>23.34</v>
      </c>
      <c r="S575">
        <v>22.74</v>
      </c>
      <c r="T575">
        <v>23.04</v>
      </c>
      <c r="U575">
        <v>14.84</v>
      </c>
      <c r="V575">
        <v>14.24</v>
      </c>
      <c r="W575">
        <v>14.54</v>
      </c>
      <c r="X575">
        <v>15.82</v>
      </c>
      <c r="Y575">
        <v>15.02</v>
      </c>
      <c r="Z575">
        <v>15.42</v>
      </c>
      <c r="AA575">
        <v>98.06</v>
      </c>
      <c r="AB575">
        <v>94.06</v>
      </c>
      <c r="AC575">
        <v>96.06</v>
      </c>
      <c r="AD575">
        <v>89.98</v>
      </c>
      <c r="AE575">
        <v>85.98</v>
      </c>
      <c r="AF575">
        <v>87.98</v>
      </c>
      <c r="AG575">
        <v>19.09</v>
      </c>
      <c r="AH575">
        <v>18.23</v>
      </c>
      <c r="AI575">
        <v>18.66</v>
      </c>
      <c r="AM575">
        <v>115.43</v>
      </c>
      <c r="AN575">
        <v>113.77000000000001</v>
      </c>
      <c r="AO575">
        <v>114.60000000000001</v>
      </c>
      <c r="AP575">
        <v>39.93</v>
      </c>
      <c r="AQ575">
        <v>38.33</v>
      </c>
      <c r="AR575">
        <v>39.129999999999995</v>
      </c>
      <c r="AS575">
        <v>40.64</v>
      </c>
      <c r="AT575">
        <v>39.28</v>
      </c>
      <c r="AU575">
        <v>39.96</v>
      </c>
      <c r="AV575">
        <v>20.72</v>
      </c>
      <c r="AW575">
        <v>20.119999999999997</v>
      </c>
      <c r="AX575">
        <v>20.419999999999998</v>
      </c>
      <c r="AY575">
        <v>4.63</v>
      </c>
      <c r="AZ575">
        <v>4.47</v>
      </c>
      <c r="BA575">
        <v>4.55</v>
      </c>
      <c r="BB575">
        <v>1.86</v>
      </c>
      <c r="BC575">
        <v>1.56</v>
      </c>
      <c r="BD575">
        <v>1.71</v>
      </c>
      <c r="BE575">
        <v>0.67</v>
      </c>
      <c r="BF575">
        <v>0.37000000000000005</v>
      </c>
      <c r="BG575">
        <v>0.52</v>
      </c>
      <c r="BH575">
        <v>490.48</v>
      </c>
      <c r="BI575">
        <v>474.48</v>
      </c>
      <c r="BJ575">
        <v>482.48</v>
      </c>
      <c r="BK575">
        <v>40.99</v>
      </c>
      <c r="BL575">
        <v>39.630000000000003</v>
      </c>
      <c r="BM575">
        <v>40.31</v>
      </c>
      <c r="BN575">
        <v>1.02</v>
      </c>
      <c r="BO575">
        <v>0.78</v>
      </c>
      <c r="BP575">
        <v>0.9</v>
      </c>
      <c r="BQ575">
        <v>8.86</v>
      </c>
      <c r="BR575">
        <v>6.8599999999999994</v>
      </c>
      <c r="BS575">
        <v>7.8599999999999994</v>
      </c>
      <c r="BT575">
        <v>10.83</v>
      </c>
      <c r="BU575">
        <v>10.43</v>
      </c>
      <c r="BV575">
        <v>10.629999999999999</v>
      </c>
      <c r="BW575">
        <v>2.74</v>
      </c>
      <c r="BX575">
        <v>2.46</v>
      </c>
      <c r="BY575">
        <v>2.6</v>
      </c>
      <c r="BZ575">
        <v>9.85</v>
      </c>
      <c r="CA575">
        <v>6.85</v>
      </c>
      <c r="CB575">
        <v>8.35</v>
      </c>
      <c r="CC575">
        <v>7.11</v>
      </c>
      <c r="CD575">
        <v>6.87</v>
      </c>
      <c r="CE575">
        <v>6.99</v>
      </c>
      <c r="CF575">
        <v>2.12</v>
      </c>
      <c r="CG575">
        <v>1.62</v>
      </c>
      <c r="CH575">
        <v>1.87</v>
      </c>
      <c r="CI575">
        <v>0.45</v>
      </c>
      <c r="CJ575">
        <v>0.41000000000000003</v>
      </c>
      <c r="CK575">
        <v>0.43000000000000005</v>
      </c>
      <c r="CL575">
        <v>41.67</v>
      </c>
      <c r="CM575">
        <v>39.270000000000003</v>
      </c>
      <c r="CN575">
        <v>40.47</v>
      </c>
      <c r="CO575">
        <v>6.13</v>
      </c>
      <c r="CP575">
        <v>1.1299999999999999</v>
      </c>
      <c r="CQ575">
        <v>3.63</v>
      </c>
    </row>
    <row r="576" spans="1:95">
      <c r="A576" s="228">
        <v>45862</v>
      </c>
      <c r="B576" t="s">
        <v>99</v>
      </c>
      <c r="C576">
        <v>147.5</v>
      </c>
      <c r="D576">
        <v>145.5</v>
      </c>
      <c r="E576">
        <v>146.5</v>
      </c>
      <c r="F576">
        <v>173.89</v>
      </c>
      <c r="G576">
        <v>170.89</v>
      </c>
      <c r="H576">
        <v>172.39</v>
      </c>
      <c r="I576">
        <v>109.27</v>
      </c>
      <c r="J576">
        <v>106.07</v>
      </c>
      <c r="K576">
        <v>107.66999999999999</v>
      </c>
      <c r="L576">
        <v>202.9</v>
      </c>
      <c r="M576">
        <v>194.9</v>
      </c>
      <c r="N576">
        <v>198.9</v>
      </c>
      <c r="O576">
        <v>185.69</v>
      </c>
      <c r="P576">
        <v>183.89</v>
      </c>
      <c r="Q576">
        <v>184.79</v>
      </c>
      <c r="R576">
        <v>23.4</v>
      </c>
      <c r="S576">
        <v>22.799999999999997</v>
      </c>
      <c r="T576">
        <v>23.099999999999998</v>
      </c>
      <c r="U576">
        <v>14.79</v>
      </c>
      <c r="V576">
        <v>14.19</v>
      </c>
      <c r="W576">
        <v>14.489999999999998</v>
      </c>
      <c r="X576">
        <v>15.81</v>
      </c>
      <c r="Y576">
        <v>15.01</v>
      </c>
      <c r="Z576">
        <v>15.41</v>
      </c>
      <c r="AA576">
        <v>98.68</v>
      </c>
      <c r="AB576">
        <v>94.68</v>
      </c>
      <c r="AC576">
        <v>96.68</v>
      </c>
      <c r="AD576">
        <v>90.53</v>
      </c>
      <c r="AE576">
        <v>86.53</v>
      </c>
      <c r="AF576">
        <v>88.53</v>
      </c>
      <c r="AG576">
        <v>19.09</v>
      </c>
      <c r="AH576">
        <v>18.23</v>
      </c>
      <c r="AI576">
        <v>18.66</v>
      </c>
      <c r="AM576">
        <v>115.62</v>
      </c>
      <c r="AN576">
        <v>113.96000000000001</v>
      </c>
      <c r="AO576">
        <v>114.79</v>
      </c>
      <c r="AP576">
        <v>39.93</v>
      </c>
      <c r="AQ576">
        <v>38.33</v>
      </c>
      <c r="AR576">
        <v>39.129999999999995</v>
      </c>
      <c r="AS576">
        <v>40.630000000000003</v>
      </c>
      <c r="AT576">
        <v>39.270000000000003</v>
      </c>
      <c r="AU576">
        <v>39.950000000000003</v>
      </c>
      <c r="AV576">
        <v>20.79</v>
      </c>
      <c r="AW576">
        <v>20.189999999999998</v>
      </c>
      <c r="AX576">
        <v>20.49</v>
      </c>
      <c r="AY576">
        <v>4.6399999999999997</v>
      </c>
      <c r="AZ576">
        <v>4.4799999999999995</v>
      </c>
      <c r="BA576">
        <v>4.5599999999999996</v>
      </c>
      <c r="BB576">
        <v>1.86</v>
      </c>
      <c r="BC576">
        <v>1.56</v>
      </c>
      <c r="BD576">
        <v>1.71</v>
      </c>
      <c r="BE576">
        <v>0.67</v>
      </c>
      <c r="BF576">
        <v>0.37000000000000005</v>
      </c>
      <c r="BG576">
        <v>0.52</v>
      </c>
      <c r="BH576">
        <v>490.54</v>
      </c>
      <c r="BI576">
        <v>474.54</v>
      </c>
      <c r="BJ576">
        <v>482.54</v>
      </c>
      <c r="BK576">
        <v>40.99</v>
      </c>
      <c r="BL576">
        <v>39.630000000000003</v>
      </c>
      <c r="BM576">
        <v>40.31</v>
      </c>
      <c r="BN576">
        <v>1.02</v>
      </c>
      <c r="BO576">
        <v>0.78</v>
      </c>
      <c r="BP576">
        <v>0.9</v>
      </c>
      <c r="BQ576">
        <v>8.9</v>
      </c>
      <c r="BR576">
        <v>6.9</v>
      </c>
      <c r="BS576">
        <v>7.9</v>
      </c>
      <c r="BT576">
        <v>10.9</v>
      </c>
      <c r="BU576">
        <v>10.5</v>
      </c>
      <c r="BV576">
        <v>10.7</v>
      </c>
      <c r="BW576">
        <v>2.74</v>
      </c>
      <c r="BX576">
        <v>2.46</v>
      </c>
      <c r="BY576">
        <v>2.6</v>
      </c>
      <c r="BZ576">
        <v>9.86</v>
      </c>
      <c r="CA576">
        <v>6.8599999999999994</v>
      </c>
      <c r="CB576">
        <v>8.36</v>
      </c>
      <c r="CC576">
        <v>7.14</v>
      </c>
      <c r="CD576">
        <v>6.8999999999999995</v>
      </c>
      <c r="CE576">
        <v>7.02</v>
      </c>
      <c r="CF576">
        <v>2.12</v>
      </c>
      <c r="CG576">
        <v>1.62</v>
      </c>
      <c r="CH576">
        <v>1.87</v>
      </c>
      <c r="CI576">
        <v>0.45</v>
      </c>
      <c r="CJ576">
        <v>0.41000000000000003</v>
      </c>
      <c r="CK576">
        <v>0.43000000000000005</v>
      </c>
      <c r="CL576">
        <v>41.8</v>
      </c>
      <c r="CM576">
        <v>39.4</v>
      </c>
      <c r="CN576">
        <v>40.599999999999994</v>
      </c>
      <c r="CO576">
        <v>6.13</v>
      </c>
      <c r="CP576">
        <v>1.1299999999999999</v>
      </c>
      <c r="CQ576">
        <v>3.63</v>
      </c>
    </row>
    <row r="577" spans="1:95">
      <c r="A577" s="228">
        <v>45863</v>
      </c>
      <c r="B577" t="s">
        <v>100</v>
      </c>
      <c r="C577">
        <v>148.41999999999999</v>
      </c>
      <c r="D577">
        <v>146.41999999999999</v>
      </c>
      <c r="E577">
        <v>147.41999999999999</v>
      </c>
      <c r="F577">
        <v>174.73</v>
      </c>
      <c r="G577">
        <v>171.73</v>
      </c>
      <c r="H577">
        <v>173.23</v>
      </c>
      <c r="I577">
        <v>109.61</v>
      </c>
      <c r="J577">
        <v>106.41</v>
      </c>
      <c r="K577">
        <v>108.00999999999999</v>
      </c>
      <c r="L577">
        <v>203.05</v>
      </c>
      <c r="M577">
        <v>195.05</v>
      </c>
      <c r="N577">
        <v>199.05</v>
      </c>
      <c r="O577">
        <v>186.15</v>
      </c>
      <c r="P577">
        <v>184.35</v>
      </c>
      <c r="Q577">
        <v>185.25</v>
      </c>
      <c r="R577">
        <v>23.51</v>
      </c>
      <c r="S577">
        <v>22.91</v>
      </c>
      <c r="T577">
        <v>23.21</v>
      </c>
      <c r="U577">
        <v>14.87</v>
      </c>
      <c r="V577">
        <v>14.27</v>
      </c>
      <c r="W577">
        <v>14.57</v>
      </c>
      <c r="X577">
        <v>15.87</v>
      </c>
      <c r="Y577">
        <v>15.069999999999999</v>
      </c>
      <c r="Z577">
        <v>15.469999999999999</v>
      </c>
      <c r="AA577">
        <v>99.15</v>
      </c>
      <c r="AB577">
        <v>95.15</v>
      </c>
      <c r="AC577">
        <v>97.15</v>
      </c>
      <c r="AD577">
        <v>90.91</v>
      </c>
      <c r="AE577">
        <v>86.91</v>
      </c>
      <c r="AF577">
        <v>88.91</v>
      </c>
      <c r="AG577">
        <v>19.2</v>
      </c>
      <c r="AH577">
        <v>18.34</v>
      </c>
      <c r="AI577">
        <v>18.77</v>
      </c>
      <c r="AM577">
        <v>116.17</v>
      </c>
      <c r="AN577">
        <v>114.51</v>
      </c>
      <c r="AO577">
        <v>115.34</v>
      </c>
      <c r="AP577">
        <v>40.19</v>
      </c>
      <c r="AQ577">
        <v>38.589999999999996</v>
      </c>
      <c r="AR577">
        <v>39.39</v>
      </c>
      <c r="AS577">
        <v>40.89</v>
      </c>
      <c r="AT577">
        <v>39.53</v>
      </c>
      <c r="AU577">
        <v>40.21</v>
      </c>
      <c r="AV577">
        <v>20.9</v>
      </c>
      <c r="AW577">
        <v>20.299999999999997</v>
      </c>
      <c r="AX577">
        <v>20.599999999999998</v>
      </c>
      <c r="AY577">
        <v>4.66</v>
      </c>
      <c r="AZ577">
        <v>4.5</v>
      </c>
      <c r="BA577">
        <v>4.58</v>
      </c>
      <c r="BB577">
        <v>1.87</v>
      </c>
      <c r="BC577">
        <v>1.57</v>
      </c>
      <c r="BD577">
        <v>1.7200000000000002</v>
      </c>
      <c r="BE577">
        <v>0.67</v>
      </c>
      <c r="BF577">
        <v>0.37000000000000005</v>
      </c>
      <c r="BG577">
        <v>0.52</v>
      </c>
      <c r="BH577">
        <v>493.89</v>
      </c>
      <c r="BI577">
        <v>477.89</v>
      </c>
      <c r="BJ577">
        <v>485.89</v>
      </c>
      <c r="BK577">
        <v>41.25</v>
      </c>
      <c r="BL577">
        <v>39.89</v>
      </c>
      <c r="BM577">
        <v>40.57</v>
      </c>
      <c r="BN577">
        <v>1.03</v>
      </c>
      <c r="BO577">
        <v>0.79</v>
      </c>
      <c r="BP577">
        <v>0.91</v>
      </c>
      <c r="BQ577">
        <v>8.9499999999999993</v>
      </c>
      <c r="BR577">
        <v>6.9499999999999993</v>
      </c>
      <c r="BS577">
        <v>7.9499999999999993</v>
      </c>
      <c r="BT577">
        <v>10.96</v>
      </c>
      <c r="BU577">
        <v>10.56</v>
      </c>
      <c r="BV577">
        <v>10.760000000000002</v>
      </c>
      <c r="BW577">
        <v>2.77</v>
      </c>
      <c r="BX577">
        <v>2.4900000000000002</v>
      </c>
      <c r="BY577">
        <v>2.63</v>
      </c>
      <c r="BZ577">
        <v>9.8699999999999992</v>
      </c>
      <c r="CA577">
        <v>6.8699999999999992</v>
      </c>
      <c r="CB577">
        <v>8.3699999999999992</v>
      </c>
      <c r="CC577">
        <v>7.18</v>
      </c>
      <c r="CD577">
        <v>6.9399999999999995</v>
      </c>
      <c r="CE577">
        <v>7.06</v>
      </c>
      <c r="CF577">
        <v>2.1</v>
      </c>
      <c r="CG577">
        <v>1.6</v>
      </c>
      <c r="CH577">
        <v>1.85</v>
      </c>
      <c r="CI577">
        <v>0.46</v>
      </c>
      <c r="CJ577">
        <v>0.42000000000000004</v>
      </c>
      <c r="CK577">
        <v>0.44000000000000006</v>
      </c>
      <c r="CL577">
        <v>41.93</v>
      </c>
      <c r="CM577">
        <v>39.53</v>
      </c>
      <c r="CN577">
        <v>40.730000000000004</v>
      </c>
      <c r="CO577">
        <v>6.15</v>
      </c>
      <c r="CP577">
        <v>1.1500000000000004</v>
      </c>
      <c r="CQ577">
        <v>3.6500000000000004</v>
      </c>
    </row>
    <row r="578" spans="1:95">
      <c r="A578" s="228">
        <v>45864</v>
      </c>
      <c r="B578" t="s">
        <v>307</v>
      </c>
    </row>
    <row r="579" spans="1:95">
      <c r="A579" s="228">
        <v>45865</v>
      </c>
      <c r="B579" t="s">
        <v>308</v>
      </c>
    </row>
    <row r="580" spans="1:95">
      <c r="A580" s="228">
        <v>45866</v>
      </c>
      <c r="B580" t="s">
        <v>96</v>
      </c>
      <c r="C580">
        <v>148.77000000000001</v>
      </c>
      <c r="D580">
        <v>146.77000000000001</v>
      </c>
      <c r="E580">
        <v>147.77000000000001</v>
      </c>
      <c r="F580">
        <v>175.23</v>
      </c>
      <c r="G580">
        <v>172.23</v>
      </c>
      <c r="H580">
        <v>173.73</v>
      </c>
      <c r="I580">
        <v>109.45</v>
      </c>
      <c r="J580">
        <v>106.25</v>
      </c>
      <c r="K580">
        <v>107.85</v>
      </c>
      <c r="L580">
        <v>202.62</v>
      </c>
      <c r="M580">
        <v>194.62</v>
      </c>
      <c r="N580">
        <v>198.62</v>
      </c>
      <c r="O580">
        <v>186.7</v>
      </c>
      <c r="P580">
        <v>184.89999999999998</v>
      </c>
      <c r="Q580">
        <v>185.79999999999998</v>
      </c>
      <c r="R580">
        <v>23.58</v>
      </c>
      <c r="S580">
        <v>22.979999999999997</v>
      </c>
      <c r="T580">
        <v>23.279999999999998</v>
      </c>
      <c r="U580">
        <v>14.86</v>
      </c>
      <c r="V580">
        <v>14.26</v>
      </c>
      <c r="W580">
        <v>14.559999999999999</v>
      </c>
      <c r="X580">
        <v>15.94</v>
      </c>
      <c r="Y580">
        <v>15.139999999999999</v>
      </c>
      <c r="Z580">
        <v>15.54</v>
      </c>
      <c r="AA580">
        <v>99.17</v>
      </c>
      <c r="AB580">
        <v>95.17</v>
      </c>
      <c r="AC580">
        <v>97.17</v>
      </c>
      <c r="AD580">
        <v>91</v>
      </c>
      <c r="AE580">
        <v>87</v>
      </c>
      <c r="AF580">
        <v>89</v>
      </c>
      <c r="AG580">
        <v>19.25</v>
      </c>
      <c r="AH580">
        <v>18.39</v>
      </c>
      <c r="AI580">
        <v>18.82</v>
      </c>
      <c r="AM580">
        <v>116.24</v>
      </c>
      <c r="AN580">
        <v>114.58</v>
      </c>
      <c r="AO580">
        <v>115.41</v>
      </c>
      <c r="AP580">
        <v>40.270000000000003</v>
      </c>
      <c r="AQ580">
        <v>38.67</v>
      </c>
      <c r="AR580">
        <v>39.47</v>
      </c>
      <c r="AS580">
        <v>40.99</v>
      </c>
      <c r="AT580">
        <v>39.630000000000003</v>
      </c>
      <c r="AU580">
        <v>40.31</v>
      </c>
      <c r="AV580">
        <v>20.92</v>
      </c>
      <c r="AW580">
        <v>20.32</v>
      </c>
      <c r="AX580">
        <v>20.62</v>
      </c>
      <c r="AY580">
        <v>4.63</v>
      </c>
      <c r="AZ580">
        <v>4.47</v>
      </c>
      <c r="BA580">
        <v>4.55</v>
      </c>
      <c r="BB580">
        <v>1.87</v>
      </c>
      <c r="BC580">
        <v>1.57</v>
      </c>
      <c r="BD580">
        <v>1.7200000000000002</v>
      </c>
      <c r="BE580">
        <v>0.68</v>
      </c>
      <c r="BF580">
        <v>0.38000000000000006</v>
      </c>
      <c r="BG580">
        <v>0.53</v>
      </c>
      <c r="BH580">
        <v>489.81</v>
      </c>
      <c r="BI580">
        <v>473.81</v>
      </c>
      <c r="BJ580">
        <v>481.81</v>
      </c>
      <c r="BK580">
        <v>41.34</v>
      </c>
      <c r="BL580">
        <v>39.980000000000004</v>
      </c>
      <c r="BM580">
        <v>40.660000000000004</v>
      </c>
      <c r="BN580">
        <v>1.03</v>
      </c>
      <c r="BO580">
        <v>0.79</v>
      </c>
      <c r="BP580">
        <v>0.91</v>
      </c>
      <c r="BQ580">
        <v>8.98</v>
      </c>
      <c r="BR580">
        <v>6.98</v>
      </c>
      <c r="BS580">
        <v>7.98</v>
      </c>
      <c r="BT580">
        <v>10.92</v>
      </c>
      <c r="BU580">
        <v>10.52</v>
      </c>
      <c r="BV580">
        <v>10.719999999999999</v>
      </c>
      <c r="BW580">
        <v>2.75</v>
      </c>
      <c r="BX580">
        <v>2.4699999999999998</v>
      </c>
      <c r="BY580">
        <v>2.61</v>
      </c>
      <c r="BZ580">
        <v>9.83</v>
      </c>
      <c r="CA580">
        <v>6.83</v>
      </c>
      <c r="CB580">
        <v>8.33</v>
      </c>
      <c r="CC580">
        <v>7.19</v>
      </c>
      <c r="CD580">
        <v>6.95</v>
      </c>
      <c r="CE580">
        <v>7.07</v>
      </c>
      <c r="CF580">
        <v>2.11</v>
      </c>
      <c r="CG580">
        <v>1.6099999999999999</v>
      </c>
      <c r="CH580">
        <v>1.8599999999999999</v>
      </c>
      <c r="CI580">
        <v>0.46</v>
      </c>
      <c r="CJ580">
        <v>0.42000000000000004</v>
      </c>
      <c r="CK580">
        <v>0.44000000000000006</v>
      </c>
      <c r="CL580">
        <v>42.09</v>
      </c>
      <c r="CM580">
        <v>39.690000000000005</v>
      </c>
      <c r="CN580">
        <v>40.89</v>
      </c>
      <c r="CO580">
        <v>6.15</v>
      </c>
      <c r="CP580">
        <v>1.1500000000000004</v>
      </c>
      <c r="CQ580">
        <v>3.6500000000000004</v>
      </c>
    </row>
    <row r="581" spans="1:95">
      <c r="A581" s="228">
        <v>45867</v>
      </c>
      <c r="B581" t="s">
        <v>97</v>
      </c>
      <c r="C581">
        <v>149.54</v>
      </c>
      <c r="D581">
        <v>147.54</v>
      </c>
      <c r="E581">
        <v>148.54</v>
      </c>
      <c r="F581">
        <v>173.54</v>
      </c>
      <c r="G581">
        <v>170.54</v>
      </c>
      <c r="H581">
        <v>172.04</v>
      </c>
      <c r="I581">
        <v>109.67</v>
      </c>
      <c r="J581">
        <v>106.47</v>
      </c>
      <c r="K581">
        <v>108.07</v>
      </c>
      <c r="L581">
        <v>202.24</v>
      </c>
      <c r="M581">
        <v>194.24</v>
      </c>
      <c r="N581">
        <v>198.24</v>
      </c>
      <c r="O581">
        <v>185.77</v>
      </c>
      <c r="P581">
        <v>183.97</v>
      </c>
      <c r="Q581">
        <v>184.87</v>
      </c>
      <c r="R581">
        <v>23.35</v>
      </c>
      <c r="S581">
        <v>22.75</v>
      </c>
      <c r="T581">
        <v>23.05</v>
      </c>
      <c r="U581">
        <v>14.84</v>
      </c>
      <c r="V581">
        <v>14.24</v>
      </c>
      <c r="W581">
        <v>14.54</v>
      </c>
      <c r="X581">
        <v>15.85</v>
      </c>
      <c r="Y581">
        <v>15.049999999999999</v>
      </c>
      <c r="Z581">
        <v>15.45</v>
      </c>
      <c r="AA581">
        <v>98.7</v>
      </c>
      <c r="AB581">
        <v>94.7</v>
      </c>
      <c r="AC581">
        <v>96.7</v>
      </c>
      <c r="AD581">
        <v>90.54</v>
      </c>
      <c r="AE581">
        <v>86.54</v>
      </c>
      <c r="AF581">
        <v>88.54</v>
      </c>
      <c r="AG581">
        <v>19.350000000000001</v>
      </c>
      <c r="AH581">
        <v>18.490000000000002</v>
      </c>
      <c r="AI581">
        <v>18.920000000000002</v>
      </c>
      <c r="AM581">
        <v>116.25</v>
      </c>
      <c r="AN581">
        <v>114.59</v>
      </c>
      <c r="AO581">
        <v>115.42</v>
      </c>
      <c r="AP581">
        <v>40.479999999999997</v>
      </c>
      <c r="AQ581">
        <v>38.879999999999995</v>
      </c>
      <c r="AR581">
        <v>39.679999999999993</v>
      </c>
      <c r="AS581">
        <v>41.2</v>
      </c>
      <c r="AT581">
        <v>39.840000000000003</v>
      </c>
      <c r="AU581">
        <v>40.520000000000003</v>
      </c>
      <c r="AV581">
        <v>20.98</v>
      </c>
      <c r="AW581">
        <v>20.38</v>
      </c>
      <c r="AX581">
        <v>20.68</v>
      </c>
      <c r="AY581">
        <v>4.6500000000000004</v>
      </c>
      <c r="AZ581">
        <v>4.49</v>
      </c>
      <c r="BA581">
        <v>4.57</v>
      </c>
      <c r="BB581">
        <v>1.87</v>
      </c>
      <c r="BC581">
        <v>1.57</v>
      </c>
      <c r="BD581">
        <v>1.7200000000000002</v>
      </c>
      <c r="BE581">
        <v>0.68</v>
      </c>
      <c r="BF581">
        <v>0.38000000000000006</v>
      </c>
      <c r="BG581">
        <v>0.53</v>
      </c>
      <c r="BH581">
        <v>496.78</v>
      </c>
      <c r="BI581">
        <v>480.78</v>
      </c>
      <c r="BJ581">
        <v>488.78</v>
      </c>
      <c r="BK581">
        <v>41.56</v>
      </c>
      <c r="BL581">
        <v>40.200000000000003</v>
      </c>
      <c r="BM581">
        <v>40.880000000000003</v>
      </c>
      <c r="BN581">
        <v>1.03</v>
      </c>
      <c r="BO581">
        <v>0.79</v>
      </c>
      <c r="BP581">
        <v>0.91</v>
      </c>
      <c r="BQ581">
        <v>8.91</v>
      </c>
      <c r="BR581">
        <v>6.91</v>
      </c>
      <c r="BS581">
        <v>7.91</v>
      </c>
      <c r="BT581">
        <v>10.88</v>
      </c>
      <c r="BU581">
        <v>10.48</v>
      </c>
      <c r="BV581">
        <v>10.68</v>
      </c>
      <c r="BW581">
        <v>2.77</v>
      </c>
      <c r="BX581">
        <v>2.4900000000000002</v>
      </c>
      <c r="BY581">
        <v>2.63</v>
      </c>
      <c r="BZ581">
        <v>9.7899999999999991</v>
      </c>
      <c r="CA581">
        <v>6.7899999999999991</v>
      </c>
      <c r="CB581">
        <v>8.2899999999999991</v>
      </c>
      <c r="CC581">
        <v>7.12</v>
      </c>
      <c r="CD581">
        <v>6.88</v>
      </c>
      <c r="CE581">
        <v>7</v>
      </c>
      <c r="CF581">
        <v>2.08</v>
      </c>
      <c r="CG581">
        <v>1.58</v>
      </c>
      <c r="CH581">
        <v>1.83</v>
      </c>
      <c r="CI581">
        <v>0.45</v>
      </c>
      <c r="CJ581">
        <v>0.41000000000000003</v>
      </c>
      <c r="CK581">
        <v>0.43000000000000005</v>
      </c>
      <c r="CL581">
        <v>41.59</v>
      </c>
      <c r="CM581">
        <v>39.190000000000005</v>
      </c>
      <c r="CN581">
        <v>40.39</v>
      </c>
      <c r="CO581">
        <v>6.16</v>
      </c>
      <c r="CP581">
        <v>1.1600000000000001</v>
      </c>
      <c r="CQ581">
        <v>3.66</v>
      </c>
    </row>
    <row r="582" spans="1:95">
      <c r="A582" s="228">
        <v>45868</v>
      </c>
      <c r="B582" t="s">
        <v>98</v>
      </c>
      <c r="C582">
        <v>149.25</v>
      </c>
      <c r="D582">
        <v>147.25</v>
      </c>
      <c r="E582">
        <v>148.25</v>
      </c>
      <c r="F582">
        <v>172.92</v>
      </c>
      <c r="G582">
        <v>169.92</v>
      </c>
      <c r="H582">
        <v>171.42</v>
      </c>
      <c r="I582">
        <v>109.29</v>
      </c>
      <c r="J582">
        <v>106.09</v>
      </c>
      <c r="K582">
        <v>107.69</v>
      </c>
      <c r="L582">
        <v>202.05</v>
      </c>
      <c r="M582">
        <v>194.05</v>
      </c>
      <c r="N582">
        <v>198.05</v>
      </c>
      <c r="O582">
        <v>185.06</v>
      </c>
      <c r="P582">
        <v>183.26</v>
      </c>
      <c r="Q582">
        <v>184.16</v>
      </c>
      <c r="R582">
        <v>23.27</v>
      </c>
      <c r="S582">
        <v>22.669999999999998</v>
      </c>
      <c r="T582">
        <v>22.97</v>
      </c>
      <c r="U582">
        <v>14.84</v>
      </c>
      <c r="V582">
        <v>14.24</v>
      </c>
      <c r="W582">
        <v>14.54</v>
      </c>
      <c r="X582">
        <v>15.77</v>
      </c>
      <c r="Y582">
        <v>14.969999999999999</v>
      </c>
      <c r="Z582">
        <v>15.37</v>
      </c>
      <c r="AA582">
        <v>98.67</v>
      </c>
      <c r="AB582">
        <v>94.67</v>
      </c>
      <c r="AC582">
        <v>96.67</v>
      </c>
      <c r="AD582">
        <v>90.4</v>
      </c>
      <c r="AE582">
        <v>86.4</v>
      </c>
      <c r="AF582">
        <v>88.4</v>
      </c>
      <c r="AG582">
        <v>19.309999999999999</v>
      </c>
      <c r="AH582">
        <v>18.45</v>
      </c>
      <c r="AI582">
        <v>18.88</v>
      </c>
      <c r="AM582">
        <v>116.07</v>
      </c>
      <c r="AN582">
        <v>114.41</v>
      </c>
      <c r="AO582">
        <v>115.24</v>
      </c>
      <c r="AP582">
        <v>40.409999999999997</v>
      </c>
      <c r="AQ582">
        <v>38.809999999999995</v>
      </c>
      <c r="AR582">
        <v>39.61</v>
      </c>
      <c r="AS582">
        <v>41.12</v>
      </c>
      <c r="AT582">
        <v>39.76</v>
      </c>
      <c r="AU582">
        <v>40.44</v>
      </c>
      <c r="AV582">
        <v>20.95</v>
      </c>
      <c r="AW582">
        <v>20.349999999999998</v>
      </c>
      <c r="AX582">
        <v>20.65</v>
      </c>
      <c r="AY582">
        <v>4.66</v>
      </c>
      <c r="AZ582">
        <v>4.5</v>
      </c>
      <c r="BA582">
        <v>4.58</v>
      </c>
      <c r="BB582">
        <v>1.86</v>
      </c>
      <c r="BC582">
        <v>1.56</v>
      </c>
      <c r="BD582">
        <v>1.71</v>
      </c>
      <c r="BE582">
        <v>0.68</v>
      </c>
      <c r="BF582">
        <v>0.38000000000000006</v>
      </c>
      <c r="BG582">
        <v>0.53</v>
      </c>
      <c r="BH582">
        <v>495.99</v>
      </c>
      <c r="BI582">
        <v>479.99</v>
      </c>
      <c r="BJ582">
        <v>487.99</v>
      </c>
      <c r="BK582">
        <v>41.48</v>
      </c>
      <c r="BL582">
        <v>40.119999999999997</v>
      </c>
      <c r="BM582">
        <v>40.799999999999997</v>
      </c>
      <c r="BN582">
        <v>1.03</v>
      </c>
      <c r="BO582">
        <v>0.79</v>
      </c>
      <c r="BP582">
        <v>0.91</v>
      </c>
      <c r="BQ582">
        <v>8.91</v>
      </c>
      <c r="BR582">
        <v>6.91</v>
      </c>
      <c r="BS582">
        <v>7.91</v>
      </c>
      <c r="BT582">
        <v>10.94</v>
      </c>
      <c r="BU582">
        <v>10.54</v>
      </c>
      <c r="BV582">
        <v>10.739999999999998</v>
      </c>
      <c r="BW582">
        <v>2.75</v>
      </c>
      <c r="BX582">
        <v>2.4699999999999998</v>
      </c>
      <c r="BY582">
        <v>2.61</v>
      </c>
      <c r="BZ582">
        <v>9.7899999999999991</v>
      </c>
      <c r="CA582">
        <v>6.7899999999999991</v>
      </c>
      <c r="CB582">
        <v>8.2899999999999991</v>
      </c>
      <c r="CC582">
        <v>7.09</v>
      </c>
      <c r="CD582">
        <v>6.85</v>
      </c>
      <c r="CE582">
        <v>6.97</v>
      </c>
      <c r="CF582">
        <v>2.09</v>
      </c>
      <c r="CG582">
        <v>1.5899999999999999</v>
      </c>
      <c r="CH582">
        <v>1.8399999999999999</v>
      </c>
      <c r="CI582">
        <v>0.45</v>
      </c>
      <c r="CJ582">
        <v>0.41000000000000003</v>
      </c>
      <c r="CK582">
        <v>0.43000000000000005</v>
      </c>
      <c r="CL582">
        <v>41.29</v>
      </c>
      <c r="CM582">
        <v>38.89</v>
      </c>
      <c r="CN582">
        <v>40.090000000000003</v>
      </c>
      <c r="CO582">
        <v>6.16</v>
      </c>
      <c r="CP582">
        <v>1.1600000000000001</v>
      </c>
      <c r="CQ582">
        <v>3.66</v>
      </c>
    </row>
    <row r="583" spans="1:95">
      <c r="A583" s="228">
        <v>45869</v>
      </c>
      <c r="B583" t="s">
        <v>99</v>
      </c>
      <c r="C583">
        <v>150.38999999999999</v>
      </c>
      <c r="D583">
        <v>148.38999999999999</v>
      </c>
      <c r="E583">
        <v>149.38999999999999</v>
      </c>
      <c r="F583">
        <v>172.25</v>
      </c>
      <c r="G583">
        <v>169.25</v>
      </c>
      <c r="H583">
        <v>170.75</v>
      </c>
      <c r="I583">
        <v>109.59</v>
      </c>
      <c r="J583">
        <v>106.39</v>
      </c>
      <c r="K583">
        <v>107.99000000000001</v>
      </c>
      <c r="L583">
        <v>201.93</v>
      </c>
      <c r="M583">
        <v>193.93</v>
      </c>
      <c r="N583">
        <v>197.93</v>
      </c>
      <c r="O583">
        <v>184.52</v>
      </c>
      <c r="P583">
        <v>182.72</v>
      </c>
      <c r="Q583">
        <v>183.62</v>
      </c>
      <c r="R583">
        <v>23.18</v>
      </c>
      <c r="S583">
        <v>22.58</v>
      </c>
      <c r="T583">
        <v>22.88</v>
      </c>
      <c r="U583">
        <v>14.81</v>
      </c>
      <c r="V583">
        <v>14.21</v>
      </c>
      <c r="W583">
        <v>14.510000000000002</v>
      </c>
      <c r="X583">
        <v>15.68</v>
      </c>
      <c r="Y583">
        <v>14.879999999999999</v>
      </c>
      <c r="Z583">
        <v>15.28</v>
      </c>
      <c r="AA583">
        <v>98.22</v>
      </c>
      <c r="AB583">
        <v>94.22</v>
      </c>
      <c r="AC583">
        <v>96.22</v>
      </c>
      <c r="AD583">
        <v>90.18</v>
      </c>
      <c r="AE583">
        <v>86.18</v>
      </c>
      <c r="AF583">
        <v>88.18</v>
      </c>
      <c r="AG583">
        <v>19.45</v>
      </c>
      <c r="AH583">
        <v>18.59</v>
      </c>
      <c r="AI583">
        <v>19.02</v>
      </c>
      <c r="AM583">
        <v>116.15</v>
      </c>
      <c r="AN583">
        <v>114.49000000000001</v>
      </c>
      <c r="AO583">
        <v>115.32000000000001</v>
      </c>
      <c r="AP583">
        <v>40.71</v>
      </c>
      <c r="AQ583">
        <v>39.11</v>
      </c>
      <c r="AR583">
        <v>39.909999999999997</v>
      </c>
      <c r="AS583">
        <v>41.43</v>
      </c>
      <c r="AT583">
        <v>40.07</v>
      </c>
      <c r="AU583">
        <v>40.75</v>
      </c>
      <c r="AV583">
        <v>21.03</v>
      </c>
      <c r="AW583">
        <v>20.43</v>
      </c>
      <c r="AX583">
        <v>20.73</v>
      </c>
      <c r="AY583">
        <v>4.63</v>
      </c>
      <c r="AZ583">
        <v>4.47</v>
      </c>
      <c r="BA583">
        <v>4.55</v>
      </c>
      <c r="BB583">
        <v>1.86</v>
      </c>
      <c r="BC583">
        <v>1.56</v>
      </c>
      <c r="BD583">
        <v>1.71</v>
      </c>
      <c r="BE583">
        <v>0.68</v>
      </c>
      <c r="BF583">
        <v>0.38000000000000006</v>
      </c>
      <c r="BG583">
        <v>0.53</v>
      </c>
      <c r="BH583">
        <v>498.93</v>
      </c>
      <c r="BI583">
        <v>482.93</v>
      </c>
      <c r="BJ583">
        <v>490.93</v>
      </c>
      <c r="BK583">
        <v>41.79</v>
      </c>
      <c r="BL583">
        <v>40.43</v>
      </c>
      <c r="BM583">
        <v>41.11</v>
      </c>
      <c r="BN583">
        <v>1.04</v>
      </c>
      <c r="BO583">
        <v>0.8</v>
      </c>
      <c r="BP583">
        <v>0.92</v>
      </c>
      <c r="BQ583">
        <v>8.93</v>
      </c>
      <c r="BR583">
        <v>6.93</v>
      </c>
      <c r="BS583">
        <v>7.93</v>
      </c>
      <c r="BT583">
        <v>10.97</v>
      </c>
      <c r="BU583">
        <v>10.57</v>
      </c>
      <c r="BV583">
        <v>10.77</v>
      </c>
      <c r="BW583">
        <v>2.76</v>
      </c>
      <c r="BX583">
        <v>2.4799999999999995</v>
      </c>
      <c r="BY583">
        <v>2.6199999999999997</v>
      </c>
      <c r="BZ583">
        <v>9.81</v>
      </c>
      <c r="CA583">
        <v>6.8100000000000005</v>
      </c>
      <c r="CB583">
        <v>8.31</v>
      </c>
      <c r="CC583">
        <v>7.06</v>
      </c>
      <c r="CD583">
        <v>6.8199999999999994</v>
      </c>
      <c r="CE583">
        <v>6.9399999999999995</v>
      </c>
      <c r="CF583">
        <v>2.1</v>
      </c>
      <c r="CG583">
        <v>1.6</v>
      </c>
      <c r="CH583">
        <v>1.85</v>
      </c>
      <c r="CI583">
        <v>0.45</v>
      </c>
      <c r="CJ583">
        <v>0.41000000000000003</v>
      </c>
      <c r="CK583">
        <v>0.43000000000000005</v>
      </c>
      <c r="CL583">
        <v>41.16</v>
      </c>
      <c r="CM583">
        <v>38.76</v>
      </c>
      <c r="CN583">
        <v>39.959999999999994</v>
      </c>
      <c r="CO583">
        <v>6.18</v>
      </c>
      <c r="CP583">
        <v>1.1799999999999997</v>
      </c>
      <c r="CQ583">
        <v>3.6799999999999997</v>
      </c>
    </row>
    <row r="584" spans="1:95">
      <c r="A584" s="228">
        <v>45870</v>
      </c>
      <c r="B584" t="s">
        <v>100</v>
      </c>
      <c r="C584">
        <v>151.79</v>
      </c>
      <c r="D584">
        <v>149.79</v>
      </c>
      <c r="E584">
        <v>150.79</v>
      </c>
      <c r="F584">
        <v>173.69</v>
      </c>
      <c r="G584">
        <v>170.69</v>
      </c>
      <c r="H584">
        <v>172.19</v>
      </c>
      <c r="I584">
        <v>110.49</v>
      </c>
      <c r="J584">
        <v>107.28999999999999</v>
      </c>
      <c r="K584">
        <v>108.88999999999999</v>
      </c>
      <c r="L584">
        <v>203.15</v>
      </c>
      <c r="M584">
        <v>195.15</v>
      </c>
      <c r="N584">
        <v>199.15</v>
      </c>
      <c r="O584">
        <v>186.33</v>
      </c>
      <c r="P584">
        <v>184.53</v>
      </c>
      <c r="Q584">
        <v>185.43</v>
      </c>
      <c r="R584">
        <v>23.37</v>
      </c>
      <c r="S584">
        <v>22.77</v>
      </c>
      <c r="T584">
        <v>23.07</v>
      </c>
      <c r="U584">
        <v>14.9</v>
      </c>
      <c r="V584">
        <v>14.3</v>
      </c>
      <c r="W584">
        <v>14.600000000000001</v>
      </c>
      <c r="X584">
        <v>15.82</v>
      </c>
      <c r="Y584">
        <v>15.02</v>
      </c>
      <c r="Z584">
        <v>15.42</v>
      </c>
      <c r="AA584">
        <v>98.97</v>
      </c>
      <c r="AB584">
        <v>94.97</v>
      </c>
      <c r="AC584">
        <v>96.97</v>
      </c>
      <c r="AD584">
        <v>90.85</v>
      </c>
      <c r="AE584">
        <v>86.85</v>
      </c>
      <c r="AF584">
        <v>88.85</v>
      </c>
      <c r="AG584">
        <v>19.63</v>
      </c>
      <c r="AH584">
        <v>18.77</v>
      </c>
      <c r="AI584">
        <v>19.2</v>
      </c>
      <c r="AM584">
        <v>117</v>
      </c>
      <c r="AN584">
        <v>115.34</v>
      </c>
      <c r="AO584">
        <v>116.17</v>
      </c>
      <c r="AP584">
        <v>41.09</v>
      </c>
      <c r="AQ584">
        <v>39.49</v>
      </c>
      <c r="AR584">
        <v>40.290000000000006</v>
      </c>
      <c r="AS584">
        <v>41.81</v>
      </c>
      <c r="AT584">
        <v>40.450000000000003</v>
      </c>
      <c r="AU584">
        <v>41.13</v>
      </c>
      <c r="AV584">
        <v>21.21</v>
      </c>
      <c r="AW584">
        <v>20.61</v>
      </c>
      <c r="AX584">
        <v>20.91</v>
      </c>
      <c r="AY584">
        <v>4.6900000000000004</v>
      </c>
      <c r="AZ584">
        <v>4.53</v>
      </c>
      <c r="BA584">
        <v>4.6100000000000003</v>
      </c>
      <c r="BB584">
        <v>1.88</v>
      </c>
      <c r="BC584">
        <v>1.5799999999999998</v>
      </c>
      <c r="BD584">
        <v>1.73</v>
      </c>
      <c r="BE584">
        <v>0.69</v>
      </c>
      <c r="BF584">
        <v>0.38999999999999996</v>
      </c>
      <c r="BG584">
        <v>0.53999999999999992</v>
      </c>
      <c r="BH584">
        <v>503.21</v>
      </c>
      <c r="BI584">
        <v>487.21</v>
      </c>
      <c r="BJ584">
        <v>495.21</v>
      </c>
      <c r="BK584">
        <v>42.17</v>
      </c>
      <c r="BL584">
        <v>40.81</v>
      </c>
      <c r="BM584">
        <v>41.49</v>
      </c>
      <c r="BN584">
        <v>1.04</v>
      </c>
      <c r="BO584">
        <v>0.8</v>
      </c>
      <c r="BP584">
        <v>0.92</v>
      </c>
      <c r="BQ584">
        <v>8.99</v>
      </c>
      <c r="BR584">
        <v>6.99</v>
      </c>
      <c r="BS584">
        <v>7.99</v>
      </c>
      <c r="BT584">
        <v>11.01</v>
      </c>
      <c r="BU584">
        <v>10.61</v>
      </c>
      <c r="BV584">
        <v>10.809999999999999</v>
      </c>
      <c r="BW584">
        <v>2.75</v>
      </c>
      <c r="BX584">
        <v>2.4699999999999998</v>
      </c>
      <c r="BY584">
        <v>2.61</v>
      </c>
      <c r="BZ584">
        <v>9.7799999999999994</v>
      </c>
      <c r="CA584">
        <v>6.7799999999999994</v>
      </c>
      <c r="CB584">
        <v>8.2799999999999994</v>
      </c>
      <c r="CC584">
        <v>7.13</v>
      </c>
      <c r="CD584">
        <v>6.89</v>
      </c>
      <c r="CE584">
        <v>7.01</v>
      </c>
      <c r="CF584">
        <v>2.11</v>
      </c>
      <c r="CG584">
        <v>1.6099999999999999</v>
      </c>
      <c r="CH584">
        <v>1.8599999999999999</v>
      </c>
      <c r="CI584">
        <v>0.45</v>
      </c>
      <c r="CJ584">
        <v>0.41000000000000003</v>
      </c>
      <c r="CK584">
        <v>0.43000000000000005</v>
      </c>
      <c r="CL584">
        <v>41.5</v>
      </c>
      <c r="CM584">
        <v>39.1</v>
      </c>
      <c r="CN584">
        <v>40.299999999999997</v>
      </c>
      <c r="CO584">
        <v>6.22</v>
      </c>
      <c r="CP584">
        <v>1.2199999999999998</v>
      </c>
      <c r="CQ584">
        <v>3.7199999999999998</v>
      </c>
    </row>
    <row r="585" spans="1:95">
      <c r="A585" s="228">
        <v>45871</v>
      </c>
      <c r="B585" t="s">
        <v>307</v>
      </c>
    </row>
    <row r="586" spans="1:95">
      <c r="A586" s="228">
        <v>45872</v>
      </c>
      <c r="B586" t="s">
        <v>308</v>
      </c>
    </row>
    <row r="587" spans="1:95">
      <c r="A587" s="228">
        <v>45873</v>
      </c>
      <c r="B587" t="s">
        <v>96</v>
      </c>
      <c r="C587">
        <v>148.63999999999999</v>
      </c>
      <c r="D587">
        <v>146.63999999999999</v>
      </c>
      <c r="E587">
        <v>147.63999999999999</v>
      </c>
      <c r="F587">
        <v>172.14</v>
      </c>
      <c r="G587">
        <v>169.14</v>
      </c>
      <c r="H587">
        <v>170.64</v>
      </c>
      <c r="I587">
        <v>108.67</v>
      </c>
      <c r="J587">
        <v>105.47</v>
      </c>
      <c r="K587">
        <v>107.07</v>
      </c>
      <c r="L587">
        <v>199.81</v>
      </c>
      <c r="M587">
        <v>191.81</v>
      </c>
      <c r="N587">
        <v>195.81</v>
      </c>
      <c r="O587">
        <v>183.99</v>
      </c>
      <c r="P587">
        <v>182.19</v>
      </c>
      <c r="Q587">
        <v>183.09</v>
      </c>
      <c r="R587">
        <v>23.17</v>
      </c>
      <c r="S587">
        <v>22.57</v>
      </c>
      <c r="T587">
        <v>22.87</v>
      </c>
      <c r="U587">
        <v>14.69</v>
      </c>
      <c r="V587">
        <v>14.09</v>
      </c>
      <c r="W587">
        <v>14.39</v>
      </c>
      <c r="X587">
        <v>15.67</v>
      </c>
      <c r="Y587">
        <v>14.87</v>
      </c>
      <c r="Z587">
        <v>15.27</v>
      </c>
      <c r="AA587">
        <v>97.61</v>
      </c>
      <c r="AB587">
        <v>93.61</v>
      </c>
      <c r="AC587">
        <v>95.61</v>
      </c>
      <c r="AD587">
        <v>89.3</v>
      </c>
      <c r="AE587">
        <v>85.3</v>
      </c>
      <c r="AF587">
        <v>87.3</v>
      </c>
      <c r="AG587">
        <v>19.23</v>
      </c>
      <c r="AH587">
        <v>18.37</v>
      </c>
      <c r="AI587">
        <v>18.8</v>
      </c>
      <c r="AM587">
        <v>115.33</v>
      </c>
      <c r="AN587">
        <v>113.67</v>
      </c>
      <c r="AO587">
        <v>114.5</v>
      </c>
      <c r="AP587">
        <v>40.24</v>
      </c>
      <c r="AQ587">
        <v>38.64</v>
      </c>
      <c r="AR587">
        <v>39.44</v>
      </c>
      <c r="AS587">
        <v>40.94</v>
      </c>
      <c r="AT587">
        <v>39.58</v>
      </c>
      <c r="AU587">
        <v>40.26</v>
      </c>
      <c r="AV587">
        <v>20.83</v>
      </c>
      <c r="AW587">
        <v>20.229999999999997</v>
      </c>
      <c r="AX587">
        <v>20.529999999999998</v>
      </c>
      <c r="AY587">
        <v>4.62</v>
      </c>
      <c r="AZ587">
        <v>4.46</v>
      </c>
      <c r="BA587">
        <v>4.54</v>
      </c>
      <c r="BB587">
        <v>1.85</v>
      </c>
      <c r="BC587">
        <v>1.55</v>
      </c>
      <c r="BD587">
        <v>1.7000000000000002</v>
      </c>
      <c r="BE587">
        <v>0.68</v>
      </c>
      <c r="BF587">
        <v>0.38000000000000006</v>
      </c>
      <c r="BG587">
        <v>0.53</v>
      </c>
      <c r="BH587">
        <v>493.66</v>
      </c>
      <c r="BI587">
        <v>477.66</v>
      </c>
      <c r="BJ587">
        <v>485.66</v>
      </c>
      <c r="BK587">
        <v>41.31</v>
      </c>
      <c r="BL587">
        <v>39.950000000000003</v>
      </c>
      <c r="BM587">
        <v>40.630000000000003</v>
      </c>
      <c r="BN587">
        <v>1.02</v>
      </c>
      <c r="BO587">
        <v>0.78</v>
      </c>
      <c r="BP587">
        <v>0.9</v>
      </c>
      <c r="BQ587">
        <v>8.83</v>
      </c>
      <c r="BR587">
        <v>6.83</v>
      </c>
      <c r="BS587">
        <v>7.83</v>
      </c>
      <c r="BT587">
        <v>10.85</v>
      </c>
      <c r="BU587">
        <v>10.45</v>
      </c>
      <c r="BV587">
        <v>10.649999999999999</v>
      </c>
      <c r="BW587">
        <v>2.71</v>
      </c>
      <c r="BX587">
        <v>2.4299999999999997</v>
      </c>
      <c r="BY587">
        <v>2.57</v>
      </c>
      <c r="BZ587">
        <v>9.68</v>
      </c>
      <c r="CA587">
        <v>6.68</v>
      </c>
      <c r="CB587">
        <v>8.18</v>
      </c>
      <c r="CC587">
        <v>7.07</v>
      </c>
      <c r="CD587">
        <v>6.83</v>
      </c>
      <c r="CE587">
        <v>6.95</v>
      </c>
      <c r="CF587">
        <v>2.1</v>
      </c>
      <c r="CG587">
        <v>1.6</v>
      </c>
      <c r="CH587">
        <v>1.85</v>
      </c>
      <c r="CI587">
        <v>0.45</v>
      </c>
      <c r="CJ587">
        <v>0.41000000000000003</v>
      </c>
      <c r="CK587">
        <v>0.43000000000000005</v>
      </c>
      <c r="CL587">
        <v>41.2</v>
      </c>
      <c r="CM587">
        <v>38.800000000000004</v>
      </c>
      <c r="CN587">
        <v>40</v>
      </c>
      <c r="CO587">
        <v>6.13</v>
      </c>
      <c r="CP587">
        <v>1.1299999999999999</v>
      </c>
      <c r="CQ587">
        <v>3.63</v>
      </c>
    </row>
    <row r="588" spans="1:95">
      <c r="A588" s="228">
        <v>45874</v>
      </c>
      <c r="B588" t="s">
        <v>97</v>
      </c>
      <c r="C588">
        <v>147.97999999999999</v>
      </c>
      <c r="D588">
        <v>145.97999999999999</v>
      </c>
      <c r="E588">
        <v>146.97999999999999</v>
      </c>
      <c r="F588">
        <v>171.6</v>
      </c>
      <c r="G588">
        <v>168.6</v>
      </c>
      <c r="H588">
        <v>170.1</v>
      </c>
      <c r="I588">
        <v>108.35</v>
      </c>
      <c r="J588">
        <v>105.14999999999999</v>
      </c>
      <c r="K588">
        <v>106.75</v>
      </c>
      <c r="L588">
        <v>199.42</v>
      </c>
      <c r="M588">
        <v>191.42</v>
      </c>
      <c r="N588">
        <v>195.42</v>
      </c>
      <c r="O588">
        <v>182.72</v>
      </c>
      <c r="P588">
        <v>180.92</v>
      </c>
      <c r="Q588">
        <v>181.82</v>
      </c>
      <c r="R588">
        <v>23.09</v>
      </c>
      <c r="S588">
        <v>22.49</v>
      </c>
      <c r="T588">
        <v>22.79</v>
      </c>
      <c r="U588">
        <v>14.62</v>
      </c>
      <c r="V588">
        <v>14.02</v>
      </c>
      <c r="W588">
        <v>14.32</v>
      </c>
      <c r="X588">
        <v>15.64</v>
      </c>
      <c r="Y588">
        <v>14.84</v>
      </c>
      <c r="Z588">
        <v>15.24</v>
      </c>
      <c r="AA588">
        <v>97.15</v>
      </c>
      <c r="AB588">
        <v>93.15</v>
      </c>
      <c r="AC588">
        <v>95.15</v>
      </c>
      <c r="AD588">
        <v>88.91</v>
      </c>
      <c r="AE588">
        <v>84.91</v>
      </c>
      <c r="AF588">
        <v>86.91</v>
      </c>
      <c r="AG588">
        <v>19.149999999999999</v>
      </c>
      <c r="AH588">
        <v>18.29</v>
      </c>
      <c r="AI588">
        <v>18.72</v>
      </c>
      <c r="AM588">
        <v>115.02</v>
      </c>
      <c r="AN588">
        <v>113.36</v>
      </c>
      <c r="AO588">
        <v>114.19</v>
      </c>
      <c r="AP588">
        <v>40.06</v>
      </c>
      <c r="AQ588">
        <v>38.46</v>
      </c>
      <c r="AR588">
        <v>39.260000000000005</v>
      </c>
      <c r="AS588">
        <v>40.770000000000003</v>
      </c>
      <c r="AT588">
        <v>39.410000000000004</v>
      </c>
      <c r="AU588">
        <v>40.090000000000003</v>
      </c>
      <c r="AV588">
        <v>20.77</v>
      </c>
      <c r="AW588">
        <v>20.169999999999998</v>
      </c>
      <c r="AX588">
        <v>20.47</v>
      </c>
      <c r="AY588">
        <v>4.63</v>
      </c>
      <c r="AZ588">
        <v>4.47</v>
      </c>
      <c r="BA588">
        <v>4.55</v>
      </c>
      <c r="BB588">
        <v>1.84</v>
      </c>
      <c r="BC588">
        <v>1.54</v>
      </c>
      <c r="BD588">
        <v>1.69</v>
      </c>
      <c r="BE588">
        <v>0.67</v>
      </c>
      <c r="BF588">
        <v>0.37000000000000005</v>
      </c>
      <c r="BG588">
        <v>0.52</v>
      </c>
      <c r="BH588">
        <v>491.65</v>
      </c>
      <c r="BI588">
        <v>475.65</v>
      </c>
      <c r="BJ588">
        <v>483.65</v>
      </c>
      <c r="BK588">
        <v>41.13</v>
      </c>
      <c r="BL588">
        <v>39.770000000000003</v>
      </c>
      <c r="BM588">
        <v>40.450000000000003</v>
      </c>
      <c r="BN588">
        <v>1.02</v>
      </c>
      <c r="BO588">
        <v>0.78</v>
      </c>
      <c r="BP588">
        <v>0.9</v>
      </c>
      <c r="BQ588">
        <v>8.7799999999999994</v>
      </c>
      <c r="BR588">
        <v>6.7799999999999994</v>
      </c>
      <c r="BS588">
        <v>7.7799999999999994</v>
      </c>
      <c r="BT588">
        <v>10.83</v>
      </c>
      <c r="BU588">
        <v>10.43</v>
      </c>
      <c r="BV588">
        <v>10.629999999999999</v>
      </c>
      <c r="BW588">
        <v>2.73</v>
      </c>
      <c r="BX588">
        <v>2.4500000000000002</v>
      </c>
      <c r="BY588">
        <v>2.59</v>
      </c>
      <c r="BZ588">
        <v>9.7200000000000006</v>
      </c>
      <c r="CA588">
        <v>6.7200000000000006</v>
      </c>
      <c r="CB588">
        <v>8.2200000000000006</v>
      </c>
      <c r="CC588">
        <v>7.04</v>
      </c>
      <c r="CD588">
        <v>6.8</v>
      </c>
      <c r="CE588">
        <v>6.92</v>
      </c>
      <c r="CF588">
        <v>2.1</v>
      </c>
      <c r="CG588">
        <v>1.6</v>
      </c>
      <c r="CH588">
        <v>1.85</v>
      </c>
      <c r="CI588">
        <v>0.45</v>
      </c>
      <c r="CJ588">
        <v>0.41000000000000003</v>
      </c>
      <c r="CK588">
        <v>0.43000000000000005</v>
      </c>
      <c r="CL588">
        <v>41.01</v>
      </c>
      <c r="CM588">
        <v>38.61</v>
      </c>
      <c r="CN588">
        <v>39.81</v>
      </c>
      <c r="CO588">
        <v>6.12</v>
      </c>
      <c r="CP588">
        <v>1.1200000000000001</v>
      </c>
      <c r="CQ588">
        <v>3.62</v>
      </c>
    </row>
    <row r="589" spans="1:95">
      <c r="A589" s="228">
        <v>45875</v>
      </c>
      <c r="B589" t="s">
        <v>98</v>
      </c>
      <c r="C589">
        <v>148.63</v>
      </c>
      <c r="D589">
        <v>146.63</v>
      </c>
      <c r="E589">
        <v>147.63</v>
      </c>
      <c r="F589">
        <v>172.37</v>
      </c>
      <c r="G589">
        <v>169.37</v>
      </c>
      <c r="H589">
        <v>170.87</v>
      </c>
      <c r="I589">
        <v>108.8</v>
      </c>
      <c r="J589">
        <v>105.6</v>
      </c>
      <c r="K589">
        <v>107.19999999999999</v>
      </c>
      <c r="L589">
        <v>200.41</v>
      </c>
      <c r="M589">
        <v>192.41</v>
      </c>
      <c r="N589">
        <v>196.41</v>
      </c>
      <c r="O589">
        <v>183.72</v>
      </c>
      <c r="P589">
        <v>181.92</v>
      </c>
      <c r="Q589">
        <v>182.82</v>
      </c>
      <c r="R589">
        <v>23.2</v>
      </c>
      <c r="S589">
        <v>22.599999999999998</v>
      </c>
      <c r="T589">
        <v>22.9</v>
      </c>
      <c r="U589">
        <v>14.69</v>
      </c>
      <c r="V589">
        <v>14.09</v>
      </c>
      <c r="W589">
        <v>14.39</v>
      </c>
      <c r="X589">
        <v>15.67</v>
      </c>
      <c r="Y589">
        <v>14.87</v>
      </c>
      <c r="Z589">
        <v>15.27</v>
      </c>
      <c r="AA589">
        <v>97.65</v>
      </c>
      <c r="AB589">
        <v>93.65</v>
      </c>
      <c r="AC589">
        <v>95.65</v>
      </c>
      <c r="AD589">
        <v>89.26</v>
      </c>
      <c r="AE589">
        <v>85.26</v>
      </c>
      <c r="AF589">
        <v>87.26</v>
      </c>
      <c r="AG589">
        <v>19.23</v>
      </c>
      <c r="AH589">
        <v>18.37</v>
      </c>
      <c r="AI589">
        <v>18.8</v>
      </c>
      <c r="AM589">
        <v>115.49</v>
      </c>
      <c r="AN589">
        <v>113.83</v>
      </c>
      <c r="AO589">
        <v>114.66</v>
      </c>
      <c r="AP589">
        <v>40.229999999999997</v>
      </c>
      <c r="AQ589">
        <v>38.629999999999995</v>
      </c>
      <c r="AR589">
        <v>39.429999999999993</v>
      </c>
      <c r="AS589">
        <v>40.950000000000003</v>
      </c>
      <c r="AT589">
        <v>39.590000000000003</v>
      </c>
      <c r="AU589">
        <v>40.270000000000003</v>
      </c>
      <c r="AV589">
        <v>20.83</v>
      </c>
      <c r="AW589">
        <v>20.229999999999997</v>
      </c>
      <c r="AX589">
        <v>20.529999999999998</v>
      </c>
      <c r="AY589">
        <v>4.6399999999999997</v>
      </c>
      <c r="AZ589">
        <v>4.4799999999999995</v>
      </c>
      <c r="BA589">
        <v>4.5599999999999996</v>
      </c>
      <c r="BB589">
        <v>1.84</v>
      </c>
      <c r="BC589">
        <v>1.54</v>
      </c>
      <c r="BD589">
        <v>1.69</v>
      </c>
      <c r="BE589">
        <v>0.68</v>
      </c>
      <c r="BF589">
        <v>0.38000000000000006</v>
      </c>
      <c r="BG589">
        <v>0.53</v>
      </c>
      <c r="BH589">
        <v>493.47</v>
      </c>
      <c r="BI589">
        <v>477.47</v>
      </c>
      <c r="BJ589">
        <v>485.47</v>
      </c>
      <c r="BK589">
        <v>41.3</v>
      </c>
      <c r="BL589">
        <v>39.94</v>
      </c>
      <c r="BM589">
        <v>40.619999999999997</v>
      </c>
      <c r="BN589">
        <v>1.02</v>
      </c>
      <c r="BO589">
        <v>0.78</v>
      </c>
      <c r="BP589">
        <v>0.9</v>
      </c>
      <c r="BQ589">
        <v>8.89</v>
      </c>
      <c r="BR589">
        <v>6.8900000000000006</v>
      </c>
      <c r="BS589">
        <v>7.8900000000000006</v>
      </c>
      <c r="BT589">
        <v>10.83</v>
      </c>
      <c r="BU589">
        <v>10.43</v>
      </c>
      <c r="BV589">
        <v>10.629999999999999</v>
      </c>
      <c r="BW589">
        <v>2.73</v>
      </c>
      <c r="BX589">
        <v>2.4500000000000002</v>
      </c>
      <c r="BY589">
        <v>2.59</v>
      </c>
      <c r="BZ589">
        <v>9.75</v>
      </c>
      <c r="CA589">
        <v>6.75</v>
      </c>
      <c r="CB589">
        <v>8.25</v>
      </c>
      <c r="CC589">
        <v>7.07</v>
      </c>
      <c r="CD589">
        <v>6.83</v>
      </c>
      <c r="CE589">
        <v>6.95</v>
      </c>
      <c r="CF589">
        <v>2.1</v>
      </c>
      <c r="CG589">
        <v>1.6</v>
      </c>
      <c r="CH589">
        <v>1.85</v>
      </c>
      <c r="CI589">
        <v>0.45</v>
      </c>
      <c r="CJ589">
        <v>0.41000000000000003</v>
      </c>
      <c r="CK589">
        <v>0.43000000000000005</v>
      </c>
      <c r="CL589">
        <v>41.14</v>
      </c>
      <c r="CM589">
        <v>38.74</v>
      </c>
      <c r="CN589">
        <v>39.94</v>
      </c>
      <c r="CO589">
        <v>6.13</v>
      </c>
      <c r="CP589">
        <v>1.1299999999999999</v>
      </c>
      <c r="CQ589">
        <v>3.63</v>
      </c>
    </row>
    <row r="590" spans="1:95">
      <c r="A590" s="228">
        <v>45876</v>
      </c>
      <c r="B590" t="s">
        <v>99</v>
      </c>
      <c r="C590">
        <v>148.66999999999999</v>
      </c>
      <c r="D590">
        <v>146.66999999999999</v>
      </c>
      <c r="E590">
        <v>147.66999999999999</v>
      </c>
      <c r="F590">
        <v>173.54</v>
      </c>
      <c r="G590">
        <v>170.54</v>
      </c>
      <c r="H590">
        <v>172.04</v>
      </c>
      <c r="I590">
        <v>109.06</v>
      </c>
      <c r="J590">
        <v>105.86</v>
      </c>
      <c r="K590">
        <v>107.46000000000001</v>
      </c>
      <c r="L590">
        <v>201.12</v>
      </c>
      <c r="M590">
        <v>193.12</v>
      </c>
      <c r="N590">
        <v>197.12</v>
      </c>
      <c r="O590">
        <v>183.84</v>
      </c>
      <c r="P590">
        <v>182.04</v>
      </c>
      <c r="Q590">
        <v>182.94</v>
      </c>
      <c r="R590">
        <v>23.35</v>
      </c>
      <c r="S590">
        <v>22.75</v>
      </c>
      <c r="T590">
        <v>23.05</v>
      </c>
      <c r="U590">
        <v>14.8</v>
      </c>
      <c r="V590">
        <v>14.200000000000001</v>
      </c>
      <c r="W590">
        <v>14.5</v>
      </c>
      <c r="X590">
        <v>15.77</v>
      </c>
      <c r="Y590">
        <v>14.969999999999999</v>
      </c>
      <c r="Z590">
        <v>15.37</v>
      </c>
      <c r="AA590">
        <v>97.96</v>
      </c>
      <c r="AB590">
        <v>93.96</v>
      </c>
      <c r="AC590">
        <v>95.96</v>
      </c>
      <c r="AD590">
        <v>89.55</v>
      </c>
      <c r="AE590">
        <v>85.55</v>
      </c>
      <c r="AF590">
        <v>87.55</v>
      </c>
      <c r="AG590">
        <v>19.239999999999998</v>
      </c>
      <c r="AH590">
        <v>18.38</v>
      </c>
      <c r="AI590">
        <v>18.809999999999999</v>
      </c>
      <c r="AM590">
        <v>115.65</v>
      </c>
      <c r="AN590">
        <v>113.99000000000001</v>
      </c>
      <c r="AO590">
        <v>114.82000000000001</v>
      </c>
      <c r="AP590">
        <v>40.24</v>
      </c>
      <c r="AQ590">
        <v>38.64</v>
      </c>
      <c r="AR590">
        <v>39.44</v>
      </c>
      <c r="AS590">
        <v>40.96</v>
      </c>
      <c r="AT590">
        <v>39.6</v>
      </c>
      <c r="AU590">
        <v>40.28</v>
      </c>
      <c r="AV590">
        <v>20.85</v>
      </c>
      <c r="AW590">
        <v>20.25</v>
      </c>
      <c r="AX590">
        <v>20.55</v>
      </c>
      <c r="AY590">
        <v>4.6500000000000004</v>
      </c>
      <c r="AZ590">
        <v>4.49</v>
      </c>
      <c r="BA590">
        <v>4.57</v>
      </c>
      <c r="BB590">
        <v>1.84</v>
      </c>
      <c r="BC590">
        <v>1.54</v>
      </c>
      <c r="BD590">
        <v>1.69</v>
      </c>
      <c r="BE590">
        <v>0.68</v>
      </c>
      <c r="BF590">
        <v>0.38000000000000006</v>
      </c>
      <c r="BG590">
        <v>0.53</v>
      </c>
      <c r="BH590">
        <v>488.85</v>
      </c>
      <c r="BI590">
        <v>472.85</v>
      </c>
      <c r="BJ590">
        <v>480.85</v>
      </c>
      <c r="BK590">
        <v>41.32</v>
      </c>
      <c r="BL590">
        <v>39.96</v>
      </c>
      <c r="BM590">
        <v>40.64</v>
      </c>
      <c r="BN590">
        <v>1.03</v>
      </c>
      <c r="BO590">
        <v>0.79</v>
      </c>
      <c r="BP590">
        <v>0.91</v>
      </c>
      <c r="BQ590">
        <v>8.94</v>
      </c>
      <c r="BR590">
        <v>6.9399999999999995</v>
      </c>
      <c r="BS590">
        <v>7.9399999999999995</v>
      </c>
      <c r="BT590">
        <v>10.86</v>
      </c>
      <c r="BU590">
        <v>10.459999999999999</v>
      </c>
      <c r="BV590">
        <v>10.66</v>
      </c>
      <c r="BW590">
        <v>2.74</v>
      </c>
      <c r="BX590">
        <v>2.46</v>
      </c>
      <c r="BY590">
        <v>2.6</v>
      </c>
      <c r="BZ590">
        <v>9.8000000000000007</v>
      </c>
      <c r="CA590">
        <v>6.8000000000000007</v>
      </c>
      <c r="CB590">
        <v>8.3000000000000007</v>
      </c>
      <c r="CC590">
        <v>7.13</v>
      </c>
      <c r="CD590">
        <v>6.89</v>
      </c>
      <c r="CE590">
        <v>7.01</v>
      </c>
      <c r="CF590">
        <v>2.1</v>
      </c>
      <c r="CG590">
        <v>1.6</v>
      </c>
      <c r="CH590">
        <v>1.85</v>
      </c>
      <c r="CI590">
        <v>0.45</v>
      </c>
      <c r="CJ590">
        <v>0.41000000000000003</v>
      </c>
      <c r="CK590">
        <v>0.43000000000000005</v>
      </c>
      <c r="CL590">
        <v>41.49</v>
      </c>
      <c r="CM590">
        <v>39.090000000000003</v>
      </c>
      <c r="CN590">
        <v>40.290000000000006</v>
      </c>
      <c r="CO590">
        <v>6.14</v>
      </c>
      <c r="CP590">
        <v>1.1399999999999997</v>
      </c>
      <c r="CQ590">
        <v>3.6399999999999997</v>
      </c>
    </row>
    <row r="591" spans="1:95">
      <c r="A591" s="228">
        <v>45877</v>
      </c>
      <c r="B591" t="s">
        <v>100</v>
      </c>
      <c r="C591">
        <v>148.26</v>
      </c>
      <c r="D591">
        <v>146.26</v>
      </c>
      <c r="E591">
        <v>147.26</v>
      </c>
      <c r="F591">
        <v>173.34</v>
      </c>
      <c r="G591">
        <v>170.34</v>
      </c>
      <c r="H591">
        <v>171.84</v>
      </c>
      <c r="I591">
        <v>108.78</v>
      </c>
      <c r="J591">
        <v>105.58</v>
      </c>
      <c r="K591">
        <v>107.18</v>
      </c>
      <c r="L591">
        <v>202.05</v>
      </c>
      <c r="M591">
        <v>194.05</v>
      </c>
      <c r="N591">
        <v>198.05</v>
      </c>
      <c r="O591">
        <v>183.49</v>
      </c>
      <c r="P591">
        <v>181.69</v>
      </c>
      <c r="Q591">
        <v>182.59</v>
      </c>
      <c r="R591">
        <v>23.32</v>
      </c>
      <c r="S591">
        <v>22.72</v>
      </c>
      <c r="T591">
        <v>23.02</v>
      </c>
      <c r="U591">
        <v>14.71</v>
      </c>
      <c r="V591">
        <v>14.110000000000001</v>
      </c>
      <c r="W591">
        <v>14.41</v>
      </c>
      <c r="X591">
        <v>15.81</v>
      </c>
      <c r="Y591">
        <v>15.01</v>
      </c>
      <c r="Z591">
        <v>15.41</v>
      </c>
      <c r="AA591">
        <v>98.01</v>
      </c>
      <c r="AB591">
        <v>94.01</v>
      </c>
      <c r="AC591">
        <v>96.01</v>
      </c>
      <c r="AD591">
        <v>89.8</v>
      </c>
      <c r="AE591">
        <v>85.8</v>
      </c>
      <c r="AF591">
        <v>87.8</v>
      </c>
      <c r="AG591">
        <v>19.18</v>
      </c>
      <c r="AH591">
        <v>18.32</v>
      </c>
      <c r="AI591">
        <v>18.75</v>
      </c>
      <c r="AM591">
        <v>115.61</v>
      </c>
      <c r="AN591">
        <v>113.95</v>
      </c>
      <c r="AO591">
        <v>114.78</v>
      </c>
      <c r="AP591">
        <v>40.119999999999997</v>
      </c>
      <c r="AQ591">
        <v>38.519999999999996</v>
      </c>
      <c r="AR591">
        <v>39.319999999999993</v>
      </c>
      <c r="AS591">
        <v>40.85</v>
      </c>
      <c r="AT591">
        <v>39.49</v>
      </c>
      <c r="AU591">
        <v>40.17</v>
      </c>
      <c r="AV591">
        <v>20.8</v>
      </c>
      <c r="AW591">
        <v>20.2</v>
      </c>
      <c r="AX591">
        <v>20.5</v>
      </c>
      <c r="AY591">
        <v>4.6399999999999997</v>
      </c>
      <c r="AZ591">
        <v>4.4799999999999995</v>
      </c>
      <c r="BA591">
        <v>4.5599999999999996</v>
      </c>
      <c r="BB591">
        <v>1.85</v>
      </c>
      <c r="BC591">
        <v>1.55</v>
      </c>
      <c r="BD591">
        <v>1.7000000000000002</v>
      </c>
      <c r="BE591">
        <v>0.67</v>
      </c>
      <c r="BF591">
        <v>0.37000000000000005</v>
      </c>
      <c r="BG591">
        <v>0.52</v>
      </c>
      <c r="BH591">
        <v>492.41</v>
      </c>
      <c r="BI591">
        <v>476.41</v>
      </c>
      <c r="BJ591">
        <v>484.41</v>
      </c>
      <c r="BK591">
        <v>41.21</v>
      </c>
      <c r="BL591">
        <v>39.85</v>
      </c>
      <c r="BM591">
        <v>40.53</v>
      </c>
      <c r="BN591">
        <v>1.03</v>
      </c>
      <c r="BO591">
        <v>0.79</v>
      </c>
      <c r="BP591">
        <v>0.91</v>
      </c>
      <c r="BQ591">
        <v>8.91</v>
      </c>
      <c r="BR591">
        <v>6.91</v>
      </c>
      <c r="BS591">
        <v>7.91</v>
      </c>
      <c r="BT591">
        <v>10.87</v>
      </c>
      <c r="BU591">
        <v>10.469999999999999</v>
      </c>
      <c r="BV591">
        <v>10.669999999999998</v>
      </c>
      <c r="BW591">
        <v>2.75</v>
      </c>
      <c r="BX591">
        <v>2.4699999999999998</v>
      </c>
      <c r="BY591">
        <v>2.61</v>
      </c>
      <c r="BZ591">
        <v>9.82</v>
      </c>
      <c r="CA591">
        <v>6.82</v>
      </c>
      <c r="CB591">
        <v>8.32</v>
      </c>
      <c r="CC591">
        <v>7.15</v>
      </c>
      <c r="CD591">
        <v>6.91</v>
      </c>
      <c r="CE591">
        <v>7.03</v>
      </c>
      <c r="CF591">
        <v>2.11</v>
      </c>
      <c r="CG591">
        <v>1.6099999999999999</v>
      </c>
      <c r="CH591">
        <v>1.8599999999999999</v>
      </c>
      <c r="CI591">
        <v>0.45</v>
      </c>
      <c r="CJ591">
        <v>0.41000000000000003</v>
      </c>
      <c r="CK591">
        <v>0.43000000000000005</v>
      </c>
      <c r="CL591">
        <v>41.58</v>
      </c>
      <c r="CM591">
        <v>39.18</v>
      </c>
      <c r="CN591">
        <v>40.379999999999995</v>
      </c>
      <c r="CO591">
        <v>6.13</v>
      </c>
      <c r="CP591">
        <v>1.1299999999999999</v>
      </c>
      <c r="CQ591">
        <v>3.63</v>
      </c>
    </row>
    <row r="592" spans="1:95">
      <c r="A592" s="228">
        <v>45878</v>
      </c>
      <c r="B592" t="s">
        <v>307</v>
      </c>
    </row>
    <row r="593" spans="1:95">
      <c r="A593" s="228">
        <v>45879</v>
      </c>
      <c r="B593" t="s">
        <v>308</v>
      </c>
    </row>
    <row r="594" spans="1:95">
      <c r="A594" s="228">
        <v>45880</v>
      </c>
      <c r="B594" t="s">
        <v>96</v>
      </c>
    </row>
    <row r="595" spans="1:95">
      <c r="A595" s="228">
        <v>45881</v>
      </c>
      <c r="B595" t="s">
        <v>97</v>
      </c>
      <c r="C595">
        <v>149.46</v>
      </c>
      <c r="D595">
        <v>147.46</v>
      </c>
      <c r="E595">
        <v>148.46</v>
      </c>
      <c r="F595">
        <v>173.95</v>
      </c>
      <c r="G595">
        <v>170.95</v>
      </c>
      <c r="H595">
        <v>172.45</v>
      </c>
      <c r="I595">
        <v>109.36</v>
      </c>
      <c r="J595">
        <v>106.16</v>
      </c>
      <c r="K595">
        <v>107.75999999999999</v>
      </c>
      <c r="L595">
        <v>203.41</v>
      </c>
      <c r="M595">
        <v>195.41</v>
      </c>
      <c r="N595">
        <v>199.41</v>
      </c>
      <c r="O595">
        <v>183.76</v>
      </c>
      <c r="P595">
        <v>181.95999999999998</v>
      </c>
      <c r="Q595">
        <v>182.85999999999999</v>
      </c>
      <c r="R595">
        <v>23.41</v>
      </c>
      <c r="S595">
        <v>22.81</v>
      </c>
      <c r="T595">
        <v>23.11</v>
      </c>
      <c r="U595">
        <v>14.84</v>
      </c>
      <c r="V595">
        <v>14.24</v>
      </c>
      <c r="W595">
        <v>14.54</v>
      </c>
      <c r="X595">
        <v>15.82</v>
      </c>
      <c r="Y595">
        <v>15.02</v>
      </c>
      <c r="Z595">
        <v>15.42</v>
      </c>
      <c r="AA595">
        <v>98.78</v>
      </c>
      <c r="AB595">
        <v>94.78</v>
      </c>
      <c r="AC595">
        <v>96.78</v>
      </c>
      <c r="AD595">
        <v>90.24</v>
      </c>
      <c r="AE595">
        <v>86.24</v>
      </c>
      <c r="AF595">
        <v>88.24</v>
      </c>
      <c r="AG595">
        <v>19.34</v>
      </c>
      <c r="AH595">
        <v>18.48</v>
      </c>
      <c r="AI595">
        <v>18.91</v>
      </c>
      <c r="AM595">
        <v>116.22</v>
      </c>
      <c r="AN595">
        <v>114.56</v>
      </c>
      <c r="AO595">
        <v>115.39</v>
      </c>
      <c r="AP595">
        <v>40.44</v>
      </c>
      <c r="AQ595">
        <v>38.839999999999996</v>
      </c>
      <c r="AR595">
        <v>39.64</v>
      </c>
      <c r="AS595">
        <v>41.18</v>
      </c>
      <c r="AT595">
        <v>39.82</v>
      </c>
      <c r="AU595">
        <v>40.5</v>
      </c>
      <c r="AV595">
        <v>20.94</v>
      </c>
      <c r="AW595">
        <v>20.34</v>
      </c>
      <c r="AX595">
        <v>20.64</v>
      </c>
      <c r="AY595">
        <v>4.6399999999999997</v>
      </c>
      <c r="AZ595">
        <v>4.4799999999999995</v>
      </c>
      <c r="BA595">
        <v>4.5599999999999996</v>
      </c>
      <c r="BB595">
        <v>1.85</v>
      </c>
      <c r="BC595">
        <v>1.55</v>
      </c>
      <c r="BD595">
        <v>1.7000000000000002</v>
      </c>
      <c r="BE595">
        <v>0.68</v>
      </c>
      <c r="BF595">
        <v>0.38000000000000006</v>
      </c>
      <c r="BG595">
        <v>0.53</v>
      </c>
      <c r="BH595">
        <v>496.03</v>
      </c>
      <c r="BI595">
        <v>480.03</v>
      </c>
      <c r="BJ595">
        <v>488.03</v>
      </c>
      <c r="BK595">
        <v>41.53</v>
      </c>
      <c r="BL595">
        <v>40.17</v>
      </c>
      <c r="BM595">
        <v>40.85</v>
      </c>
      <c r="BN595">
        <v>1.04</v>
      </c>
      <c r="BO595">
        <v>0.8</v>
      </c>
      <c r="BP595">
        <v>0.92</v>
      </c>
      <c r="BQ595">
        <v>8.9499999999999993</v>
      </c>
      <c r="BR595">
        <v>6.9499999999999993</v>
      </c>
      <c r="BS595">
        <v>7.9499999999999993</v>
      </c>
      <c r="BT595">
        <v>10.87</v>
      </c>
      <c r="BU595">
        <v>10.469999999999999</v>
      </c>
      <c r="BV595">
        <v>10.669999999999998</v>
      </c>
      <c r="BW595">
        <v>2.77</v>
      </c>
      <c r="BX595">
        <v>2.4900000000000002</v>
      </c>
      <c r="BY595">
        <v>2.63</v>
      </c>
      <c r="BZ595">
        <v>9.8699999999999992</v>
      </c>
      <c r="CA595">
        <v>6.8699999999999992</v>
      </c>
      <c r="CB595">
        <v>8.3699999999999992</v>
      </c>
      <c r="CC595">
        <v>7.17</v>
      </c>
      <c r="CD595">
        <v>6.93</v>
      </c>
      <c r="CE595">
        <v>7.05</v>
      </c>
      <c r="CF595">
        <v>2.12</v>
      </c>
      <c r="CG595">
        <v>1.62</v>
      </c>
      <c r="CH595">
        <v>1.87</v>
      </c>
      <c r="CI595">
        <v>0.46</v>
      </c>
      <c r="CJ595">
        <v>0.42000000000000004</v>
      </c>
      <c r="CK595">
        <v>0.44000000000000006</v>
      </c>
      <c r="CL595">
        <v>41.72</v>
      </c>
      <c r="CM595">
        <v>39.32</v>
      </c>
      <c r="CN595">
        <v>40.519999999999996</v>
      </c>
      <c r="CO595">
        <v>6.15</v>
      </c>
      <c r="CP595">
        <v>1.1500000000000004</v>
      </c>
      <c r="CQ595">
        <v>3.6500000000000004</v>
      </c>
    </row>
    <row r="596" spans="1:95">
      <c r="A596" s="228">
        <v>45882</v>
      </c>
      <c r="B596" t="s">
        <v>98</v>
      </c>
      <c r="C596">
        <v>148.84</v>
      </c>
      <c r="D596">
        <v>146.84</v>
      </c>
      <c r="E596">
        <v>147.84</v>
      </c>
      <c r="F596">
        <v>174.16</v>
      </c>
      <c r="G596">
        <v>171.16</v>
      </c>
      <c r="H596">
        <v>172.66</v>
      </c>
      <c r="I596">
        <v>108.92</v>
      </c>
      <c r="J596">
        <v>105.72</v>
      </c>
      <c r="K596">
        <v>107.32</v>
      </c>
      <c r="L596">
        <v>203.64</v>
      </c>
      <c r="M596">
        <v>195.64</v>
      </c>
      <c r="N596">
        <v>199.64</v>
      </c>
      <c r="O596">
        <v>184.21</v>
      </c>
      <c r="P596">
        <v>182.41</v>
      </c>
      <c r="Q596">
        <v>183.31</v>
      </c>
      <c r="R596">
        <v>23.44</v>
      </c>
      <c r="S596">
        <v>22.84</v>
      </c>
      <c r="T596">
        <v>23.14</v>
      </c>
      <c r="U596">
        <v>14.76</v>
      </c>
      <c r="V596">
        <v>14.16</v>
      </c>
      <c r="W596">
        <v>14.46</v>
      </c>
      <c r="X596">
        <v>15.89</v>
      </c>
      <c r="Y596">
        <v>15.09</v>
      </c>
      <c r="Z596">
        <v>15.49</v>
      </c>
      <c r="AA596">
        <v>98.5</v>
      </c>
      <c r="AB596">
        <v>94.5</v>
      </c>
      <c r="AC596">
        <v>96.5</v>
      </c>
      <c r="AD596">
        <v>90.04</v>
      </c>
      <c r="AE596">
        <v>86.04</v>
      </c>
      <c r="AF596">
        <v>88.04</v>
      </c>
      <c r="AG596">
        <v>19.260000000000002</v>
      </c>
      <c r="AH596">
        <v>18.400000000000002</v>
      </c>
      <c r="AI596">
        <v>18.830000000000002</v>
      </c>
      <c r="AM596">
        <v>116.04</v>
      </c>
      <c r="AN596">
        <v>114.38000000000001</v>
      </c>
      <c r="AO596">
        <v>115.21000000000001</v>
      </c>
      <c r="AP596">
        <v>40.28</v>
      </c>
      <c r="AQ596">
        <v>38.68</v>
      </c>
      <c r="AR596">
        <v>39.480000000000004</v>
      </c>
      <c r="AS596">
        <v>41.01</v>
      </c>
      <c r="AT596">
        <v>39.65</v>
      </c>
      <c r="AU596">
        <v>40.33</v>
      </c>
      <c r="AV596">
        <v>20.87</v>
      </c>
      <c r="AW596">
        <v>20.27</v>
      </c>
      <c r="AX596">
        <v>20.57</v>
      </c>
      <c r="AY596">
        <v>4.6500000000000004</v>
      </c>
      <c r="AZ596">
        <v>4.49</v>
      </c>
      <c r="BA596">
        <v>4.57</v>
      </c>
      <c r="BB596">
        <v>1.85</v>
      </c>
      <c r="BC596">
        <v>1.55</v>
      </c>
      <c r="BD596">
        <v>1.7000000000000002</v>
      </c>
      <c r="BE596">
        <v>0.68</v>
      </c>
      <c r="BF596">
        <v>0.38000000000000006</v>
      </c>
      <c r="BG596">
        <v>0.53</v>
      </c>
      <c r="BH596">
        <v>494.64</v>
      </c>
      <c r="BI596">
        <v>478.64</v>
      </c>
      <c r="BJ596">
        <v>486.64</v>
      </c>
      <c r="BK596">
        <v>41.37</v>
      </c>
      <c r="BL596">
        <v>40.01</v>
      </c>
      <c r="BM596">
        <v>40.69</v>
      </c>
      <c r="BN596">
        <v>1.03</v>
      </c>
      <c r="BO596">
        <v>0.79</v>
      </c>
      <c r="BP596">
        <v>0.91</v>
      </c>
      <c r="BQ596">
        <v>8.9600000000000009</v>
      </c>
      <c r="BR596">
        <v>6.9600000000000009</v>
      </c>
      <c r="BS596">
        <v>7.9600000000000009</v>
      </c>
      <c r="BT596">
        <v>10.91</v>
      </c>
      <c r="BU596">
        <v>10.51</v>
      </c>
      <c r="BV596">
        <v>10.71</v>
      </c>
      <c r="BW596">
        <v>2.76</v>
      </c>
      <c r="BX596">
        <v>2.4799999999999995</v>
      </c>
      <c r="BY596">
        <v>2.6199999999999997</v>
      </c>
      <c r="BZ596">
        <v>9.91</v>
      </c>
      <c r="CA596">
        <v>6.91</v>
      </c>
      <c r="CB596">
        <v>8.41</v>
      </c>
      <c r="CC596">
        <v>7.18</v>
      </c>
      <c r="CD596">
        <v>6.9399999999999995</v>
      </c>
      <c r="CE596">
        <v>7.06</v>
      </c>
      <c r="CF596">
        <v>2.11</v>
      </c>
      <c r="CG596">
        <v>1.6099999999999999</v>
      </c>
      <c r="CH596">
        <v>1.8599999999999999</v>
      </c>
      <c r="CI596">
        <v>0.46</v>
      </c>
      <c r="CJ596">
        <v>0.42000000000000004</v>
      </c>
      <c r="CK596">
        <v>0.44000000000000006</v>
      </c>
      <c r="CL596">
        <v>41.8</v>
      </c>
      <c r="CM596">
        <v>39.4</v>
      </c>
      <c r="CN596">
        <v>40.599999999999994</v>
      </c>
      <c r="CO596">
        <v>6.13</v>
      </c>
      <c r="CP596">
        <v>1.1299999999999999</v>
      </c>
      <c r="CQ596">
        <v>3.63</v>
      </c>
    </row>
    <row r="597" spans="1:95">
      <c r="A597" s="228">
        <v>45883</v>
      </c>
      <c r="B597" t="s">
        <v>99</v>
      </c>
      <c r="C597">
        <v>147.69</v>
      </c>
      <c r="D597">
        <v>145.69</v>
      </c>
      <c r="E597">
        <v>146.69</v>
      </c>
      <c r="F597">
        <v>173.27</v>
      </c>
      <c r="G597">
        <v>170.27</v>
      </c>
      <c r="H597">
        <v>171.77</v>
      </c>
      <c r="I597">
        <v>108.26</v>
      </c>
      <c r="J597">
        <v>105.06</v>
      </c>
      <c r="K597">
        <v>106.66</v>
      </c>
      <c r="L597">
        <v>203.29</v>
      </c>
      <c r="M597">
        <v>195.29</v>
      </c>
      <c r="N597">
        <v>199.29</v>
      </c>
      <c r="O597">
        <v>183.08</v>
      </c>
      <c r="P597">
        <v>181.28</v>
      </c>
      <c r="Q597">
        <v>182.18</v>
      </c>
      <c r="R597">
        <v>23.32</v>
      </c>
      <c r="S597">
        <v>22.72</v>
      </c>
      <c r="T597">
        <v>23.02</v>
      </c>
      <c r="U597">
        <v>14.7</v>
      </c>
      <c r="V597">
        <v>14.1</v>
      </c>
      <c r="W597">
        <v>14.399999999999999</v>
      </c>
      <c r="X597">
        <v>15.77</v>
      </c>
      <c r="Y597">
        <v>14.969999999999999</v>
      </c>
      <c r="Z597">
        <v>15.37</v>
      </c>
      <c r="AA597">
        <v>98.1</v>
      </c>
      <c r="AB597">
        <v>94.1</v>
      </c>
      <c r="AC597">
        <v>96.1</v>
      </c>
      <c r="AD597">
        <v>89.76</v>
      </c>
      <c r="AE597">
        <v>85.76</v>
      </c>
      <c r="AF597">
        <v>87.76</v>
      </c>
      <c r="AG597">
        <v>19.11</v>
      </c>
      <c r="AH597">
        <v>18.25</v>
      </c>
      <c r="AI597">
        <v>18.68</v>
      </c>
      <c r="AM597">
        <v>115.49</v>
      </c>
      <c r="AN597">
        <v>113.83</v>
      </c>
      <c r="AO597">
        <v>114.66</v>
      </c>
      <c r="AP597">
        <v>39.979999999999997</v>
      </c>
      <c r="AQ597">
        <v>38.379999999999995</v>
      </c>
      <c r="AR597">
        <v>39.179999999999993</v>
      </c>
      <c r="AS597">
        <v>40.69</v>
      </c>
      <c r="AT597">
        <v>39.33</v>
      </c>
      <c r="AU597">
        <v>40.01</v>
      </c>
      <c r="AV597">
        <v>20.73</v>
      </c>
      <c r="AW597">
        <v>20.13</v>
      </c>
      <c r="AX597">
        <v>20.43</v>
      </c>
      <c r="AY597">
        <v>4.62</v>
      </c>
      <c r="AZ597">
        <v>4.46</v>
      </c>
      <c r="BA597">
        <v>4.54</v>
      </c>
      <c r="BB597">
        <v>1.84</v>
      </c>
      <c r="BC597">
        <v>1.54</v>
      </c>
      <c r="BD597">
        <v>1.69</v>
      </c>
      <c r="BE597">
        <v>0.67</v>
      </c>
      <c r="BF597">
        <v>0.37000000000000005</v>
      </c>
      <c r="BG597">
        <v>0.52</v>
      </c>
      <c r="BH597">
        <v>486.44</v>
      </c>
      <c r="BI597">
        <v>470.44</v>
      </c>
      <c r="BJ597">
        <v>478.44</v>
      </c>
      <c r="BK597">
        <v>41.06</v>
      </c>
      <c r="BL597">
        <v>39.700000000000003</v>
      </c>
      <c r="BM597">
        <v>40.380000000000003</v>
      </c>
      <c r="BN597">
        <v>1.03</v>
      </c>
      <c r="BO597">
        <v>0.79</v>
      </c>
      <c r="BP597">
        <v>0.91</v>
      </c>
      <c r="BQ597">
        <v>8.8800000000000008</v>
      </c>
      <c r="BR597">
        <v>6.8800000000000008</v>
      </c>
      <c r="BS597">
        <v>7.8800000000000008</v>
      </c>
      <c r="BT597">
        <v>10.86</v>
      </c>
      <c r="BU597">
        <v>10.459999999999999</v>
      </c>
      <c r="BV597">
        <v>10.66</v>
      </c>
      <c r="BW597">
        <v>2.75</v>
      </c>
      <c r="BX597">
        <v>2.4699999999999998</v>
      </c>
      <c r="BY597">
        <v>2.61</v>
      </c>
      <c r="BZ597">
        <v>9.89</v>
      </c>
      <c r="CA597">
        <v>6.8900000000000006</v>
      </c>
      <c r="CB597">
        <v>8.39</v>
      </c>
      <c r="CC597">
        <v>7.15</v>
      </c>
      <c r="CD597">
        <v>6.91</v>
      </c>
      <c r="CE597">
        <v>7.03</v>
      </c>
      <c r="CF597">
        <v>2.1</v>
      </c>
      <c r="CG597">
        <v>1.6</v>
      </c>
      <c r="CH597">
        <v>1.85</v>
      </c>
      <c r="CI597">
        <v>0.46</v>
      </c>
      <c r="CJ597">
        <v>0.42000000000000004</v>
      </c>
      <c r="CK597">
        <v>0.44000000000000006</v>
      </c>
      <c r="CL597">
        <v>41.62</v>
      </c>
      <c r="CM597">
        <v>39.22</v>
      </c>
      <c r="CN597">
        <v>40.42</v>
      </c>
      <c r="CO597">
        <v>6.1</v>
      </c>
      <c r="CP597">
        <v>1.0999999999999996</v>
      </c>
      <c r="CQ597">
        <v>3.5999999999999996</v>
      </c>
    </row>
    <row r="598" spans="1:95">
      <c r="A598" s="228">
        <v>45884</v>
      </c>
      <c r="B598" t="s">
        <v>100</v>
      </c>
      <c r="C598">
        <v>148.66</v>
      </c>
      <c r="D598">
        <v>146.66</v>
      </c>
      <c r="E598">
        <v>147.66</v>
      </c>
      <c r="F598">
        <v>173.51</v>
      </c>
      <c r="G598">
        <v>170.51</v>
      </c>
      <c r="H598">
        <v>172.01</v>
      </c>
      <c r="I598">
        <v>108.5</v>
      </c>
      <c r="J598">
        <v>105.3</v>
      </c>
      <c r="K598">
        <v>106.9</v>
      </c>
      <c r="L598">
        <v>203.81</v>
      </c>
      <c r="M598">
        <v>195.81</v>
      </c>
      <c r="N598">
        <v>199.81</v>
      </c>
      <c r="O598">
        <v>183.65</v>
      </c>
      <c r="P598">
        <v>181.85</v>
      </c>
      <c r="Q598">
        <v>182.75</v>
      </c>
      <c r="R598">
        <v>23.34</v>
      </c>
      <c r="S598">
        <v>22.74</v>
      </c>
      <c r="T598">
        <v>23.04</v>
      </c>
      <c r="U598">
        <v>14.75</v>
      </c>
      <c r="V598">
        <v>14.15</v>
      </c>
      <c r="W598">
        <v>14.45</v>
      </c>
      <c r="X598">
        <v>15.8</v>
      </c>
      <c r="Y598">
        <v>15</v>
      </c>
      <c r="Z598">
        <v>15.4</v>
      </c>
      <c r="AA598">
        <v>97.95</v>
      </c>
      <c r="AB598">
        <v>93.95</v>
      </c>
      <c r="AC598">
        <v>95.95</v>
      </c>
      <c r="AD598">
        <v>89.43</v>
      </c>
      <c r="AE598">
        <v>85.43</v>
      </c>
      <c r="AF598">
        <v>87.43</v>
      </c>
      <c r="AG598">
        <v>19.27</v>
      </c>
      <c r="AH598">
        <v>18.41</v>
      </c>
      <c r="AI598">
        <v>18.84</v>
      </c>
      <c r="AM598">
        <v>115.79</v>
      </c>
      <c r="AN598">
        <v>114.13000000000001</v>
      </c>
      <c r="AO598">
        <v>114.96000000000001</v>
      </c>
      <c r="AP598">
        <v>40.25</v>
      </c>
      <c r="AQ598">
        <v>38.65</v>
      </c>
      <c r="AR598">
        <v>39.450000000000003</v>
      </c>
      <c r="AS598">
        <v>40.96</v>
      </c>
      <c r="AT598">
        <v>39.6</v>
      </c>
      <c r="AU598">
        <v>40.28</v>
      </c>
      <c r="AV598">
        <v>20.86</v>
      </c>
      <c r="AW598">
        <v>20.259999999999998</v>
      </c>
      <c r="AX598">
        <v>20.56</v>
      </c>
      <c r="AY598">
        <v>4.6399999999999997</v>
      </c>
      <c r="AZ598">
        <v>4.4799999999999995</v>
      </c>
      <c r="BA598">
        <v>4.5599999999999996</v>
      </c>
      <c r="BB598">
        <v>1.84</v>
      </c>
      <c r="BC598">
        <v>1.54</v>
      </c>
      <c r="BD598">
        <v>1.69</v>
      </c>
      <c r="BE598">
        <v>0.68</v>
      </c>
      <c r="BF598">
        <v>0.38000000000000006</v>
      </c>
      <c r="BG598">
        <v>0.53</v>
      </c>
      <c r="BH598">
        <v>493.56</v>
      </c>
      <c r="BI598">
        <v>477.56</v>
      </c>
      <c r="BJ598">
        <v>485.56</v>
      </c>
      <c r="BK598">
        <v>41.32</v>
      </c>
      <c r="BL598">
        <v>39.96</v>
      </c>
      <c r="BM598">
        <v>40.64</v>
      </c>
      <c r="BN598">
        <v>1.04</v>
      </c>
      <c r="BO598">
        <v>0.8</v>
      </c>
      <c r="BP598">
        <v>0.92</v>
      </c>
      <c r="BQ598">
        <v>8.86</v>
      </c>
      <c r="BR598">
        <v>6.8599999999999994</v>
      </c>
      <c r="BS598">
        <v>7.8599999999999994</v>
      </c>
      <c r="BT598">
        <v>10.83</v>
      </c>
      <c r="BU598">
        <v>10.43</v>
      </c>
      <c r="BV598">
        <v>10.629999999999999</v>
      </c>
      <c r="BW598">
        <v>2.76</v>
      </c>
      <c r="BX598">
        <v>2.4799999999999995</v>
      </c>
      <c r="BY598">
        <v>2.6199999999999997</v>
      </c>
      <c r="BZ598">
        <v>9.9</v>
      </c>
      <c r="CA598">
        <v>6.9</v>
      </c>
      <c r="CB598">
        <v>8.4</v>
      </c>
      <c r="CC598">
        <v>7.15</v>
      </c>
      <c r="CD598">
        <v>6.91</v>
      </c>
      <c r="CE598">
        <v>7.03</v>
      </c>
      <c r="CF598">
        <v>2.11</v>
      </c>
      <c r="CG598">
        <v>1.6099999999999999</v>
      </c>
      <c r="CH598">
        <v>1.8599999999999999</v>
      </c>
      <c r="CI598">
        <v>0.45</v>
      </c>
      <c r="CJ598">
        <v>0.41000000000000003</v>
      </c>
      <c r="CK598">
        <v>0.43000000000000005</v>
      </c>
      <c r="CL598">
        <v>41.62</v>
      </c>
      <c r="CM598">
        <v>39.22</v>
      </c>
      <c r="CN598">
        <v>40.42</v>
      </c>
      <c r="CO598">
        <v>6.12</v>
      </c>
      <c r="CP598">
        <v>1.1200000000000001</v>
      </c>
      <c r="CQ598">
        <v>3.62</v>
      </c>
    </row>
    <row r="599" spans="1:95">
      <c r="A599" s="228">
        <v>45885</v>
      </c>
      <c r="B599" t="s">
        <v>307</v>
      </c>
    </row>
    <row r="600" spans="1:95">
      <c r="A600" s="228">
        <v>45886</v>
      </c>
      <c r="B600" t="s">
        <v>308</v>
      </c>
    </row>
    <row r="601" spans="1:95">
      <c r="A601" s="228">
        <v>45887</v>
      </c>
      <c r="B601" t="s">
        <v>96</v>
      </c>
      <c r="C601">
        <v>148.5</v>
      </c>
      <c r="D601">
        <v>146.5</v>
      </c>
      <c r="E601">
        <v>147.5</v>
      </c>
      <c r="F601">
        <v>174.06</v>
      </c>
      <c r="G601">
        <v>171.06</v>
      </c>
      <c r="H601">
        <v>172.56</v>
      </c>
      <c r="I601">
        <v>108.41</v>
      </c>
      <c r="J601">
        <v>105.21</v>
      </c>
      <c r="K601">
        <v>106.81</v>
      </c>
      <c r="L601">
        <v>203.92</v>
      </c>
      <c r="M601">
        <v>195.92</v>
      </c>
      <c r="N601">
        <v>199.92</v>
      </c>
      <c r="O601">
        <v>183.72</v>
      </c>
      <c r="P601">
        <v>181.92</v>
      </c>
      <c r="Q601">
        <v>182.82</v>
      </c>
      <c r="R601">
        <v>23.42</v>
      </c>
      <c r="S601">
        <v>22.82</v>
      </c>
      <c r="T601">
        <v>23.12</v>
      </c>
      <c r="U601">
        <v>14.78</v>
      </c>
      <c r="V601">
        <v>14.18</v>
      </c>
      <c r="W601">
        <v>14.48</v>
      </c>
      <c r="X601">
        <v>15.85</v>
      </c>
      <c r="Y601">
        <v>15.049999999999999</v>
      </c>
      <c r="Z601">
        <v>15.45</v>
      </c>
      <c r="AA601">
        <v>98.04</v>
      </c>
      <c r="AB601">
        <v>94.04</v>
      </c>
      <c r="AC601">
        <v>96.04</v>
      </c>
      <c r="AD601">
        <v>89.48</v>
      </c>
      <c r="AE601">
        <v>85.48</v>
      </c>
      <c r="AF601">
        <v>87.48</v>
      </c>
      <c r="AG601">
        <v>19.27</v>
      </c>
      <c r="AH601">
        <v>18.41</v>
      </c>
      <c r="AI601">
        <v>18.84</v>
      </c>
      <c r="AM601">
        <v>115.76</v>
      </c>
      <c r="AN601">
        <v>114.10000000000001</v>
      </c>
      <c r="AO601">
        <v>114.93</v>
      </c>
      <c r="AP601">
        <v>40.19</v>
      </c>
      <c r="AQ601">
        <v>38.589999999999996</v>
      </c>
      <c r="AR601">
        <v>39.39</v>
      </c>
      <c r="AS601">
        <v>40.770000000000003</v>
      </c>
      <c r="AT601">
        <v>39.410000000000004</v>
      </c>
      <c r="AU601">
        <v>40.090000000000003</v>
      </c>
      <c r="AV601">
        <v>20.82</v>
      </c>
      <c r="AW601">
        <v>20.22</v>
      </c>
      <c r="AX601">
        <v>20.52</v>
      </c>
      <c r="AY601">
        <v>4.62</v>
      </c>
      <c r="AZ601">
        <v>4.46</v>
      </c>
      <c r="BA601">
        <v>4.54</v>
      </c>
      <c r="BB601">
        <v>1.85</v>
      </c>
      <c r="BC601">
        <v>1.55</v>
      </c>
      <c r="BD601">
        <v>1.7000000000000002</v>
      </c>
      <c r="BE601">
        <v>0.68</v>
      </c>
      <c r="BF601">
        <v>0.38000000000000006</v>
      </c>
      <c r="BG601">
        <v>0.53</v>
      </c>
      <c r="BH601">
        <v>493.36</v>
      </c>
      <c r="BI601">
        <v>477.36</v>
      </c>
      <c r="BJ601">
        <v>485.36</v>
      </c>
      <c r="BK601">
        <v>41.28</v>
      </c>
      <c r="BL601">
        <v>39.92</v>
      </c>
      <c r="BM601">
        <v>40.6</v>
      </c>
      <c r="BN601">
        <v>1.04</v>
      </c>
      <c r="BO601">
        <v>0.8</v>
      </c>
      <c r="BP601">
        <v>0.92</v>
      </c>
      <c r="BQ601">
        <v>8.8699999999999992</v>
      </c>
      <c r="BR601">
        <v>6.8699999999999992</v>
      </c>
      <c r="BS601">
        <v>7.8699999999999992</v>
      </c>
      <c r="BT601">
        <v>10.84</v>
      </c>
      <c r="BU601">
        <v>10.44</v>
      </c>
      <c r="BV601">
        <v>10.64</v>
      </c>
      <c r="BW601">
        <v>2.75</v>
      </c>
      <c r="BX601">
        <v>2.4699999999999998</v>
      </c>
      <c r="BY601">
        <v>2.61</v>
      </c>
      <c r="BZ601">
        <v>9.89</v>
      </c>
      <c r="CA601">
        <v>6.8900000000000006</v>
      </c>
      <c r="CB601">
        <v>8.39</v>
      </c>
      <c r="CC601">
        <v>7.17</v>
      </c>
      <c r="CD601">
        <v>6.93</v>
      </c>
      <c r="CE601">
        <v>7.05</v>
      </c>
      <c r="CF601">
        <v>2.09</v>
      </c>
      <c r="CG601">
        <v>1.5899999999999999</v>
      </c>
      <c r="CH601">
        <v>1.8399999999999999</v>
      </c>
      <c r="CI601">
        <v>0.46</v>
      </c>
      <c r="CJ601">
        <v>0.42000000000000004</v>
      </c>
      <c r="CK601">
        <v>0.44000000000000006</v>
      </c>
      <c r="CL601">
        <v>41.7</v>
      </c>
      <c r="CM601">
        <v>39.300000000000004</v>
      </c>
      <c r="CN601">
        <v>40.5</v>
      </c>
      <c r="CO601">
        <v>6.11</v>
      </c>
      <c r="CP601">
        <v>1.1100000000000003</v>
      </c>
      <c r="CQ601">
        <v>3.6100000000000003</v>
      </c>
    </row>
    <row r="602" spans="1:95">
      <c r="A602" s="228">
        <v>45888</v>
      </c>
      <c r="B602" t="s">
        <v>97</v>
      </c>
      <c r="C602">
        <v>148.9</v>
      </c>
      <c r="D602">
        <v>146.9</v>
      </c>
      <c r="E602">
        <v>147.9</v>
      </c>
      <c r="F602">
        <v>173.88</v>
      </c>
      <c r="G602">
        <v>170.88</v>
      </c>
      <c r="H602">
        <v>172.38</v>
      </c>
      <c r="I602">
        <v>108.69</v>
      </c>
      <c r="J602">
        <v>105.49</v>
      </c>
      <c r="K602">
        <v>107.09</v>
      </c>
      <c r="L602">
        <v>203.67</v>
      </c>
      <c r="M602">
        <v>195.67</v>
      </c>
      <c r="N602">
        <v>199.67</v>
      </c>
      <c r="O602">
        <v>184.04</v>
      </c>
      <c r="P602">
        <v>182.23999999999998</v>
      </c>
      <c r="Q602">
        <v>183.14</v>
      </c>
      <c r="R602">
        <v>23.39</v>
      </c>
      <c r="S602">
        <v>22.79</v>
      </c>
      <c r="T602">
        <v>23.09</v>
      </c>
      <c r="U602">
        <v>14.77</v>
      </c>
      <c r="V602">
        <v>14.17</v>
      </c>
      <c r="W602">
        <v>14.469999999999999</v>
      </c>
      <c r="X602">
        <v>15.87</v>
      </c>
      <c r="Y602">
        <v>15.069999999999999</v>
      </c>
      <c r="Z602">
        <v>15.469999999999999</v>
      </c>
      <c r="AA602">
        <v>97.99</v>
      </c>
      <c r="AB602">
        <v>93.99</v>
      </c>
      <c r="AC602">
        <v>95.99</v>
      </c>
      <c r="AD602">
        <v>89.65</v>
      </c>
      <c r="AE602">
        <v>85.65</v>
      </c>
      <c r="AF602">
        <v>87.65</v>
      </c>
      <c r="AG602">
        <v>19.34</v>
      </c>
      <c r="AH602">
        <v>18.48</v>
      </c>
      <c r="AI602">
        <v>18.91</v>
      </c>
      <c r="AM602">
        <v>115.95</v>
      </c>
      <c r="AN602">
        <v>114.29</v>
      </c>
      <c r="AO602">
        <v>115.12</v>
      </c>
      <c r="AP602">
        <v>40.299999999999997</v>
      </c>
      <c r="AQ602">
        <v>38.699999999999996</v>
      </c>
      <c r="AR602">
        <v>39.5</v>
      </c>
      <c r="AS602">
        <v>41.02</v>
      </c>
      <c r="AT602">
        <v>39.660000000000004</v>
      </c>
      <c r="AU602">
        <v>40.340000000000003</v>
      </c>
      <c r="AV602">
        <v>20.88</v>
      </c>
      <c r="AW602">
        <v>20.279999999999998</v>
      </c>
      <c r="AX602">
        <v>20.58</v>
      </c>
      <c r="AY602">
        <v>4.62</v>
      </c>
      <c r="AZ602">
        <v>4.46</v>
      </c>
      <c r="BA602">
        <v>4.54</v>
      </c>
      <c r="BB602">
        <v>1.85</v>
      </c>
      <c r="BC602">
        <v>1.55</v>
      </c>
      <c r="BD602">
        <v>1.7000000000000002</v>
      </c>
      <c r="BE602">
        <v>0.68</v>
      </c>
      <c r="BF602">
        <v>0.38000000000000006</v>
      </c>
      <c r="BG602">
        <v>0.53</v>
      </c>
      <c r="BH602">
        <v>494.19</v>
      </c>
      <c r="BI602">
        <v>478.19</v>
      </c>
      <c r="BJ602">
        <v>486.19</v>
      </c>
      <c r="BK602">
        <v>41.39</v>
      </c>
      <c r="BL602">
        <v>40.03</v>
      </c>
      <c r="BM602">
        <v>40.71</v>
      </c>
      <c r="BN602">
        <v>1.04</v>
      </c>
      <c r="BO602">
        <v>0.8</v>
      </c>
      <c r="BP602">
        <v>0.92</v>
      </c>
      <c r="BQ602">
        <v>8.8699999999999992</v>
      </c>
      <c r="BR602">
        <v>6.8699999999999992</v>
      </c>
      <c r="BS602">
        <v>7.8699999999999992</v>
      </c>
      <c r="BT602">
        <v>10.86</v>
      </c>
      <c r="BU602">
        <v>10.459999999999999</v>
      </c>
      <c r="BV602">
        <v>10.66</v>
      </c>
      <c r="BW602">
        <v>2.76</v>
      </c>
      <c r="BX602">
        <v>2.4799999999999995</v>
      </c>
      <c r="BY602">
        <v>2.6199999999999997</v>
      </c>
      <c r="BZ602">
        <v>9.8800000000000008</v>
      </c>
      <c r="CA602">
        <v>6.8800000000000008</v>
      </c>
      <c r="CB602">
        <v>8.3800000000000008</v>
      </c>
      <c r="CC602">
        <v>7.17</v>
      </c>
      <c r="CD602">
        <v>6.93</v>
      </c>
      <c r="CE602">
        <v>7.05</v>
      </c>
      <c r="CF602">
        <v>2.1</v>
      </c>
      <c r="CG602">
        <v>1.6</v>
      </c>
      <c r="CH602">
        <v>1.85</v>
      </c>
      <c r="CI602">
        <v>0.46</v>
      </c>
      <c r="CJ602">
        <v>0.42000000000000004</v>
      </c>
      <c r="CK602">
        <v>0.44000000000000006</v>
      </c>
      <c r="CL602">
        <v>41.81</v>
      </c>
      <c r="CM602">
        <v>39.410000000000004</v>
      </c>
      <c r="CN602">
        <v>40.61</v>
      </c>
      <c r="CO602">
        <v>6.12</v>
      </c>
      <c r="CP602">
        <v>1.1200000000000001</v>
      </c>
      <c r="CQ602">
        <v>3.62</v>
      </c>
    </row>
    <row r="603" spans="1:95">
      <c r="A603" s="228">
        <v>45889</v>
      </c>
      <c r="B603" t="s">
        <v>98</v>
      </c>
      <c r="C603">
        <v>148.72999999999999</v>
      </c>
      <c r="D603">
        <v>146.72999999999999</v>
      </c>
      <c r="E603">
        <v>147.72999999999999</v>
      </c>
      <c r="F603">
        <v>173.4</v>
      </c>
      <c r="G603">
        <v>170.4</v>
      </c>
      <c r="H603">
        <v>171.9</v>
      </c>
      <c r="I603">
        <v>108.09</v>
      </c>
      <c r="J603">
        <v>104.89</v>
      </c>
      <c r="K603">
        <v>106.49000000000001</v>
      </c>
      <c r="L603">
        <v>203.08</v>
      </c>
      <c r="M603">
        <v>195.08</v>
      </c>
      <c r="N603">
        <v>199.08</v>
      </c>
      <c r="O603">
        <v>183.62</v>
      </c>
      <c r="P603">
        <v>181.82</v>
      </c>
      <c r="Q603">
        <v>182.72</v>
      </c>
      <c r="R603">
        <v>23.33</v>
      </c>
      <c r="S603">
        <v>22.729999999999997</v>
      </c>
      <c r="T603">
        <v>23.029999999999998</v>
      </c>
      <c r="U603">
        <v>14.65</v>
      </c>
      <c r="V603">
        <v>14.05</v>
      </c>
      <c r="W603">
        <v>14.350000000000001</v>
      </c>
      <c r="X603">
        <v>15.76</v>
      </c>
      <c r="Y603">
        <v>14.959999999999999</v>
      </c>
      <c r="Z603">
        <v>15.36</v>
      </c>
      <c r="AA603">
        <v>97.3</v>
      </c>
      <c r="AB603">
        <v>93.3</v>
      </c>
      <c r="AC603">
        <v>95.3</v>
      </c>
      <c r="AD603">
        <v>89.04</v>
      </c>
      <c r="AE603">
        <v>85.04</v>
      </c>
      <c r="AF603">
        <v>87.04</v>
      </c>
      <c r="AG603">
        <v>19.36</v>
      </c>
      <c r="AH603">
        <v>18.5</v>
      </c>
      <c r="AI603">
        <v>18.93</v>
      </c>
      <c r="AM603">
        <v>115.73</v>
      </c>
      <c r="AN603">
        <v>114.07000000000001</v>
      </c>
      <c r="AO603">
        <v>114.9</v>
      </c>
      <c r="AP603">
        <v>40.26</v>
      </c>
      <c r="AQ603">
        <v>38.659999999999997</v>
      </c>
      <c r="AR603">
        <v>39.459999999999994</v>
      </c>
      <c r="AS603">
        <v>40.98</v>
      </c>
      <c r="AT603">
        <v>39.619999999999997</v>
      </c>
      <c r="AU603">
        <v>40.299999999999997</v>
      </c>
      <c r="AV603">
        <v>20.85</v>
      </c>
      <c r="AW603">
        <v>20.25</v>
      </c>
      <c r="AX603">
        <v>20.55</v>
      </c>
      <c r="AY603">
        <v>4.62</v>
      </c>
      <c r="AZ603">
        <v>4.46</v>
      </c>
      <c r="BA603">
        <v>4.54</v>
      </c>
      <c r="BB603">
        <v>1.86</v>
      </c>
      <c r="BC603">
        <v>1.56</v>
      </c>
      <c r="BD603">
        <v>1.71</v>
      </c>
      <c r="BE603">
        <v>0.68</v>
      </c>
      <c r="BF603">
        <v>0.38000000000000006</v>
      </c>
      <c r="BG603">
        <v>0.53</v>
      </c>
      <c r="BH603">
        <v>493.63</v>
      </c>
      <c r="BI603">
        <v>477.63</v>
      </c>
      <c r="BJ603">
        <v>485.63</v>
      </c>
      <c r="BK603">
        <v>41.34</v>
      </c>
      <c r="BL603">
        <v>39.980000000000004</v>
      </c>
      <c r="BM603">
        <v>40.660000000000004</v>
      </c>
      <c r="BN603">
        <v>1.03</v>
      </c>
      <c r="BO603">
        <v>0.79</v>
      </c>
      <c r="BP603">
        <v>0.91</v>
      </c>
      <c r="BQ603">
        <v>8.84</v>
      </c>
      <c r="BR603">
        <v>6.84</v>
      </c>
      <c r="BS603">
        <v>7.84</v>
      </c>
      <c r="BT603">
        <v>10.8</v>
      </c>
      <c r="BU603">
        <v>10.4</v>
      </c>
      <c r="BV603">
        <v>10.600000000000001</v>
      </c>
      <c r="BW603">
        <v>2.76</v>
      </c>
      <c r="BX603">
        <v>2.4799999999999995</v>
      </c>
      <c r="BY603">
        <v>2.6199999999999997</v>
      </c>
      <c r="BZ603">
        <v>9.84</v>
      </c>
      <c r="CA603">
        <v>6.84</v>
      </c>
      <c r="CB603">
        <v>8.34</v>
      </c>
      <c r="CC603">
        <v>7.15</v>
      </c>
      <c r="CD603">
        <v>6.91</v>
      </c>
      <c r="CE603">
        <v>7.03</v>
      </c>
      <c r="CF603">
        <v>2.08</v>
      </c>
      <c r="CG603">
        <v>1.58</v>
      </c>
      <c r="CH603">
        <v>1.83</v>
      </c>
      <c r="CI603">
        <v>0.46</v>
      </c>
      <c r="CJ603">
        <v>0.42000000000000004</v>
      </c>
      <c r="CK603">
        <v>0.44000000000000006</v>
      </c>
      <c r="CL603">
        <v>41.62</v>
      </c>
      <c r="CM603">
        <v>39.22</v>
      </c>
      <c r="CN603">
        <v>40.42</v>
      </c>
      <c r="CO603">
        <v>6.11</v>
      </c>
      <c r="CP603">
        <v>1.1100000000000003</v>
      </c>
      <c r="CQ603">
        <v>3.6100000000000003</v>
      </c>
    </row>
    <row r="604" spans="1:95">
      <c r="A604" s="228">
        <v>45890</v>
      </c>
      <c r="B604" t="s">
        <v>99</v>
      </c>
      <c r="C604">
        <v>148.5</v>
      </c>
      <c r="D604">
        <v>146.5</v>
      </c>
      <c r="E604">
        <v>147.5</v>
      </c>
      <c r="F604">
        <v>173.19</v>
      </c>
      <c r="G604">
        <v>170.19</v>
      </c>
      <c r="H604">
        <v>171.69</v>
      </c>
      <c r="I604">
        <v>107.85</v>
      </c>
      <c r="J604">
        <v>104.64999999999999</v>
      </c>
      <c r="K604">
        <v>106.25</v>
      </c>
      <c r="L604">
        <v>202.45</v>
      </c>
      <c r="M604">
        <v>194.45</v>
      </c>
      <c r="N604">
        <v>198.45</v>
      </c>
      <c r="O604">
        <v>184.11</v>
      </c>
      <c r="P604">
        <v>182.31</v>
      </c>
      <c r="Q604">
        <v>183.21</v>
      </c>
      <c r="R604">
        <v>23.3</v>
      </c>
      <c r="S604">
        <v>22.7</v>
      </c>
      <c r="T604">
        <v>23</v>
      </c>
      <c r="U604">
        <v>14.71</v>
      </c>
      <c r="V604">
        <v>14.110000000000001</v>
      </c>
      <c r="W604">
        <v>14.41</v>
      </c>
      <c r="X604">
        <v>15.78</v>
      </c>
      <c r="Y604">
        <v>14.979999999999999</v>
      </c>
      <c r="Z604">
        <v>15.379999999999999</v>
      </c>
      <c r="AA604">
        <v>96.77</v>
      </c>
      <c r="AB604">
        <v>92.77</v>
      </c>
      <c r="AC604">
        <v>94.77</v>
      </c>
      <c r="AD604">
        <v>87.85</v>
      </c>
      <c r="AE604">
        <v>83.85</v>
      </c>
      <c r="AF604">
        <v>85.85</v>
      </c>
      <c r="AG604">
        <v>19.309999999999999</v>
      </c>
      <c r="AH604">
        <v>18.45</v>
      </c>
      <c r="AI604">
        <v>18.88</v>
      </c>
      <c r="AM604">
        <v>115.51</v>
      </c>
      <c r="AN604">
        <v>113.85000000000001</v>
      </c>
      <c r="AO604">
        <v>114.68</v>
      </c>
      <c r="AP604">
        <v>40.19</v>
      </c>
      <c r="AQ604">
        <v>38.589999999999996</v>
      </c>
      <c r="AR604">
        <v>39.39</v>
      </c>
      <c r="AS604">
        <v>40.909999999999997</v>
      </c>
      <c r="AT604">
        <v>39.549999999999997</v>
      </c>
      <c r="AU604">
        <v>40.229999999999997</v>
      </c>
      <c r="AV604">
        <v>20.83</v>
      </c>
      <c r="AW604">
        <v>20.229999999999997</v>
      </c>
      <c r="AX604">
        <v>20.529999999999998</v>
      </c>
      <c r="AY604">
        <v>4.6100000000000003</v>
      </c>
      <c r="AZ604">
        <v>4.45</v>
      </c>
      <c r="BA604">
        <v>4.53</v>
      </c>
      <c r="BB604">
        <v>1.86</v>
      </c>
      <c r="BC604">
        <v>1.56</v>
      </c>
      <c r="BD604">
        <v>1.71</v>
      </c>
      <c r="BE604">
        <v>0.68</v>
      </c>
      <c r="BF604">
        <v>0.38000000000000006</v>
      </c>
      <c r="BG604">
        <v>0.53</v>
      </c>
      <c r="BH604">
        <v>493.2</v>
      </c>
      <c r="BI604">
        <v>477.2</v>
      </c>
      <c r="BJ604">
        <v>485.2</v>
      </c>
      <c r="BK604">
        <v>41.28</v>
      </c>
      <c r="BL604">
        <v>39.92</v>
      </c>
      <c r="BM604">
        <v>40.6</v>
      </c>
      <c r="BN604">
        <v>1.03</v>
      </c>
      <c r="BO604">
        <v>0.79</v>
      </c>
      <c r="BP604">
        <v>0.91</v>
      </c>
      <c r="BQ604">
        <v>8.86</v>
      </c>
      <c r="BR604">
        <v>6.8599999999999994</v>
      </c>
      <c r="BS604">
        <v>7.8599999999999994</v>
      </c>
      <c r="BT604">
        <v>10.76</v>
      </c>
      <c r="BU604">
        <v>10.36</v>
      </c>
      <c r="BV604">
        <v>10.559999999999999</v>
      </c>
      <c r="BW604">
        <v>2.76</v>
      </c>
      <c r="BX604">
        <v>2.4799999999999995</v>
      </c>
      <c r="BY604">
        <v>2.6199999999999997</v>
      </c>
      <c r="BZ604">
        <v>9.85</v>
      </c>
      <c r="CA604">
        <v>6.85</v>
      </c>
      <c r="CB604">
        <v>8.35</v>
      </c>
      <c r="CC604">
        <v>7.14</v>
      </c>
      <c r="CD604">
        <v>6.8999999999999995</v>
      </c>
      <c r="CE604">
        <v>7.02</v>
      </c>
      <c r="CF604">
        <v>2.08</v>
      </c>
      <c r="CG604">
        <v>1.58</v>
      </c>
      <c r="CH604">
        <v>1.83</v>
      </c>
      <c r="CI604">
        <v>0.46</v>
      </c>
      <c r="CJ604">
        <v>0.42000000000000004</v>
      </c>
      <c r="CK604">
        <v>0.44000000000000006</v>
      </c>
      <c r="CL604">
        <v>41.65</v>
      </c>
      <c r="CM604">
        <v>39.25</v>
      </c>
      <c r="CN604">
        <v>40.450000000000003</v>
      </c>
      <c r="CO604">
        <v>6.11</v>
      </c>
      <c r="CP604">
        <v>1.1100000000000003</v>
      </c>
      <c r="CQ604">
        <v>3.6100000000000003</v>
      </c>
    </row>
    <row r="605" spans="1:95">
      <c r="A605" s="228">
        <v>45891</v>
      </c>
      <c r="B605" t="s">
        <v>100</v>
      </c>
      <c r="C605">
        <v>149.53</v>
      </c>
      <c r="D605">
        <v>147.53</v>
      </c>
      <c r="E605">
        <v>148.53</v>
      </c>
      <c r="F605">
        <v>173.96</v>
      </c>
      <c r="G605">
        <v>170.96</v>
      </c>
      <c r="H605">
        <v>172.46</v>
      </c>
      <c r="I605">
        <v>108.39</v>
      </c>
      <c r="J605">
        <v>105.19</v>
      </c>
      <c r="K605">
        <v>106.78999999999999</v>
      </c>
      <c r="L605">
        <v>203.33</v>
      </c>
      <c r="M605">
        <v>195.33</v>
      </c>
      <c r="N605">
        <v>199.33</v>
      </c>
      <c r="O605">
        <v>184.43</v>
      </c>
      <c r="P605">
        <v>182.63</v>
      </c>
      <c r="Q605">
        <v>183.53</v>
      </c>
      <c r="R605">
        <v>23.4</v>
      </c>
      <c r="S605">
        <v>22.799999999999997</v>
      </c>
      <c r="T605">
        <v>23.099999999999998</v>
      </c>
      <c r="U605">
        <v>14.9</v>
      </c>
      <c r="V605">
        <v>14.3</v>
      </c>
      <c r="W605">
        <v>14.600000000000001</v>
      </c>
      <c r="X605">
        <v>15.85</v>
      </c>
      <c r="Y605">
        <v>15.049999999999999</v>
      </c>
      <c r="Z605">
        <v>15.45</v>
      </c>
      <c r="AA605">
        <v>97.43</v>
      </c>
      <c r="AB605">
        <v>93.43</v>
      </c>
      <c r="AC605">
        <v>95.43</v>
      </c>
      <c r="AD605">
        <v>88.37</v>
      </c>
      <c r="AE605">
        <v>84.37</v>
      </c>
      <c r="AF605">
        <v>86.37</v>
      </c>
      <c r="AG605">
        <v>19.440000000000001</v>
      </c>
      <c r="AH605">
        <v>18.580000000000002</v>
      </c>
      <c r="AI605">
        <v>19.010000000000002</v>
      </c>
      <c r="AM605">
        <v>116.08</v>
      </c>
      <c r="AN605">
        <v>114.42</v>
      </c>
      <c r="AO605">
        <v>115.25</v>
      </c>
      <c r="AP605">
        <v>40.46</v>
      </c>
      <c r="AQ605">
        <v>38.86</v>
      </c>
      <c r="AR605">
        <v>39.659999999999997</v>
      </c>
      <c r="AS605">
        <v>41.2</v>
      </c>
      <c r="AT605">
        <v>39.840000000000003</v>
      </c>
      <c r="AU605">
        <v>40.520000000000003</v>
      </c>
      <c r="AV605">
        <v>20.97</v>
      </c>
      <c r="AW605">
        <v>20.369999999999997</v>
      </c>
      <c r="AX605">
        <v>20.669999999999998</v>
      </c>
      <c r="AY605">
        <v>4.62</v>
      </c>
      <c r="AZ605">
        <v>4.46</v>
      </c>
      <c r="BA605">
        <v>4.54</v>
      </c>
      <c r="BB605">
        <v>1.86</v>
      </c>
      <c r="BC605">
        <v>1.56</v>
      </c>
      <c r="BD605">
        <v>1.71</v>
      </c>
      <c r="BE605">
        <v>0.68</v>
      </c>
      <c r="BF605">
        <v>0.38000000000000006</v>
      </c>
      <c r="BG605">
        <v>0.53</v>
      </c>
      <c r="BH605">
        <v>496.1</v>
      </c>
      <c r="BI605">
        <v>480.1</v>
      </c>
      <c r="BJ605">
        <v>488.1</v>
      </c>
      <c r="BK605">
        <v>41.55</v>
      </c>
      <c r="BL605">
        <v>40.19</v>
      </c>
      <c r="BM605">
        <v>40.869999999999997</v>
      </c>
      <c r="BN605">
        <v>1.04</v>
      </c>
      <c r="BO605">
        <v>0.8</v>
      </c>
      <c r="BP605">
        <v>0.92</v>
      </c>
      <c r="BQ605">
        <v>8.93</v>
      </c>
      <c r="BR605">
        <v>6.93</v>
      </c>
      <c r="BS605">
        <v>7.93</v>
      </c>
      <c r="BT605">
        <v>10.83</v>
      </c>
      <c r="BU605">
        <v>10.43</v>
      </c>
      <c r="BV605">
        <v>10.629999999999999</v>
      </c>
      <c r="BW605">
        <v>2.78</v>
      </c>
      <c r="BX605">
        <v>2.5</v>
      </c>
      <c r="BY605">
        <v>2.6399999999999997</v>
      </c>
      <c r="BZ605">
        <v>9.89</v>
      </c>
      <c r="CA605">
        <v>6.8900000000000006</v>
      </c>
      <c r="CB605">
        <v>8.39</v>
      </c>
      <c r="CC605">
        <v>7.14</v>
      </c>
      <c r="CD605">
        <v>6.8999999999999995</v>
      </c>
      <c r="CE605">
        <v>7.02</v>
      </c>
      <c r="CF605">
        <v>2.1</v>
      </c>
      <c r="CG605">
        <v>1.6</v>
      </c>
      <c r="CH605">
        <v>1.85</v>
      </c>
      <c r="CI605">
        <v>0.46</v>
      </c>
      <c r="CJ605">
        <v>0.42000000000000004</v>
      </c>
      <c r="CK605">
        <v>0.44000000000000006</v>
      </c>
      <c r="CL605">
        <v>41.78</v>
      </c>
      <c r="CM605">
        <v>39.380000000000003</v>
      </c>
      <c r="CN605">
        <v>40.58</v>
      </c>
      <c r="CO605">
        <v>6.13</v>
      </c>
      <c r="CP605">
        <v>1.1299999999999999</v>
      </c>
      <c r="CQ605">
        <v>3.63</v>
      </c>
    </row>
    <row r="606" spans="1:95">
      <c r="A606" s="228">
        <v>45892</v>
      </c>
      <c r="B606" t="s">
        <v>307</v>
      </c>
    </row>
    <row r="607" spans="1:95">
      <c r="A607" s="228">
        <v>45893</v>
      </c>
      <c r="B607" t="s">
        <v>308</v>
      </c>
    </row>
    <row r="608" spans="1:95">
      <c r="A608" s="228">
        <v>45894</v>
      </c>
      <c r="B608" t="s">
        <v>96</v>
      </c>
      <c r="C608">
        <v>148.44999999999999</v>
      </c>
      <c r="D608">
        <v>146.44999999999999</v>
      </c>
      <c r="E608">
        <v>147.44999999999999</v>
      </c>
      <c r="F608">
        <v>173.94</v>
      </c>
      <c r="G608">
        <v>170.94</v>
      </c>
      <c r="H608">
        <v>172.44</v>
      </c>
      <c r="I608">
        <v>108.17</v>
      </c>
      <c r="J608">
        <v>104.97</v>
      </c>
      <c r="K608">
        <v>106.57</v>
      </c>
      <c r="L608">
        <v>202.98</v>
      </c>
      <c r="M608">
        <v>194.98</v>
      </c>
      <c r="N608">
        <v>198.98</v>
      </c>
      <c r="O608">
        <v>184.55</v>
      </c>
      <c r="P608">
        <v>182.75</v>
      </c>
      <c r="Q608">
        <v>183.65</v>
      </c>
      <c r="R608">
        <v>23.4</v>
      </c>
      <c r="S608">
        <v>22.799999999999997</v>
      </c>
      <c r="T608">
        <v>23.099999999999998</v>
      </c>
      <c r="U608">
        <v>14.92</v>
      </c>
      <c r="V608">
        <v>14.32</v>
      </c>
      <c r="W608">
        <v>14.620000000000001</v>
      </c>
      <c r="X608">
        <v>15.91</v>
      </c>
      <c r="Y608">
        <v>15.11</v>
      </c>
      <c r="Z608">
        <v>15.51</v>
      </c>
      <c r="AA608">
        <v>97.61</v>
      </c>
      <c r="AB608">
        <v>93.61</v>
      </c>
      <c r="AC608">
        <v>95.61</v>
      </c>
      <c r="AD608">
        <v>88.46</v>
      </c>
      <c r="AE608">
        <v>84.46</v>
      </c>
      <c r="AF608">
        <v>86.46</v>
      </c>
      <c r="AG608">
        <v>19.3</v>
      </c>
      <c r="AH608">
        <v>18.440000000000001</v>
      </c>
      <c r="AI608">
        <v>18.87</v>
      </c>
      <c r="AM608">
        <v>115.77</v>
      </c>
      <c r="AN608">
        <v>114.11</v>
      </c>
      <c r="AO608">
        <v>114.94</v>
      </c>
      <c r="AP608">
        <v>40.18</v>
      </c>
      <c r="AQ608">
        <v>38.58</v>
      </c>
      <c r="AR608">
        <v>39.379999999999995</v>
      </c>
      <c r="AS608">
        <v>40.89</v>
      </c>
      <c r="AT608">
        <v>39.53</v>
      </c>
      <c r="AU608">
        <v>40.21</v>
      </c>
      <c r="AV608">
        <v>20.87</v>
      </c>
      <c r="AW608">
        <v>20.27</v>
      </c>
      <c r="AX608">
        <v>20.57</v>
      </c>
      <c r="AY608">
        <v>4.6399999999999997</v>
      </c>
      <c r="AZ608">
        <v>4.4799999999999995</v>
      </c>
      <c r="BA608">
        <v>4.5599999999999996</v>
      </c>
      <c r="BB608">
        <v>1.85</v>
      </c>
      <c r="BC608">
        <v>1.55</v>
      </c>
      <c r="BD608">
        <v>1.7000000000000002</v>
      </c>
      <c r="BE608">
        <v>0.68</v>
      </c>
      <c r="BF608">
        <v>0.38000000000000006</v>
      </c>
      <c r="BG608">
        <v>0.53</v>
      </c>
      <c r="BH608">
        <v>493.19</v>
      </c>
      <c r="BI608">
        <v>477.19</v>
      </c>
      <c r="BJ608">
        <v>485.19</v>
      </c>
      <c r="BK608">
        <v>41.26</v>
      </c>
      <c r="BL608">
        <v>39.9</v>
      </c>
      <c r="BM608">
        <v>40.58</v>
      </c>
      <c r="BN608">
        <v>1.03</v>
      </c>
      <c r="BO608">
        <v>0.79</v>
      </c>
      <c r="BP608">
        <v>0.91</v>
      </c>
      <c r="BQ608">
        <v>8.92</v>
      </c>
      <c r="BR608">
        <v>6.92</v>
      </c>
      <c r="BS608">
        <v>7.92</v>
      </c>
      <c r="BT608">
        <v>10.85</v>
      </c>
      <c r="BU608">
        <v>10.45</v>
      </c>
      <c r="BV608">
        <v>10.649999999999999</v>
      </c>
      <c r="BW608">
        <v>2.76</v>
      </c>
      <c r="BX608">
        <v>2.4799999999999995</v>
      </c>
      <c r="BY608">
        <v>2.6199999999999997</v>
      </c>
      <c r="BZ608">
        <v>9.94</v>
      </c>
      <c r="CA608">
        <v>6.9399999999999995</v>
      </c>
      <c r="CB608">
        <v>8.44</v>
      </c>
      <c r="CC608">
        <v>7.15</v>
      </c>
      <c r="CD608">
        <v>6.91</v>
      </c>
      <c r="CE608">
        <v>7.03</v>
      </c>
      <c r="CF608">
        <v>2.08</v>
      </c>
      <c r="CG608">
        <v>1.58</v>
      </c>
      <c r="CH608">
        <v>1.83</v>
      </c>
      <c r="CI608">
        <v>0.46</v>
      </c>
      <c r="CJ608">
        <v>0.42000000000000004</v>
      </c>
      <c r="CK608">
        <v>0.44000000000000006</v>
      </c>
      <c r="CL608">
        <v>41.65</v>
      </c>
      <c r="CM608">
        <v>39.25</v>
      </c>
      <c r="CN608">
        <v>40.450000000000003</v>
      </c>
      <c r="CO608">
        <v>6.1</v>
      </c>
      <c r="CP608">
        <v>1.0999999999999996</v>
      </c>
      <c r="CQ608">
        <v>3.5999999999999996</v>
      </c>
    </row>
    <row r="609" spans="1:95">
      <c r="A609" s="228">
        <v>45895</v>
      </c>
      <c r="B609" t="s">
        <v>97</v>
      </c>
      <c r="C609">
        <v>148.16</v>
      </c>
      <c r="D609">
        <v>146.16</v>
      </c>
      <c r="E609">
        <v>147.16</v>
      </c>
      <c r="F609">
        <v>172.97</v>
      </c>
      <c r="G609">
        <v>169.97</v>
      </c>
      <c r="H609">
        <v>171.47</v>
      </c>
      <c r="I609">
        <v>107.88</v>
      </c>
      <c r="J609">
        <v>104.67999999999999</v>
      </c>
      <c r="K609">
        <v>106.28</v>
      </c>
      <c r="L609">
        <v>202.43</v>
      </c>
      <c r="M609">
        <v>194.43</v>
      </c>
      <c r="N609">
        <v>198.43</v>
      </c>
      <c r="O609">
        <v>184.12</v>
      </c>
      <c r="P609">
        <v>182.32</v>
      </c>
      <c r="Q609">
        <v>183.22</v>
      </c>
      <c r="R609">
        <v>23.27</v>
      </c>
      <c r="S609">
        <v>22.669999999999998</v>
      </c>
      <c r="T609">
        <v>22.97</v>
      </c>
      <c r="U609">
        <v>14.86</v>
      </c>
      <c r="V609">
        <v>14.26</v>
      </c>
      <c r="W609">
        <v>14.559999999999999</v>
      </c>
      <c r="X609">
        <v>15.79</v>
      </c>
      <c r="Y609">
        <v>14.989999999999998</v>
      </c>
      <c r="Z609">
        <v>15.389999999999999</v>
      </c>
      <c r="AA609">
        <v>97.52</v>
      </c>
      <c r="AB609">
        <v>93.52</v>
      </c>
      <c r="AC609">
        <v>95.52</v>
      </c>
      <c r="AD609">
        <v>88.16</v>
      </c>
      <c r="AE609">
        <v>84.16</v>
      </c>
      <c r="AF609">
        <v>86.16</v>
      </c>
      <c r="AG609">
        <v>19.28</v>
      </c>
      <c r="AH609">
        <v>18.420000000000002</v>
      </c>
      <c r="AI609">
        <v>18.850000000000001</v>
      </c>
      <c r="AM609">
        <v>115.44</v>
      </c>
      <c r="AN609">
        <v>113.78</v>
      </c>
      <c r="AO609">
        <v>114.61</v>
      </c>
      <c r="AP609">
        <v>40.11</v>
      </c>
      <c r="AQ609">
        <v>38.51</v>
      </c>
      <c r="AR609">
        <v>39.31</v>
      </c>
      <c r="AS609">
        <v>40.82</v>
      </c>
      <c r="AT609">
        <v>39.46</v>
      </c>
      <c r="AU609">
        <v>40.14</v>
      </c>
      <c r="AV609">
        <v>20.88</v>
      </c>
      <c r="AW609">
        <v>20.279999999999998</v>
      </c>
      <c r="AX609">
        <v>20.58</v>
      </c>
      <c r="AY609">
        <v>4.62</v>
      </c>
      <c r="AZ609">
        <v>4.46</v>
      </c>
      <c r="BA609">
        <v>4.54</v>
      </c>
      <c r="BB609">
        <v>1.84</v>
      </c>
      <c r="BC609">
        <v>1.54</v>
      </c>
      <c r="BD609">
        <v>1.69</v>
      </c>
      <c r="BE609">
        <v>0.67</v>
      </c>
      <c r="BF609">
        <v>0.37000000000000005</v>
      </c>
      <c r="BG609">
        <v>0.52</v>
      </c>
      <c r="BH609">
        <v>492.24</v>
      </c>
      <c r="BI609">
        <v>476.24</v>
      </c>
      <c r="BJ609">
        <v>484.24</v>
      </c>
      <c r="BK609">
        <v>40.950000000000003</v>
      </c>
      <c r="BL609">
        <v>39.590000000000003</v>
      </c>
      <c r="BM609">
        <v>40.270000000000003</v>
      </c>
      <c r="BN609">
        <v>1.03</v>
      </c>
      <c r="BO609">
        <v>0.79</v>
      </c>
      <c r="BP609">
        <v>0.91</v>
      </c>
      <c r="BQ609">
        <v>8.89</v>
      </c>
      <c r="BR609">
        <v>6.8900000000000006</v>
      </c>
      <c r="BS609">
        <v>7.8900000000000006</v>
      </c>
      <c r="BT609">
        <v>10.8</v>
      </c>
      <c r="BU609">
        <v>10.4</v>
      </c>
      <c r="BV609">
        <v>10.600000000000001</v>
      </c>
      <c r="BW609">
        <v>2.75</v>
      </c>
      <c r="BX609">
        <v>2.4699999999999998</v>
      </c>
      <c r="BY609">
        <v>2.61</v>
      </c>
      <c r="BZ609">
        <v>9.8699999999999992</v>
      </c>
      <c r="CA609">
        <v>6.8699999999999992</v>
      </c>
      <c r="CB609">
        <v>8.3699999999999992</v>
      </c>
      <c r="CC609">
        <v>7.11</v>
      </c>
      <c r="CD609">
        <v>6.87</v>
      </c>
      <c r="CE609">
        <v>6.99</v>
      </c>
      <c r="CF609">
        <v>2.08</v>
      </c>
      <c r="CG609">
        <v>1.58</v>
      </c>
      <c r="CH609">
        <v>1.83</v>
      </c>
      <c r="CI609">
        <v>0.45</v>
      </c>
      <c r="CJ609">
        <v>0.41000000000000003</v>
      </c>
      <c r="CK609">
        <v>0.43000000000000005</v>
      </c>
      <c r="CL609">
        <v>41.48</v>
      </c>
      <c r="CM609">
        <v>39.08</v>
      </c>
      <c r="CN609">
        <v>40.28</v>
      </c>
      <c r="CO609">
        <v>6.09</v>
      </c>
      <c r="CP609">
        <v>1.0899999999999999</v>
      </c>
      <c r="CQ609">
        <v>3.59</v>
      </c>
    </row>
    <row r="610" spans="1:95">
      <c r="A610" s="228">
        <v>45896</v>
      </c>
      <c r="B610" t="s">
        <v>98</v>
      </c>
      <c r="C610">
        <v>148.55000000000001</v>
      </c>
      <c r="D610">
        <v>146.55000000000001</v>
      </c>
      <c r="E610">
        <v>147.55000000000001</v>
      </c>
      <c r="F610">
        <v>173.12</v>
      </c>
      <c r="G610">
        <v>170.12</v>
      </c>
      <c r="H610">
        <v>171.62</v>
      </c>
      <c r="I610">
        <v>108.23</v>
      </c>
      <c r="J610">
        <v>105.03</v>
      </c>
      <c r="K610">
        <v>106.63</v>
      </c>
      <c r="L610">
        <v>202.71</v>
      </c>
      <c r="M610">
        <v>194.71</v>
      </c>
      <c r="N610">
        <v>198.71</v>
      </c>
      <c r="O610">
        <v>184.4</v>
      </c>
      <c r="P610">
        <v>182.6</v>
      </c>
      <c r="Q610">
        <v>183.5</v>
      </c>
      <c r="R610">
        <v>23.29</v>
      </c>
      <c r="S610">
        <v>22.689999999999998</v>
      </c>
      <c r="T610">
        <v>22.99</v>
      </c>
      <c r="U610">
        <v>14.85</v>
      </c>
      <c r="V610">
        <v>14.25</v>
      </c>
      <c r="W610">
        <v>14.55</v>
      </c>
      <c r="X610">
        <v>15.83</v>
      </c>
      <c r="Y610">
        <v>15.03</v>
      </c>
      <c r="Z610">
        <v>15.43</v>
      </c>
      <c r="AA610">
        <v>97.77</v>
      </c>
      <c r="AB610">
        <v>93.77</v>
      </c>
      <c r="AC610">
        <v>95.77</v>
      </c>
      <c r="AD610">
        <v>88.41</v>
      </c>
      <c r="AE610">
        <v>84.41</v>
      </c>
      <c r="AF610">
        <v>86.41</v>
      </c>
      <c r="AG610">
        <v>19.38</v>
      </c>
      <c r="AH610">
        <v>18.52</v>
      </c>
      <c r="AI610">
        <v>18.95</v>
      </c>
      <c r="AM610">
        <v>115.53</v>
      </c>
      <c r="AN610">
        <v>113.87</v>
      </c>
      <c r="AO610">
        <v>114.7</v>
      </c>
      <c r="AP610">
        <v>40.21</v>
      </c>
      <c r="AQ610">
        <v>38.61</v>
      </c>
      <c r="AR610">
        <v>39.409999999999997</v>
      </c>
      <c r="AS610">
        <v>40.92</v>
      </c>
      <c r="AT610">
        <v>39.56</v>
      </c>
      <c r="AU610">
        <v>40.24</v>
      </c>
      <c r="AV610">
        <v>20.92</v>
      </c>
      <c r="AW610">
        <v>20.32</v>
      </c>
      <c r="AX610">
        <v>20.62</v>
      </c>
      <c r="AY610">
        <v>4.63</v>
      </c>
      <c r="AZ610">
        <v>4.47</v>
      </c>
      <c r="BA610">
        <v>4.55</v>
      </c>
      <c r="BB610">
        <v>1.84</v>
      </c>
      <c r="BC610">
        <v>1.54</v>
      </c>
      <c r="BD610">
        <v>1.69</v>
      </c>
      <c r="BE610">
        <v>0.68</v>
      </c>
      <c r="BF610">
        <v>0.38000000000000006</v>
      </c>
      <c r="BG610">
        <v>0.53</v>
      </c>
      <c r="BH610">
        <v>493.36</v>
      </c>
      <c r="BI610">
        <v>477.36</v>
      </c>
      <c r="BJ610">
        <v>485.36</v>
      </c>
      <c r="BK610">
        <v>41.28</v>
      </c>
      <c r="BL610">
        <v>39.92</v>
      </c>
      <c r="BM610">
        <v>40.6</v>
      </c>
      <c r="BN610">
        <v>1.03</v>
      </c>
      <c r="BO610">
        <v>0.79</v>
      </c>
      <c r="BP610">
        <v>0.91</v>
      </c>
      <c r="BQ610">
        <v>8.91</v>
      </c>
      <c r="BR610">
        <v>6.91</v>
      </c>
      <c r="BS610">
        <v>7.91</v>
      </c>
      <c r="BT610">
        <v>10.78</v>
      </c>
      <c r="BU610">
        <v>10.379999999999999</v>
      </c>
      <c r="BV610">
        <v>10.579999999999998</v>
      </c>
      <c r="BW610">
        <v>2.75</v>
      </c>
      <c r="BX610">
        <v>2.4699999999999998</v>
      </c>
      <c r="BY610">
        <v>2.61</v>
      </c>
      <c r="BZ610">
        <v>9.86</v>
      </c>
      <c r="CA610">
        <v>6.8599999999999994</v>
      </c>
      <c r="CB610">
        <v>8.36</v>
      </c>
      <c r="CC610">
        <v>7.12</v>
      </c>
      <c r="CD610">
        <v>6.88</v>
      </c>
      <c r="CE610">
        <v>7</v>
      </c>
      <c r="CF610">
        <v>2.09</v>
      </c>
      <c r="CG610">
        <v>1.5899999999999999</v>
      </c>
      <c r="CH610">
        <v>1.8399999999999999</v>
      </c>
      <c r="CI610">
        <v>0.45</v>
      </c>
      <c r="CJ610">
        <v>0.41000000000000003</v>
      </c>
      <c r="CK610">
        <v>0.43000000000000005</v>
      </c>
      <c r="CL610">
        <v>41.51</v>
      </c>
      <c r="CM610">
        <v>39.11</v>
      </c>
      <c r="CN610">
        <v>40.31</v>
      </c>
      <c r="CO610">
        <v>6.1</v>
      </c>
      <c r="CP610">
        <v>1.0999999999999996</v>
      </c>
      <c r="CQ610">
        <v>3.5999999999999996</v>
      </c>
    </row>
    <row r="611" spans="1:95">
      <c r="A611" s="228">
        <v>45897</v>
      </c>
      <c r="B611" t="s">
        <v>99</v>
      </c>
      <c r="C611">
        <v>148.41999999999999</v>
      </c>
      <c r="D611">
        <v>146.41999999999999</v>
      </c>
      <c r="E611">
        <v>147.41999999999999</v>
      </c>
      <c r="F611">
        <v>173.11</v>
      </c>
      <c r="G611">
        <v>170.11</v>
      </c>
      <c r="H611">
        <v>171.61</v>
      </c>
      <c r="I611">
        <v>108.57</v>
      </c>
      <c r="J611">
        <v>105.36999999999999</v>
      </c>
      <c r="K611">
        <v>106.97</v>
      </c>
      <c r="L611">
        <v>203.11</v>
      </c>
      <c r="M611">
        <v>195.11</v>
      </c>
      <c r="N611">
        <v>199.11</v>
      </c>
      <c r="O611">
        <v>184.67</v>
      </c>
      <c r="P611">
        <v>182.86999999999998</v>
      </c>
      <c r="Q611">
        <v>183.76999999999998</v>
      </c>
      <c r="R611">
        <v>23.29</v>
      </c>
      <c r="S611">
        <v>22.689999999999998</v>
      </c>
      <c r="T611">
        <v>22.99</v>
      </c>
      <c r="U611">
        <v>14.94</v>
      </c>
      <c r="V611">
        <v>14.34</v>
      </c>
      <c r="W611">
        <v>14.64</v>
      </c>
      <c r="X611">
        <v>15.87</v>
      </c>
      <c r="Y611">
        <v>15.069999999999999</v>
      </c>
      <c r="Z611">
        <v>15.469999999999999</v>
      </c>
      <c r="AA611">
        <v>98</v>
      </c>
      <c r="AB611">
        <v>94</v>
      </c>
      <c r="AC611">
        <v>96</v>
      </c>
      <c r="AD611">
        <v>88.37</v>
      </c>
      <c r="AE611">
        <v>84.37</v>
      </c>
      <c r="AF611">
        <v>86.37</v>
      </c>
      <c r="AG611">
        <v>19.37</v>
      </c>
      <c r="AH611">
        <v>18.510000000000002</v>
      </c>
      <c r="AI611">
        <v>18.940000000000001</v>
      </c>
      <c r="AM611">
        <v>115.52</v>
      </c>
      <c r="AN611">
        <v>113.86</v>
      </c>
      <c r="AO611">
        <v>114.69</v>
      </c>
      <c r="AP611">
        <v>40.18</v>
      </c>
      <c r="AQ611">
        <v>38.58</v>
      </c>
      <c r="AR611">
        <v>39.379999999999995</v>
      </c>
      <c r="AS611">
        <v>40.89</v>
      </c>
      <c r="AT611">
        <v>39.53</v>
      </c>
      <c r="AU611">
        <v>40.21</v>
      </c>
      <c r="AV611">
        <v>20.91</v>
      </c>
      <c r="AW611">
        <v>20.309999999999999</v>
      </c>
      <c r="AX611">
        <v>20.61</v>
      </c>
      <c r="AY611">
        <v>4.63</v>
      </c>
      <c r="AZ611">
        <v>4.47</v>
      </c>
      <c r="BA611">
        <v>4.55</v>
      </c>
      <c r="BB611">
        <v>1.84</v>
      </c>
      <c r="BC611">
        <v>1.54</v>
      </c>
      <c r="BD611">
        <v>1.69</v>
      </c>
      <c r="BE611">
        <v>0.68</v>
      </c>
      <c r="BF611">
        <v>0.38000000000000006</v>
      </c>
      <c r="BG611">
        <v>0.53</v>
      </c>
      <c r="BH611">
        <v>488.04</v>
      </c>
      <c r="BI611">
        <v>472.04</v>
      </c>
      <c r="BJ611">
        <v>480.04</v>
      </c>
      <c r="BK611">
        <v>41.25</v>
      </c>
      <c r="BL611">
        <v>39.89</v>
      </c>
      <c r="BM611">
        <v>40.57</v>
      </c>
      <c r="BN611">
        <v>1.02</v>
      </c>
      <c r="BO611">
        <v>0.78</v>
      </c>
      <c r="BP611">
        <v>0.9</v>
      </c>
      <c r="BQ611">
        <v>8.91</v>
      </c>
      <c r="BR611">
        <v>6.91</v>
      </c>
      <c r="BS611">
        <v>7.91</v>
      </c>
      <c r="BT611">
        <v>10.82</v>
      </c>
      <c r="BU611">
        <v>10.42</v>
      </c>
      <c r="BV611">
        <v>10.620000000000001</v>
      </c>
      <c r="BW611">
        <v>2.75</v>
      </c>
      <c r="BX611">
        <v>2.4699999999999998</v>
      </c>
      <c r="BY611">
        <v>2.61</v>
      </c>
      <c r="BZ611">
        <v>9.83</v>
      </c>
      <c r="CA611">
        <v>6.83</v>
      </c>
      <c r="CB611">
        <v>8.33</v>
      </c>
      <c r="CC611">
        <v>7.12</v>
      </c>
      <c r="CD611">
        <v>6.88</v>
      </c>
      <c r="CE611">
        <v>7</v>
      </c>
      <c r="CF611">
        <v>2.09</v>
      </c>
      <c r="CG611">
        <v>1.5899999999999999</v>
      </c>
      <c r="CH611">
        <v>1.8399999999999999</v>
      </c>
      <c r="CI611">
        <v>0.45</v>
      </c>
      <c r="CJ611">
        <v>0.41000000000000003</v>
      </c>
      <c r="CK611">
        <v>0.43000000000000005</v>
      </c>
      <c r="CL611">
        <v>41.48</v>
      </c>
      <c r="CM611">
        <v>39.08</v>
      </c>
      <c r="CN611">
        <v>40.28</v>
      </c>
      <c r="CO611">
        <v>6.09</v>
      </c>
      <c r="CP611">
        <v>1.0899999999999999</v>
      </c>
      <c r="CQ611">
        <v>3.59</v>
      </c>
    </row>
    <row r="612" spans="1:95">
      <c r="A612" s="228">
        <v>45898</v>
      </c>
      <c r="B612" t="s">
        <v>100</v>
      </c>
      <c r="C612">
        <v>147.91999999999999</v>
      </c>
      <c r="D612">
        <v>145.91999999999999</v>
      </c>
      <c r="E612">
        <v>146.91999999999999</v>
      </c>
      <c r="F612">
        <v>172.97</v>
      </c>
      <c r="G612">
        <v>169.97</v>
      </c>
      <c r="H612">
        <v>171.47</v>
      </c>
      <c r="I612">
        <v>108.44</v>
      </c>
      <c r="J612">
        <v>105.24</v>
      </c>
      <c r="K612">
        <v>106.84</v>
      </c>
      <c r="L612">
        <v>202.47</v>
      </c>
      <c r="M612">
        <v>194.47</v>
      </c>
      <c r="N612">
        <v>198.47</v>
      </c>
      <c r="O612">
        <v>184.09</v>
      </c>
      <c r="P612">
        <v>182.29</v>
      </c>
      <c r="Q612">
        <v>183.19</v>
      </c>
      <c r="R612">
        <v>23.27</v>
      </c>
      <c r="S612">
        <v>22.669999999999998</v>
      </c>
      <c r="T612">
        <v>22.97</v>
      </c>
      <c r="U612">
        <v>14.89</v>
      </c>
      <c r="V612">
        <v>14.290000000000001</v>
      </c>
      <c r="W612">
        <v>14.59</v>
      </c>
      <c r="X612">
        <v>15.89</v>
      </c>
      <c r="Y612">
        <v>15.09</v>
      </c>
      <c r="Z612">
        <v>15.49</v>
      </c>
      <c r="AA612">
        <v>97.98</v>
      </c>
      <c r="AB612">
        <v>93.98</v>
      </c>
      <c r="AC612">
        <v>95.98</v>
      </c>
      <c r="AD612">
        <v>88.46</v>
      </c>
      <c r="AE612">
        <v>84.46</v>
      </c>
      <c r="AF612">
        <v>86.46</v>
      </c>
      <c r="AG612">
        <v>19.29</v>
      </c>
      <c r="AH612">
        <v>18.43</v>
      </c>
      <c r="AI612">
        <v>18.86</v>
      </c>
      <c r="AM612">
        <v>115.36</v>
      </c>
      <c r="AN612">
        <v>113.7</v>
      </c>
      <c r="AO612">
        <v>114.53</v>
      </c>
      <c r="AP612">
        <v>40.04</v>
      </c>
      <c r="AQ612">
        <v>38.44</v>
      </c>
      <c r="AR612">
        <v>39.239999999999995</v>
      </c>
      <c r="AS612">
        <v>40.75</v>
      </c>
      <c r="AT612">
        <v>39.39</v>
      </c>
      <c r="AU612">
        <v>40.07</v>
      </c>
      <c r="AV612">
        <v>20.93</v>
      </c>
      <c r="AW612">
        <v>20.329999999999998</v>
      </c>
      <c r="AX612">
        <v>20.63</v>
      </c>
      <c r="AY612">
        <v>4.63</v>
      </c>
      <c r="AZ612">
        <v>4.47</v>
      </c>
      <c r="BA612">
        <v>4.55</v>
      </c>
      <c r="BB612">
        <v>1.84</v>
      </c>
      <c r="BC612">
        <v>1.54</v>
      </c>
      <c r="BD612">
        <v>1.69</v>
      </c>
      <c r="BE612">
        <v>0.67</v>
      </c>
      <c r="BF612">
        <v>0.37000000000000005</v>
      </c>
      <c r="BG612">
        <v>0.52</v>
      </c>
      <c r="BH612">
        <v>486.57</v>
      </c>
      <c r="BI612">
        <v>470.57</v>
      </c>
      <c r="BJ612">
        <v>478.57</v>
      </c>
      <c r="BK612">
        <v>41.11</v>
      </c>
      <c r="BL612">
        <v>39.75</v>
      </c>
      <c r="BM612">
        <v>40.43</v>
      </c>
      <c r="BN612">
        <v>1.02</v>
      </c>
      <c r="BO612">
        <v>0.78</v>
      </c>
      <c r="BP612">
        <v>0.9</v>
      </c>
      <c r="BQ612">
        <v>8.8800000000000008</v>
      </c>
      <c r="BR612">
        <v>6.8800000000000008</v>
      </c>
      <c r="BS612">
        <v>7.8800000000000008</v>
      </c>
      <c r="BT612">
        <v>10.82</v>
      </c>
      <c r="BU612">
        <v>10.42</v>
      </c>
      <c r="BV612">
        <v>10.620000000000001</v>
      </c>
      <c r="BW612">
        <v>2.74</v>
      </c>
      <c r="BX612">
        <v>2.46</v>
      </c>
      <c r="BY612">
        <v>2.6</v>
      </c>
      <c r="BZ612">
        <v>9.81</v>
      </c>
      <c r="CA612">
        <v>6.8100000000000005</v>
      </c>
      <c r="CB612">
        <v>8.31</v>
      </c>
      <c r="CC612">
        <v>7.11</v>
      </c>
      <c r="CD612">
        <v>6.87</v>
      </c>
      <c r="CE612">
        <v>6.99</v>
      </c>
      <c r="CF612">
        <v>2.08</v>
      </c>
      <c r="CG612">
        <v>1.58</v>
      </c>
      <c r="CH612">
        <v>1.83</v>
      </c>
      <c r="CI612">
        <v>0.45</v>
      </c>
      <c r="CJ612">
        <v>0.41000000000000003</v>
      </c>
      <c r="CK612">
        <v>0.43000000000000005</v>
      </c>
      <c r="CL612">
        <v>41.43</v>
      </c>
      <c r="CM612">
        <v>39.03</v>
      </c>
      <c r="CN612">
        <v>40.230000000000004</v>
      </c>
      <c r="CO612">
        <v>6.08</v>
      </c>
      <c r="CP612">
        <v>1.08</v>
      </c>
      <c r="CQ612">
        <v>3.58</v>
      </c>
    </row>
    <row r="613" spans="1:95">
      <c r="A613" s="228">
        <v>45899</v>
      </c>
      <c r="B613" t="s">
        <v>307</v>
      </c>
    </row>
    <row r="614" spans="1:95">
      <c r="A614" s="228">
        <v>45900</v>
      </c>
      <c r="B614" t="s">
        <v>308</v>
      </c>
    </row>
    <row r="615" spans="1:95">
      <c r="A615" s="228">
        <v>45901</v>
      </c>
      <c r="B615" t="s">
        <v>96</v>
      </c>
      <c r="C615">
        <v>148.28</v>
      </c>
      <c r="D615">
        <v>146.28</v>
      </c>
      <c r="E615">
        <v>147.28</v>
      </c>
      <c r="F615">
        <v>173.74</v>
      </c>
      <c r="G615">
        <v>170.74</v>
      </c>
      <c r="H615">
        <v>172.24</v>
      </c>
      <c r="I615">
        <v>108.83</v>
      </c>
      <c r="J615">
        <v>105.63</v>
      </c>
      <c r="K615">
        <v>107.22999999999999</v>
      </c>
      <c r="L615">
        <v>203.11</v>
      </c>
      <c r="M615">
        <v>195.11</v>
      </c>
      <c r="N615">
        <v>199.11</v>
      </c>
      <c r="O615">
        <v>184.79</v>
      </c>
      <c r="P615">
        <v>182.98999999999998</v>
      </c>
      <c r="Q615">
        <v>183.89</v>
      </c>
      <c r="R615">
        <v>23.37</v>
      </c>
      <c r="S615">
        <v>22.77</v>
      </c>
      <c r="T615">
        <v>23.07</v>
      </c>
      <c r="U615">
        <v>14.93</v>
      </c>
      <c r="V615">
        <v>14.33</v>
      </c>
      <c r="W615">
        <v>14.629999999999999</v>
      </c>
      <c r="X615">
        <v>15.99</v>
      </c>
      <c r="Y615">
        <v>15.19</v>
      </c>
      <c r="Z615">
        <v>15.59</v>
      </c>
      <c r="AA615">
        <v>98.45</v>
      </c>
      <c r="AB615">
        <v>94.45</v>
      </c>
      <c r="AC615">
        <v>96.45</v>
      </c>
      <c r="AD615">
        <v>88.98</v>
      </c>
      <c r="AE615">
        <v>84.98</v>
      </c>
      <c r="AF615">
        <v>86.98</v>
      </c>
      <c r="AG615">
        <v>19.329999999999998</v>
      </c>
      <c r="AH615">
        <v>18.47</v>
      </c>
      <c r="AI615">
        <v>18.899999999999999</v>
      </c>
      <c r="AM615">
        <v>115.57</v>
      </c>
      <c r="AN615">
        <v>113.91</v>
      </c>
      <c r="AO615">
        <v>114.74</v>
      </c>
      <c r="AP615">
        <v>40.130000000000003</v>
      </c>
      <c r="AQ615">
        <v>38.53</v>
      </c>
      <c r="AR615">
        <v>39.33</v>
      </c>
      <c r="AS615">
        <v>40.85</v>
      </c>
      <c r="AT615">
        <v>39.49</v>
      </c>
      <c r="AU615">
        <v>40.17</v>
      </c>
      <c r="AV615">
        <v>20.97</v>
      </c>
      <c r="AW615">
        <v>20.369999999999997</v>
      </c>
      <c r="AX615">
        <v>20.669999999999998</v>
      </c>
      <c r="AY615">
        <v>4.63</v>
      </c>
      <c r="AZ615">
        <v>4.47</v>
      </c>
      <c r="BA615">
        <v>4.55</v>
      </c>
      <c r="BB615">
        <v>1.83</v>
      </c>
      <c r="BC615">
        <v>1.53</v>
      </c>
      <c r="BD615">
        <v>1.6800000000000002</v>
      </c>
      <c r="BE615">
        <v>0.67</v>
      </c>
      <c r="BF615">
        <v>0.37000000000000005</v>
      </c>
      <c r="BG615">
        <v>0.52</v>
      </c>
      <c r="BH615">
        <v>492.63</v>
      </c>
      <c r="BI615">
        <v>476.63</v>
      </c>
      <c r="BJ615">
        <v>484.63</v>
      </c>
      <c r="BK615">
        <v>41.21</v>
      </c>
      <c r="BL615">
        <v>39.85</v>
      </c>
      <c r="BM615">
        <v>40.53</v>
      </c>
      <c r="BN615">
        <v>1.02</v>
      </c>
      <c r="BO615">
        <v>0.78</v>
      </c>
      <c r="BP615">
        <v>0.9</v>
      </c>
      <c r="BQ615">
        <v>8.89</v>
      </c>
      <c r="BR615">
        <v>6.8900000000000006</v>
      </c>
      <c r="BS615">
        <v>7.8900000000000006</v>
      </c>
      <c r="BT615">
        <v>10.79</v>
      </c>
      <c r="BU615">
        <v>10.389999999999999</v>
      </c>
      <c r="BV615">
        <v>10.59</v>
      </c>
      <c r="BW615">
        <v>2.75</v>
      </c>
      <c r="BX615">
        <v>2.4699999999999998</v>
      </c>
      <c r="BY615">
        <v>2.61</v>
      </c>
      <c r="BZ615">
        <v>9.84</v>
      </c>
      <c r="CA615">
        <v>6.84</v>
      </c>
      <c r="CB615">
        <v>8.34</v>
      </c>
      <c r="CC615">
        <v>7.17</v>
      </c>
      <c r="CD615">
        <v>6.93</v>
      </c>
      <c r="CE615">
        <v>7.05</v>
      </c>
      <c r="CF615">
        <v>2.1</v>
      </c>
      <c r="CG615">
        <v>1.6</v>
      </c>
      <c r="CH615">
        <v>1.85</v>
      </c>
      <c r="CI615">
        <v>0.45</v>
      </c>
      <c r="CJ615">
        <v>0.41000000000000003</v>
      </c>
      <c r="CK615">
        <v>0.43000000000000005</v>
      </c>
      <c r="CL615">
        <v>41.63</v>
      </c>
      <c r="CM615">
        <v>39.230000000000004</v>
      </c>
      <c r="CN615">
        <v>40.430000000000007</v>
      </c>
      <c r="CO615">
        <v>6.08</v>
      </c>
      <c r="CP615">
        <v>1.08</v>
      </c>
      <c r="CQ615">
        <v>3.58</v>
      </c>
    </row>
    <row r="616" spans="1:95">
      <c r="A616" s="228">
        <v>45902</v>
      </c>
      <c r="B616" t="s">
        <v>97</v>
      </c>
      <c r="C616">
        <v>148.34</v>
      </c>
      <c r="D616">
        <v>146.34</v>
      </c>
      <c r="E616">
        <v>147.34</v>
      </c>
      <c r="F616">
        <v>173.92</v>
      </c>
      <c r="G616">
        <v>170.92</v>
      </c>
      <c r="H616">
        <v>172.42</v>
      </c>
      <c r="I616">
        <v>108.77</v>
      </c>
      <c r="J616">
        <v>105.57</v>
      </c>
      <c r="K616">
        <v>107.16999999999999</v>
      </c>
      <c r="L616">
        <v>203.48</v>
      </c>
      <c r="M616">
        <v>195.48</v>
      </c>
      <c r="N616">
        <v>199.48</v>
      </c>
      <c r="O616">
        <v>184.75</v>
      </c>
      <c r="P616">
        <v>182.95</v>
      </c>
      <c r="Q616">
        <v>183.85</v>
      </c>
      <c r="R616">
        <v>23.4</v>
      </c>
      <c r="S616">
        <v>22.799999999999997</v>
      </c>
      <c r="T616">
        <v>23.099999999999998</v>
      </c>
      <c r="U616">
        <v>15.05</v>
      </c>
      <c r="V616">
        <v>14.450000000000001</v>
      </c>
      <c r="W616">
        <v>14.75</v>
      </c>
      <c r="X616">
        <v>16.079999999999998</v>
      </c>
      <c r="Y616">
        <v>15.279999999999998</v>
      </c>
      <c r="Z616">
        <v>15.679999999999998</v>
      </c>
      <c r="AA616">
        <v>98.54</v>
      </c>
      <c r="AB616">
        <v>94.54</v>
      </c>
      <c r="AC616">
        <v>96.54</v>
      </c>
      <c r="AD616">
        <v>88.96</v>
      </c>
      <c r="AE616">
        <v>84.96</v>
      </c>
      <c r="AF616">
        <v>86.96</v>
      </c>
      <c r="AG616">
        <v>19.329999999999998</v>
      </c>
      <c r="AH616">
        <v>18.47</v>
      </c>
      <c r="AI616">
        <v>18.899999999999999</v>
      </c>
      <c r="AM616">
        <v>115.54</v>
      </c>
      <c r="AN616">
        <v>113.88000000000001</v>
      </c>
      <c r="AO616">
        <v>114.71000000000001</v>
      </c>
      <c r="AP616">
        <v>40.14</v>
      </c>
      <c r="AQ616">
        <v>38.54</v>
      </c>
      <c r="AR616">
        <v>39.340000000000003</v>
      </c>
      <c r="AS616">
        <v>40.86</v>
      </c>
      <c r="AT616">
        <v>39.5</v>
      </c>
      <c r="AU616">
        <v>40.18</v>
      </c>
      <c r="AV616">
        <v>20.95</v>
      </c>
      <c r="AW616">
        <v>20.349999999999998</v>
      </c>
      <c r="AX616">
        <v>20.65</v>
      </c>
      <c r="AY616">
        <v>4.6399999999999997</v>
      </c>
      <c r="AZ616">
        <v>4.4799999999999995</v>
      </c>
      <c r="BA616">
        <v>4.5599999999999996</v>
      </c>
      <c r="BB616">
        <v>1.83</v>
      </c>
      <c r="BC616">
        <v>1.53</v>
      </c>
      <c r="BD616">
        <v>1.6800000000000002</v>
      </c>
      <c r="BE616">
        <v>0.67</v>
      </c>
      <c r="BF616">
        <v>0.37000000000000005</v>
      </c>
      <c r="BG616">
        <v>0.52</v>
      </c>
      <c r="BH616">
        <v>492.67</v>
      </c>
      <c r="BI616">
        <v>476.67</v>
      </c>
      <c r="BJ616">
        <v>484.67</v>
      </c>
      <c r="BK616">
        <v>41.22</v>
      </c>
      <c r="BL616">
        <v>39.86</v>
      </c>
      <c r="BM616">
        <v>40.54</v>
      </c>
      <c r="BN616">
        <v>1.02</v>
      </c>
      <c r="BO616">
        <v>0.78</v>
      </c>
      <c r="BP616">
        <v>0.9</v>
      </c>
      <c r="BQ616">
        <v>8.9</v>
      </c>
      <c r="BR616">
        <v>6.9</v>
      </c>
      <c r="BS616">
        <v>7.9</v>
      </c>
      <c r="BT616">
        <v>10.77</v>
      </c>
      <c r="BU616">
        <v>10.37</v>
      </c>
      <c r="BV616">
        <v>10.57</v>
      </c>
      <c r="BW616">
        <v>2.75</v>
      </c>
      <c r="BX616">
        <v>2.4699999999999998</v>
      </c>
      <c r="BY616">
        <v>2.61</v>
      </c>
      <c r="BZ616">
        <v>9.8800000000000008</v>
      </c>
      <c r="CA616">
        <v>6.8800000000000008</v>
      </c>
      <c r="CB616">
        <v>8.3800000000000008</v>
      </c>
      <c r="CC616">
        <v>7.18</v>
      </c>
      <c r="CD616">
        <v>6.9399999999999995</v>
      </c>
      <c r="CE616">
        <v>7.06</v>
      </c>
      <c r="CF616">
        <v>2.08</v>
      </c>
      <c r="CG616">
        <v>1.58</v>
      </c>
      <c r="CH616">
        <v>1.83</v>
      </c>
      <c r="CI616">
        <v>0.46</v>
      </c>
      <c r="CJ616">
        <v>0.42000000000000004</v>
      </c>
      <c r="CK616">
        <v>0.44000000000000006</v>
      </c>
      <c r="CL616">
        <v>41.65</v>
      </c>
      <c r="CM616">
        <v>39.25</v>
      </c>
      <c r="CN616">
        <v>40.450000000000003</v>
      </c>
      <c r="CO616">
        <v>6.08</v>
      </c>
      <c r="CP616">
        <v>1.08</v>
      </c>
      <c r="CQ616">
        <v>3.58</v>
      </c>
    </row>
    <row r="617" spans="1:95">
      <c r="A617" s="228">
        <v>45903</v>
      </c>
      <c r="B617" t="s">
        <v>98</v>
      </c>
      <c r="C617">
        <v>149.79</v>
      </c>
      <c r="D617">
        <v>147.79</v>
      </c>
      <c r="E617">
        <v>148.79</v>
      </c>
      <c r="F617">
        <v>174.63</v>
      </c>
      <c r="G617">
        <v>171.63</v>
      </c>
      <c r="H617">
        <v>173.13</v>
      </c>
      <c r="I617">
        <v>109.5</v>
      </c>
      <c r="J617">
        <v>106.3</v>
      </c>
      <c r="K617">
        <v>107.9</v>
      </c>
      <c r="L617">
        <v>203.02</v>
      </c>
      <c r="M617">
        <v>195.02</v>
      </c>
      <c r="N617">
        <v>199.02</v>
      </c>
      <c r="O617">
        <v>185.66</v>
      </c>
      <c r="P617">
        <v>183.85999999999999</v>
      </c>
      <c r="Q617">
        <v>184.76</v>
      </c>
      <c r="R617">
        <v>23.5</v>
      </c>
      <c r="S617">
        <v>22.9</v>
      </c>
      <c r="T617">
        <v>23.2</v>
      </c>
      <c r="U617">
        <v>15.12</v>
      </c>
      <c r="V617">
        <v>14.52</v>
      </c>
      <c r="W617">
        <v>14.82</v>
      </c>
      <c r="X617">
        <v>16.13</v>
      </c>
      <c r="Y617">
        <v>15.329999999999998</v>
      </c>
      <c r="Z617">
        <v>15.729999999999999</v>
      </c>
      <c r="AA617">
        <v>98.94</v>
      </c>
      <c r="AB617">
        <v>94.94</v>
      </c>
      <c r="AC617">
        <v>96.94</v>
      </c>
      <c r="AD617">
        <v>89.16</v>
      </c>
      <c r="AE617">
        <v>85.16</v>
      </c>
      <c r="AF617">
        <v>87.16</v>
      </c>
      <c r="AG617">
        <v>19.489999999999998</v>
      </c>
      <c r="AH617">
        <v>18.63</v>
      </c>
      <c r="AI617">
        <v>19.059999999999999</v>
      </c>
      <c r="AM617">
        <v>116.22</v>
      </c>
      <c r="AN617">
        <v>114.56</v>
      </c>
      <c r="AO617">
        <v>115.39</v>
      </c>
      <c r="AP617">
        <v>40.54</v>
      </c>
      <c r="AQ617">
        <v>38.94</v>
      </c>
      <c r="AR617">
        <v>39.739999999999995</v>
      </c>
      <c r="AS617">
        <v>41.27</v>
      </c>
      <c r="AT617">
        <v>39.910000000000004</v>
      </c>
      <c r="AU617">
        <v>40.590000000000003</v>
      </c>
      <c r="AV617">
        <v>21.14</v>
      </c>
      <c r="AW617">
        <v>20.54</v>
      </c>
      <c r="AX617">
        <v>20.84</v>
      </c>
      <c r="AY617">
        <v>4.68</v>
      </c>
      <c r="AZ617">
        <v>4.5199999999999996</v>
      </c>
      <c r="BA617">
        <v>4.5999999999999996</v>
      </c>
      <c r="BB617">
        <v>1.85</v>
      </c>
      <c r="BC617">
        <v>1.55</v>
      </c>
      <c r="BD617">
        <v>1.7000000000000002</v>
      </c>
      <c r="BE617">
        <v>0.68</v>
      </c>
      <c r="BF617">
        <v>0.38000000000000006</v>
      </c>
      <c r="BG617">
        <v>0.53</v>
      </c>
      <c r="BH617">
        <v>496.8</v>
      </c>
      <c r="BI617">
        <v>480.8</v>
      </c>
      <c r="BJ617">
        <v>488.8</v>
      </c>
      <c r="BK617">
        <v>41.62</v>
      </c>
      <c r="BL617">
        <v>40.26</v>
      </c>
      <c r="BM617">
        <v>40.94</v>
      </c>
      <c r="BN617">
        <v>1.03</v>
      </c>
      <c r="BO617">
        <v>0.79</v>
      </c>
      <c r="BP617">
        <v>0.91</v>
      </c>
      <c r="BQ617">
        <v>8.94</v>
      </c>
      <c r="BR617">
        <v>6.9399999999999995</v>
      </c>
      <c r="BS617">
        <v>7.9399999999999995</v>
      </c>
      <c r="BT617">
        <v>10.87</v>
      </c>
      <c r="BU617">
        <v>10.469999999999999</v>
      </c>
      <c r="BV617">
        <v>10.669999999999998</v>
      </c>
      <c r="BW617">
        <v>2.75</v>
      </c>
      <c r="BX617">
        <v>2.4699999999999998</v>
      </c>
      <c r="BY617">
        <v>2.61</v>
      </c>
      <c r="BZ617">
        <v>9.9</v>
      </c>
      <c r="CA617">
        <v>6.9</v>
      </c>
      <c r="CB617">
        <v>8.4</v>
      </c>
      <c r="CC617">
        <v>7.19</v>
      </c>
      <c r="CD617">
        <v>6.95</v>
      </c>
      <c r="CE617">
        <v>7.07</v>
      </c>
      <c r="CF617">
        <v>2.1</v>
      </c>
      <c r="CG617">
        <v>1.6</v>
      </c>
      <c r="CH617">
        <v>1.85</v>
      </c>
      <c r="CI617">
        <v>0.46</v>
      </c>
      <c r="CJ617">
        <v>0.42000000000000004</v>
      </c>
      <c r="CK617">
        <v>0.44000000000000006</v>
      </c>
      <c r="CL617">
        <v>41.8</v>
      </c>
      <c r="CM617">
        <v>39.4</v>
      </c>
      <c r="CN617">
        <v>40.599999999999994</v>
      </c>
      <c r="CO617">
        <v>6.12</v>
      </c>
      <c r="CP617">
        <v>1.1200000000000001</v>
      </c>
      <c r="CQ617">
        <v>3.62</v>
      </c>
    </row>
    <row r="618" spans="1:95">
      <c r="A618" s="228">
        <v>45904</v>
      </c>
      <c r="B618" t="s">
        <v>99</v>
      </c>
      <c r="C618">
        <v>149.02000000000001</v>
      </c>
      <c r="D618">
        <v>147.02000000000001</v>
      </c>
      <c r="E618">
        <v>148.02000000000001</v>
      </c>
      <c r="F618">
        <v>174</v>
      </c>
      <c r="G618">
        <v>171</v>
      </c>
      <c r="H618">
        <v>172.5</v>
      </c>
      <c r="I618">
        <v>108.9</v>
      </c>
      <c r="J618">
        <v>105.7</v>
      </c>
      <c r="K618">
        <v>107.30000000000001</v>
      </c>
      <c r="L618">
        <v>202.95</v>
      </c>
      <c r="M618">
        <v>194.95</v>
      </c>
      <c r="N618">
        <v>198.95</v>
      </c>
      <c r="O618">
        <v>184.91</v>
      </c>
      <c r="P618">
        <v>183.10999999999999</v>
      </c>
      <c r="Q618">
        <v>184.01</v>
      </c>
      <c r="R618">
        <v>23.41</v>
      </c>
      <c r="S618">
        <v>22.81</v>
      </c>
      <c r="T618">
        <v>23.11</v>
      </c>
      <c r="U618">
        <v>15.03</v>
      </c>
      <c r="V618">
        <v>14.43</v>
      </c>
      <c r="W618">
        <v>14.73</v>
      </c>
      <c r="X618">
        <v>16.09</v>
      </c>
      <c r="Y618">
        <v>15.29</v>
      </c>
      <c r="Z618">
        <v>15.69</v>
      </c>
      <c r="AA618">
        <v>98.94</v>
      </c>
      <c r="AB618">
        <v>94.94</v>
      </c>
      <c r="AC618">
        <v>96.94</v>
      </c>
      <c r="AD618">
        <v>89.11</v>
      </c>
      <c r="AE618">
        <v>85.11</v>
      </c>
      <c r="AF618">
        <v>87.11</v>
      </c>
      <c r="AG618">
        <v>19.41</v>
      </c>
      <c r="AH618">
        <v>18.55</v>
      </c>
      <c r="AI618">
        <v>18.98</v>
      </c>
      <c r="AM618">
        <v>115.74</v>
      </c>
      <c r="AN618">
        <v>114.08</v>
      </c>
      <c r="AO618">
        <v>114.91</v>
      </c>
      <c r="AP618">
        <v>40.340000000000003</v>
      </c>
      <c r="AQ618">
        <v>38.74</v>
      </c>
      <c r="AR618">
        <v>39.540000000000006</v>
      </c>
      <c r="AS618">
        <v>41.06</v>
      </c>
      <c r="AT618">
        <v>39.700000000000003</v>
      </c>
      <c r="AU618">
        <v>40.380000000000003</v>
      </c>
      <c r="AV618">
        <v>21.03</v>
      </c>
      <c r="AW618">
        <v>20.43</v>
      </c>
      <c r="AX618">
        <v>20.73</v>
      </c>
      <c r="AY618">
        <v>4.67</v>
      </c>
      <c r="AZ618">
        <v>4.51</v>
      </c>
      <c r="BA618">
        <v>4.59</v>
      </c>
      <c r="BB618">
        <v>1.84</v>
      </c>
      <c r="BC618">
        <v>1.54</v>
      </c>
      <c r="BD618">
        <v>1.69</v>
      </c>
      <c r="BE618">
        <v>0.68</v>
      </c>
      <c r="BF618">
        <v>0.38000000000000006</v>
      </c>
      <c r="BG618">
        <v>0.53</v>
      </c>
      <c r="BH618">
        <v>489.99</v>
      </c>
      <c r="BI618">
        <v>473.99</v>
      </c>
      <c r="BJ618">
        <v>481.99</v>
      </c>
      <c r="BK618">
        <v>41.41</v>
      </c>
      <c r="BL618">
        <v>40.049999999999997</v>
      </c>
      <c r="BM618">
        <v>40.729999999999997</v>
      </c>
      <c r="BN618">
        <v>1.02</v>
      </c>
      <c r="BO618">
        <v>0.78</v>
      </c>
      <c r="BP618">
        <v>0.9</v>
      </c>
      <c r="BQ618">
        <v>8.91</v>
      </c>
      <c r="BR618">
        <v>6.91</v>
      </c>
      <c r="BS618">
        <v>7.91</v>
      </c>
      <c r="BT618">
        <v>10.86</v>
      </c>
      <c r="BU618">
        <v>10.459999999999999</v>
      </c>
      <c r="BV618">
        <v>10.66</v>
      </c>
      <c r="BW618">
        <v>2.75</v>
      </c>
      <c r="BX618">
        <v>2.4699999999999998</v>
      </c>
      <c r="BY618">
        <v>2.61</v>
      </c>
      <c r="BZ618">
        <v>9.8800000000000008</v>
      </c>
      <c r="CA618">
        <v>6.8800000000000008</v>
      </c>
      <c r="CB618">
        <v>8.3800000000000008</v>
      </c>
      <c r="CC618">
        <v>7.18</v>
      </c>
      <c r="CD618">
        <v>6.9399999999999995</v>
      </c>
      <c r="CE618">
        <v>7.06</v>
      </c>
      <c r="CF618">
        <v>2.08</v>
      </c>
      <c r="CG618">
        <v>1.58</v>
      </c>
      <c r="CH618">
        <v>1.83</v>
      </c>
      <c r="CI618">
        <v>0.46</v>
      </c>
      <c r="CJ618">
        <v>0.42000000000000004</v>
      </c>
      <c r="CK618">
        <v>0.44000000000000006</v>
      </c>
      <c r="CL618">
        <v>41.76</v>
      </c>
      <c r="CM618">
        <v>39.36</v>
      </c>
      <c r="CN618">
        <v>40.56</v>
      </c>
      <c r="CO618">
        <v>6.1</v>
      </c>
      <c r="CP618">
        <v>1.0999999999999996</v>
      </c>
      <c r="CQ618">
        <v>3.5999999999999996</v>
      </c>
    </row>
    <row r="619" spans="1:95">
      <c r="A619" s="228">
        <v>45905</v>
      </c>
      <c r="B619" t="s">
        <v>100</v>
      </c>
      <c r="C619">
        <v>149.25</v>
      </c>
      <c r="D619">
        <v>147.25</v>
      </c>
      <c r="E619">
        <v>148.25</v>
      </c>
      <c r="F619">
        <v>174.21</v>
      </c>
      <c r="G619">
        <v>171.21</v>
      </c>
      <c r="H619">
        <v>172.71</v>
      </c>
      <c r="I619">
        <v>108.9</v>
      </c>
      <c r="J619">
        <v>105.7</v>
      </c>
      <c r="K619">
        <v>107.30000000000001</v>
      </c>
      <c r="L619">
        <v>203.32</v>
      </c>
      <c r="M619">
        <v>195.32</v>
      </c>
      <c r="N619">
        <v>199.32</v>
      </c>
      <c r="O619">
        <v>184.97</v>
      </c>
      <c r="P619">
        <v>183.17</v>
      </c>
      <c r="Q619">
        <v>184.07</v>
      </c>
      <c r="R619">
        <v>23.44</v>
      </c>
      <c r="S619">
        <v>22.84</v>
      </c>
      <c r="T619">
        <v>23.14</v>
      </c>
      <c r="U619">
        <v>15.01</v>
      </c>
      <c r="V619">
        <v>14.41</v>
      </c>
      <c r="W619">
        <v>14.71</v>
      </c>
      <c r="X619">
        <v>16.079999999999998</v>
      </c>
      <c r="Y619">
        <v>15.279999999999998</v>
      </c>
      <c r="Z619">
        <v>15.679999999999998</v>
      </c>
      <c r="AA619">
        <v>98.72</v>
      </c>
      <c r="AB619">
        <v>94.72</v>
      </c>
      <c r="AC619">
        <v>96.72</v>
      </c>
      <c r="AD619">
        <v>88.79</v>
      </c>
      <c r="AE619">
        <v>84.79</v>
      </c>
      <c r="AF619">
        <v>86.79</v>
      </c>
      <c r="AG619">
        <v>19.43</v>
      </c>
      <c r="AH619">
        <v>18.57</v>
      </c>
      <c r="AI619">
        <v>19</v>
      </c>
      <c r="AM619">
        <v>115.85</v>
      </c>
      <c r="AN619">
        <v>114.19</v>
      </c>
      <c r="AO619">
        <v>115.02</v>
      </c>
      <c r="AP619">
        <v>40.4</v>
      </c>
      <c r="AQ619">
        <v>38.799999999999997</v>
      </c>
      <c r="AR619">
        <v>39.599999999999994</v>
      </c>
      <c r="AS619">
        <v>41.12</v>
      </c>
      <c r="AT619">
        <v>39.76</v>
      </c>
      <c r="AU619">
        <v>40.44</v>
      </c>
      <c r="AV619">
        <v>21.07</v>
      </c>
      <c r="AW619">
        <v>20.47</v>
      </c>
      <c r="AX619">
        <v>20.77</v>
      </c>
      <c r="AY619">
        <v>4.67</v>
      </c>
      <c r="AZ619">
        <v>4.51</v>
      </c>
      <c r="BA619">
        <v>4.59</v>
      </c>
      <c r="BB619">
        <v>1.84</v>
      </c>
      <c r="BC619">
        <v>1.54</v>
      </c>
      <c r="BD619">
        <v>1.69</v>
      </c>
      <c r="BE619">
        <v>0.68</v>
      </c>
      <c r="BF619">
        <v>0.38000000000000006</v>
      </c>
      <c r="BG619">
        <v>0.53</v>
      </c>
      <c r="BH619">
        <v>495.34</v>
      </c>
      <c r="BI619">
        <v>479.34</v>
      </c>
      <c r="BJ619">
        <v>487.34</v>
      </c>
      <c r="BK619">
        <v>41.49</v>
      </c>
      <c r="BL619">
        <v>40.130000000000003</v>
      </c>
      <c r="BM619">
        <v>40.81</v>
      </c>
      <c r="BN619">
        <v>1.03</v>
      </c>
      <c r="BO619">
        <v>0.79</v>
      </c>
      <c r="BP619">
        <v>0.91</v>
      </c>
      <c r="BQ619">
        <v>8.92</v>
      </c>
      <c r="BR619">
        <v>6.92</v>
      </c>
      <c r="BS619">
        <v>7.92</v>
      </c>
      <c r="BT619">
        <v>10.87</v>
      </c>
      <c r="BU619">
        <v>10.469999999999999</v>
      </c>
      <c r="BV619">
        <v>10.669999999999998</v>
      </c>
      <c r="BW619">
        <v>2.77</v>
      </c>
      <c r="BX619">
        <v>2.4900000000000002</v>
      </c>
      <c r="BY619">
        <v>2.63</v>
      </c>
      <c r="BZ619">
        <v>9.85</v>
      </c>
      <c r="CA619">
        <v>6.85</v>
      </c>
      <c r="CB619">
        <v>8.35</v>
      </c>
      <c r="CC619">
        <v>7.19</v>
      </c>
      <c r="CD619">
        <v>6.95</v>
      </c>
      <c r="CE619">
        <v>7.07</v>
      </c>
      <c r="CF619">
        <v>2.08</v>
      </c>
      <c r="CG619">
        <v>1.58</v>
      </c>
      <c r="CH619">
        <v>1.83</v>
      </c>
      <c r="CI619">
        <v>0.46</v>
      </c>
      <c r="CJ619">
        <v>0.42000000000000004</v>
      </c>
      <c r="CK619">
        <v>0.44000000000000006</v>
      </c>
      <c r="CL619">
        <v>41.83</v>
      </c>
      <c r="CM619">
        <v>39.43</v>
      </c>
      <c r="CN619">
        <v>40.629999999999995</v>
      </c>
      <c r="CO619">
        <v>6.1</v>
      </c>
      <c r="CP619">
        <v>1.0999999999999996</v>
      </c>
      <c r="CQ619">
        <v>3.5999999999999996</v>
      </c>
    </row>
    <row r="620" spans="1:95">
      <c r="A620" s="228">
        <v>45906</v>
      </c>
      <c r="B620" t="s">
        <v>307</v>
      </c>
    </row>
    <row r="621" spans="1:95">
      <c r="A621" s="228">
        <v>45907</v>
      </c>
      <c r="B621" t="s">
        <v>308</v>
      </c>
    </row>
    <row r="622" spans="1:95">
      <c r="A622" s="228">
        <v>45908</v>
      </c>
      <c r="B622" t="s">
        <v>96</v>
      </c>
      <c r="C622">
        <v>149.47</v>
      </c>
      <c r="D622">
        <v>147.47</v>
      </c>
      <c r="E622">
        <v>148.47</v>
      </c>
      <c r="F622">
        <v>175.36</v>
      </c>
      <c r="G622">
        <v>172.36</v>
      </c>
      <c r="H622">
        <v>173.86</v>
      </c>
      <c r="I622">
        <v>108.89</v>
      </c>
      <c r="J622">
        <v>105.69</v>
      </c>
      <c r="K622">
        <v>107.28999999999999</v>
      </c>
      <c r="L622">
        <v>204.32</v>
      </c>
      <c r="M622">
        <v>196.32</v>
      </c>
      <c r="N622">
        <v>200.32</v>
      </c>
      <c r="O622">
        <v>186.81</v>
      </c>
      <c r="P622">
        <v>185.01</v>
      </c>
      <c r="Q622">
        <v>185.91</v>
      </c>
      <c r="R622">
        <v>23.59</v>
      </c>
      <c r="S622">
        <v>22.99</v>
      </c>
      <c r="T622">
        <v>23.29</v>
      </c>
      <c r="U622">
        <v>15.09</v>
      </c>
      <c r="V622">
        <v>14.49</v>
      </c>
      <c r="W622">
        <v>14.79</v>
      </c>
      <c r="X622">
        <v>16.22</v>
      </c>
      <c r="Y622">
        <v>15.419999999999998</v>
      </c>
      <c r="Z622">
        <v>15.819999999999999</v>
      </c>
      <c r="AA622">
        <v>99.31</v>
      </c>
      <c r="AB622">
        <v>95.31</v>
      </c>
      <c r="AC622">
        <v>97.31</v>
      </c>
      <c r="AD622">
        <v>89.48</v>
      </c>
      <c r="AE622">
        <v>85.48</v>
      </c>
      <c r="AF622">
        <v>87.48</v>
      </c>
      <c r="AG622">
        <v>19.47</v>
      </c>
      <c r="AH622">
        <v>18.61</v>
      </c>
      <c r="AI622">
        <v>19.04</v>
      </c>
      <c r="AM622">
        <v>116.34</v>
      </c>
      <c r="AN622">
        <v>114.68</v>
      </c>
      <c r="AO622">
        <v>115.51</v>
      </c>
      <c r="AP622">
        <v>40.46</v>
      </c>
      <c r="AQ622">
        <v>38.86</v>
      </c>
      <c r="AR622">
        <v>39.659999999999997</v>
      </c>
      <c r="AS622">
        <v>41.17</v>
      </c>
      <c r="AT622">
        <v>39.81</v>
      </c>
      <c r="AU622">
        <v>40.49</v>
      </c>
      <c r="AV622">
        <v>21.13</v>
      </c>
      <c r="AW622">
        <v>20.529999999999998</v>
      </c>
      <c r="AX622">
        <v>20.83</v>
      </c>
      <c r="AY622">
        <v>4.71</v>
      </c>
      <c r="AZ622">
        <v>4.55</v>
      </c>
      <c r="BA622">
        <v>4.63</v>
      </c>
      <c r="BB622">
        <v>1.84</v>
      </c>
      <c r="BC622">
        <v>1.54</v>
      </c>
      <c r="BD622">
        <v>1.69</v>
      </c>
      <c r="BE622">
        <v>0.68</v>
      </c>
      <c r="BF622">
        <v>0.38000000000000006</v>
      </c>
      <c r="BG622">
        <v>0.53</v>
      </c>
      <c r="BH622">
        <v>492.25</v>
      </c>
      <c r="BI622">
        <v>476.25</v>
      </c>
      <c r="BJ622">
        <v>484.25</v>
      </c>
      <c r="BK622">
        <v>41.54</v>
      </c>
      <c r="BL622">
        <v>40.18</v>
      </c>
      <c r="BM622">
        <v>40.86</v>
      </c>
      <c r="BN622">
        <v>1.03</v>
      </c>
      <c r="BO622">
        <v>0.79</v>
      </c>
      <c r="BP622">
        <v>0.91</v>
      </c>
      <c r="BQ622">
        <v>8.93</v>
      </c>
      <c r="BR622">
        <v>6.93</v>
      </c>
      <c r="BS622">
        <v>7.93</v>
      </c>
      <c r="BT622">
        <v>10.89</v>
      </c>
      <c r="BU622">
        <v>10.49</v>
      </c>
      <c r="BV622">
        <v>10.690000000000001</v>
      </c>
      <c r="BW622">
        <v>2.78</v>
      </c>
      <c r="BX622">
        <v>2.5</v>
      </c>
      <c r="BY622">
        <v>2.6399999999999997</v>
      </c>
      <c r="BZ622">
        <v>9.93</v>
      </c>
      <c r="CA622">
        <v>6.93</v>
      </c>
      <c r="CB622">
        <v>8.43</v>
      </c>
      <c r="CC622">
        <v>7.25</v>
      </c>
      <c r="CD622">
        <v>7.01</v>
      </c>
      <c r="CE622">
        <v>7.13</v>
      </c>
      <c r="CF622">
        <v>2.08</v>
      </c>
      <c r="CG622">
        <v>1.58</v>
      </c>
      <c r="CH622">
        <v>1.83</v>
      </c>
      <c r="CI622">
        <v>0.46</v>
      </c>
      <c r="CJ622">
        <v>0.42000000000000004</v>
      </c>
      <c r="CK622">
        <v>0.44000000000000006</v>
      </c>
      <c r="CL622">
        <v>42.09</v>
      </c>
      <c r="CM622">
        <v>39.690000000000005</v>
      </c>
      <c r="CN622">
        <v>40.89</v>
      </c>
      <c r="CO622">
        <v>6.1</v>
      </c>
      <c r="CP622">
        <v>1.0999999999999996</v>
      </c>
      <c r="CQ622">
        <v>3.5999999999999996</v>
      </c>
    </row>
    <row r="623" spans="1:95">
      <c r="A623" s="228">
        <v>45909</v>
      </c>
      <c r="B623" t="s">
        <v>97</v>
      </c>
      <c r="C623">
        <v>148.37</v>
      </c>
      <c r="D623">
        <v>146.37</v>
      </c>
      <c r="E623">
        <v>147.37</v>
      </c>
      <c r="F623">
        <v>175</v>
      </c>
      <c r="G623">
        <v>172</v>
      </c>
      <c r="H623">
        <v>173.5</v>
      </c>
      <c r="I623">
        <v>108.37</v>
      </c>
      <c r="J623">
        <v>105.17</v>
      </c>
      <c r="K623">
        <v>106.77000000000001</v>
      </c>
      <c r="L623">
        <v>203.83</v>
      </c>
      <c r="M623">
        <v>195.83</v>
      </c>
      <c r="N623">
        <v>199.83</v>
      </c>
      <c r="O623">
        <v>186.9</v>
      </c>
      <c r="P623">
        <v>185.1</v>
      </c>
      <c r="Q623">
        <v>186</v>
      </c>
      <c r="R623">
        <v>23.54</v>
      </c>
      <c r="S623">
        <v>22.939999999999998</v>
      </c>
      <c r="T623">
        <v>23.24</v>
      </c>
      <c r="U623">
        <v>15.08</v>
      </c>
      <c r="V623">
        <v>14.48</v>
      </c>
      <c r="W623">
        <v>14.780000000000001</v>
      </c>
      <c r="X623">
        <v>16.16</v>
      </c>
      <c r="Y623">
        <v>15.36</v>
      </c>
      <c r="Z623">
        <v>15.76</v>
      </c>
      <c r="AA623">
        <v>99.23</v>
      </c>
      <c r="AB623">
        <v>95.23</v>
      </c>
      <c r="AC623">
        <v>97.23</v>
      </c>
      <c r="AD623">
        <v>89.66</v>
      </c>
      <c r="AE623">
        <v>85.66</v>
      </c>
      <c r="AF623">
        <v>87.66</v>
      </c>
      <c r="AG623">
        <v>19.34</v>
      </c>
      <c r="AH623">
        <v>18.48</v>
      </c>
      <c r="AI623">
        <v>18.91</v>
      </c>
      <c r="AM623">
        <v>115.77</v>
      </c>
      <c r="AN623">
        <v>114.11</v>
      </c>
      <c r="AO623">
        <v>114.94</v>
      </c>
      <c r="AP623">
        <v>40.159999999999997</v>
      </c>
      <c r="AQ623">
        <v>38.559999999999995</v>
      </c>
      <c r="AR623">
        <v>39.36</v>
      </c>
      <c r="AS623">
        <v>40.880000000000003</v>
      </c>
      <c r="AT623">
        <v>39.520000000000003</v>
      </c>
      <c r="AU623">
        <v>40.200000000000003</v>
      </c>
      <c r="AV623">
        <v>21</v>
      </c>
      <c r="AW623">
        <v>20.399999999999999</v>
      </c>
      <c r="AX623">
        <v>20.7</v>
      </c>
      <c r="AY623">
        <v>4.7300000000000004</v>
      </c>
      <c r="AZ623">
        <v>4.57</v>
      </c>
      <c r="BA623">
        <v>4.6500000000000004</v>
      </c>
      <c r="BB623">
        <v>1.83</v>
      </c>
      <c r="BC623">
        <v>1.53</v>
      </c>
      <c r="BD623">
        <v>1.6800000000000002</v>
      </c>
      <c r="BE623">
        <v>0.67</v>
      </c>
      <c r="BF623">
        <v>0.37000000000000005</v>
      </c>
      <c r="BG623">
        <v>0.52</v>
      </c>
      <c r="BH623">
        <v>493.09</v>
      </c>
      <c r="BI623">
        <v>477.09</v>
      </c>
      <c r="BJ623">
        <v>485.09</v>
      </c>
      <c r="BK623">
        <v>41.23</v>
      </c>
      <c r="BL623">
        <v>39.869999999999997</v>
      </c>
      <c r="BM623">
        <v>40.549999999999997</v>
      </c>
      <c r="BN623">
        <v>1.03</v>
      </c>
      <c r="BO623">
        <v>0.79</v>
      </c>
      <c r="BP623">
        <v>0.91</v>
      </c>
      <c r="BQ623">
        <v>8.91</v>
      </c>
      <c r="BR623">
        <v>6.91</v>
      </c>
      <c r="BS623">
        <v>7.91</v>
      </c>
      <c r="BT623">
        <v>10.84</v>
      </c>
      <c r="BU623">
        <v>10.44</v>
      </c>
      <c r="BV623">
        <v>10.64</v>
      </c>
      <c r="BW623">
        <v>2.77</v>
      </c>
      <c r="BX623">
        <v>2.4900000000000002</v>
      </c>
      <c r="BY623">
        <v>2.63</v>
      </c>
      <c r="BZ623">
        <v>9.94</v>
      </c>
      <c r="CA623">
        <v>6.9399999999999995</v>
      </c>
      <c r="CB623">
        <v>8.44</v>
      </c>
      <c r="CC623">
        <v>7.25</v>
      </c>
      <c r="CD623">
        <v>7.01</v>
      </c>
      <c r="CE623">
        <v>7.13</v>
      </c>
      <c r="CF623">
        <v>2.04</v>
      </c>
      <c r="CG623">
        <v>1.54</v>
      </c>
      <c r="CH623">
        <v>1.79</v>
      </c>
      <c r="CI623">
        <v>0.46</v>
      </c>
      <c r="CJ623">
        <v>0.42000000000000004</v>
      </c>
      <c r="CK623">
        <v>0.44000000000000006</v>
      </c>
      <c r="CL623">
        <v>42.04</v>
      </c>
      <c r="CM623">
        <v>39.64</v>
      </c>
      <c r="CN623">
        <v>40.840000000000003</v>
      </c>
      <c r="CO623">
        <v>6.07</v>
      </c>
      <c r="CP623">
        <v>1.0700000000000003</v>
      </c>
      <c r="CQ623">
        <v>3.5700000000000003</v>
      </c>
    </row>
    <row r="624" spans="1:95">
      <c r="A624" s="228">
        <v>45910</v>
      </c>
      <c r="B624" t="s">
        <v>98</v>
      </c>
      <c r="C624">
        <v>148.52000000000001</v>
      </c>
      <c r="D624">
        <v>146.52000000000001</v>
      </c>
      <c r="E624">
        <v>147.52000000000001</v>
      </c>
      <c r="F624">
        <v>174.05</v>
      </c>
      <c r="G624">
        <v>171.05</v>
      </c>
      <c r="H624">
        <v>172.55</v>
      </c>
      <c r="I624">
        <v>108.04</v>
      </c>
      <c r="J624">
        <v>104.84</v>
      </c>
      <c r="K624">
        <v>106.44</v>
      </c>
      <c r="L624">
        <v>203.48</v>
      </c>
      <c r="M624">
        <v>195.48</v>
      </c>
      <c r="N624">
        <v>199.48</v>
      </c>
      <c r="O624">
        <v>185.81</v>
      </c>
      <c r="P624">
        <v>184.01</v>
      </c>
      <c r="Q624">
        <v>184.91</v>
      </c>
      <c r="R624">
        <v>23.41</v>
      </c>
      <c r="S624">
        <v>22.81</v>
      </c>
      <c r="T624">
        <v>23.11</v>
      </c>
      <c r="U624">
        <v>15.09</v>
      </c>
      <c r="V624">
        <v>14.49</v>
      </c>
      <c r="W624">
        <v>14.79</v>
      </c>
      <c r="X624">
        <v>16.12</v>
      </c>
      <c r="Y624">
        <v>15.32</v>
      </c>
      <c r="Z624">
        <v>15.72</v>
      </c>
      <c r="AA624">
        <v>99.16</v>
      </c>
      <c r="AB624">
        <v>95.16</v>
      </c>
      <c r="AC624">
        <v>97.16</v>
      </c>
      <c r="AD624">
        <v>89.42</v>
      </c>
      <c r="AE624">
        <v>85.42</v>
      </c>
      <c r="AF624">
        <v>87.42</v>
      </c>
      <c r="AG624">
        <v>19.37</v>
      </c>
      <c r="AH624">
        <v>18.510000000000002</v>
      </c>
      <c r="AI624">
        <v>18.940000000000001</v>
      </c>
      <c r="AM624">
        <v>115.77</v>
      </c>
      <c r="AN624">
        <v>114.11</v>
      </c>
      <c r="AO624">
        <v>114.94</v>
      </c>
      <c r="AP624">
        <v>40.200000000000003</v>
      </c>
      <c r="AQ624">
        <v>38.6</v>
      </c>
      <c r="AR624">
        <v>39.400000000000006</v>
      </c>
      <c r="AS624">
        <v>40.92</v>
      </c>
      <c r="AT624">
        <v>39.56</v>
      </c>
      <c r="AU624">
        <v>40.24</v>
      </c>
      <c r="AV624">
        <v>21</v>
      </c>
      <c r="AW624">
        <v>20.399999999999999</v>
      </c>
      <c r="AX624">
        <v>20.7</v>
      </c>
      <c r="AY624">
        <v>4.71</v>
      </c>
      <c r="AZ624">
        <v>4.55</v>
      </c>
      <c r="BA624">
        <v>4.63</v>
      </c>
      <c r="BB624">
        <v>1.83</v>
      </c>
      <c r="BC624">
        <v>1.53</v>
      </c>
      <c r="BD624">
        <v>1.6800000000000002</v>
      </c>
      <c r="BE624">
        <v>0.68</v>
      </c>
      <c r="BF624">
        <v>0.38000000000000006</v>
      </c>
      <c r="BG624">
        <v>0.53</v>
      </c>
      <c r="BH624">
        <v>493.42</v>
      </c>
      <c r="BI624">
        <v>477.42</v>
      </c>
      <c r="BJ624">
        <v>485.42</v>
      </c>
      <c r="BK624">
        <v>41.27</v>
      </c>
      <c r="BL624">
        <v>39.910000000000004</v>
      </c>
      <c r="BM624">
        <v>40.590000000000003</v>
      </c>
      <c r="BN624">
        <v>1.02</v>
      </c>
      <c r="BO624">
        <v>0.78</v>
      </c>
      <c r="BP624">
        <v>0.9</v>
      </c>
      <c r="BQ624">
        <v>8.92</v>
      </c>
      <c r="BR624">
        <v>6.92</v>
      </c>
      <c r="BS624">
        <v>7.92</v>
      </c>
      <c r="BT624">
        <v>10.84</v>
      </c>
      <c r="BU624">
        <v>10.44</v>
      </c>
      <c r="BV624">
        <v>10.64</v>
      </c>
      <c r="BW624">
        <v>2.76</v>
      </c>
      <c r="BX624">
        <v>2.4799999999999995</v>
      </c>
      <c r="BY624">
        <v>2.6199999999999997</v>
      </c>
      <c r="BZ624">
        <v>9.92</v>
      </c>
      <c r="CA624">
        <v>6.92</v>
      </c>
      <c r="CB624">
        <v>8.42</v>
      </c>
      <c r="CC624">
        <v>7.21</v>
      </c>
      <c r="CD624">
        <v>6.97</v>
      </c>
      <c r="CE624">
        <v>7.09</v>
      </c>
      <c r="CF624">
        <v>2.02</v>
      </c>
      <c r="CG624">
        <v>1.52</v>
      </c>
      <c r="CH624">
        <v>1.77</v>
      </c>
      <c r="CI624">
        <v>0.46</v>
      </c>
      <c r="CJ624">
        <v>0.42000000000000004</v>
      </c>
      <c r="CK624">
        <v>0.44000000000000006</v>
      </c>
      <c r="CL624">
        <v>41.8</v>
      </c>
      <c r="CM624">
        <v>39.4</v>
      </c>
      <c r="CN624">
        <v>40.599999999999994</v>
      </c>
      <c r="CO624">
        <v>6.08</v>
      </c>
      <c r="CP624">
        <v>1.08</v>
      </c>
      <c r="CQ624">
        <v>3.58</v>
      </c>
    </row>
    <row r="625" spans="1:95">
      <c r="A625" s="228">
        <v>45911</v>
      </c>
      <c r="B625" t="s">
        <v>99</v>
      </c>
      <c r="C625">
        <v>148.56</v>
      </c>
      <c r="D625">
        <v>146.56</v>
      </c>
      <c r="E625">
        <v>147.56</v>
      </c>
      <c r="F625">
        <v>174.03</v>
      </c>
      <c r="G625">
        <v>171.03</v>
      </c>
      <c r="H625">
        <v>172.53</v>
      </c>
      <c r="I625">
        <v>108</v>
      </c>
      <c r="J625">
        <v>104.8</v>
      </c>
      <c r="K625">
        <v>106.4</v>
      </c>
      <c r="L625">
        <v>203.65</v>
      </c>
      <c r="M625">
        <v>195.65</v>
      </c>
      <c r="N625">
        <v>199.65</v>
      </c>
      <c r="O625">
        <v>185.49</v>
      </c>
      <c r="P625">
        <v>183.69</v>
      </c>
      <c r="Q625">
        <v>184.59</v>
      </c>
      <c r="R625">
        <v>23.41</v>
      </c>
      <c r="S625">
        <v>22.81</v>
      </c>
      <c r="T625">
        <v>23.11</v>
      </c>
      <c r="U625">
        <v>15.16</v>
      </c>
      <c r="V625">
        <v>14.56</v>
      </c>
      <c r="W625">
        <v>14.86</v>
      </c>
      <c r="X625">
        <v>16.18</v>
      </c>
      <c r="Y625">
        <v>15.379999999999999</v>
      </c>
      <c r="Z625">
        <v>15.78</v>
      </c>
      <c r="AA625">
        <v>99.57</v>
      </c>
      <c r="AB625">
        <v>95.57</v>
      </c>
      <c r="AC625">
        <v>97.57</v>
      </c>
      <c r="AD625">
        <v>89.61</v>
      </c>
      <c r="AE625">
        <v>85.61</v>
      </c>
      <c r="AF625">
        <v>87.61</v>
      </c>
      <c r="AG625">
        <v>19.37</v>
      </c>
      <c r="AH625">
        <v>18.510000000000002</v>
      </c>
      <c r="AI625">
        <v>18.940000000000001</v>
      </c>
      <c r="AM625">
        <v>115.85</v>
      </c>
      <c r="AN625">
        <v>114.19</v>
      </c>
      <c r="AO625">
        <v>115.02</v>
      </c>
      <c r="AP625">
        <v>40.21</v>
      </c>
      <c r="AQ625">
        <v>38.61</v>
      </c>
      <c r="AR625">
        <v>39.409999999999997</v>
      </c>
      <c r="AS625">
        <v>40.93</v>
      </c>
      <c r="AT625">
        <v>39.57</v>
      </c>
      <c r="AU625">
        <v>40.25</v>
      </c>
      <c r="AV625">
        <v>21.03</v>
      </c>
      <c r="AW625">
        <v>20.43</v>
      </c>
      <c r="AX625">
        <v>20.73</v>
      </c>
      <c r="AY625">
        <v>4.7300000000000004</v>
      </c>
      <c r="AZ625">
        <v>4.57</v>
      </c>
      <c r="BA625">
        <v>4.6500000000000004</v>
      </c>
      <c r="BB625">
        <v>1.84</v>
      </c>
      <c r="BC625">
        <v>1.54</v>
      </c>
      <c r="BD625">
        <v>1.69</v>
      </c>
      <c r="BE625">
        <v>0.68</v>
      </c>
      <c r="BF625">
        <v>0.38000000000000006</v>
      </c>
      <c r="BG625">
        <v>0.53</v>
      </c>
      <c r="BH625">
        <v>488.49</v>
      </c>
      <c r="BI625">
        <v>472.49</v>
      </c>
      <c r="BJ625">
        <v>480.49</v>
      </c>
      <c r="BK625">
        <v>41.06</v>
      </c>
      <c r="BL625">
        <v>39.700000000000003</v>
      </c>
      <c r="BM625">
        <v>40.380000000000003</v>
      </c>
      <c r="BN625">
        <v>1.02</v>
      </c>
      <c r="BO625">
        <v>0.78</v>
      </c>
      <c r="BP625">
        <v>0.9</v>
      </c>
      <c r="BQ625">
        <v>8.94</v>
      </c>
      <c r="BR625">
        <v>6.9399999999999995</v>
      </c>
      <c r="BS625">
        <v>7.9399999999999995</v>
      </c>
      <c r="BT625">
        <v>10.85</v>
      </c>
      <c r="BU625">
        <v>10.45</v>
      </c>
      <c r="BV625">
        <v>10.649999999999999</v>
      </c>
      <c r="BW625">
        <v>2.75</v>
      </c>
      <c r="BX625">
        <v>2.4699999999999998</v>
      </c>
      <c r="BY625">
        <v>2.61</v>
      </c>
      <c r="BZ625">
        <v>9.94</v>
      </c>
      <c r="CA625">
        <v>6.9399999999999995</v>
      </c>
      <c r="CB625">
        <v>8.44</v>
      </c>
      <c r="CC625">
        <v>7.2</v>
      </c>
      <c r="CD625">
        <v>6.96</v>
      </c>
      <c r="CE625">
        <v>7.08</v>
      </c>
      <c r="CF625">
        <v>2</v>
      </c>
      <c r="CG625">
        <v>1.5</v>
      </c>
      <c r="CH625">
        <v>1.75</v>
      </c>
      <c r="CI625">
        <v>0.46</v>
      </c>
      <c r="CJ625">
        <v>0.42000000000000004</v>
      </c>
      <c r="CK625">
        <v>0.44000000000000006</v>
      </c>
      <c r="CL625">
        <v>41.69</v>
      </c>
      <c r="CM625">
        <v>39.29</v>
      </c>
      <c r="CN625">
        <v>40.489999999999995</v>
      </c>
      <c r="CO625">
        <v>6.08</v>
      </c>
      <c r="CP625">
        <v>1.08</v>
      </c>
      <c r="CQ625">
        <v>3.58</v>
      </c>
    </row>
    <row r="626" spans="1:95">
      <c r="A626" s="228">
        <v>45912</v>
      </c>
      <c r="B626" t="s">
        <v>100</v>
      </c>
      <c r="C626">
        <v>148.30000000000001</v>
      </c>
      <c r="D626">
        <v>146.30000000000001</v>
      </c>
      <c r="E626">
        <v>147.30000000000001</v>
      </c>
      <c r="F626">
        <v>174.31</v>
      </c>
      <c r="G626">
        <v>171.31</v>
      </c>
      <c r="H626">
        <v>172.81</v>
      </c>
      <c r="I626">
        <v>108.03</v>
      </c>
      <c r="J626">
        <v>104.83</v>
      </c>
      <c r="K626">
        <v>106.43</v>
      </c>
      <c r="L626">
        <v>203.95</v>
      </c>
      <c r="M626">
        <v>195.95</v>
      </c>
      <c r="N626">
        <v>199.95</v>
      </c>
      <c r="O626">
        <v>185.9</v>
      </c>
      <c r="P626">
        <v>184.1</v>
      </c>
      <c r="Q626">
        <v>185</v>
      </c>
      <c r="R626">
        <v>23.45</v>
      </c>
      <c r="S626">
        <v>22.849999999999998</v>
      </c>
      <c r="T626">
        <v>23.15</v>
      </c>
      <c r="U626">
        <v>15.23</v>
      </c>
      <c r="V626">
        <v>14.63</v>
      </c>
      <c r="W626">
        <v>14.93</v>
      </c>
      <c r="X626">
        <v>16.21</v>
      </c>
      <c r="Y626">
        <v>15.41</v>
      </c>
      <c r="Z626">
        <v>15.81</v>
      </c>
      <c r="AA626">
        <v>100.19</v>
      </c>
      <c r="AB626">
        <v>96.19</v>
      </c>
      <c r="AC626">
        <v>98.19</v>
      </c>
      <c r="AD626">
        <v>89.98</v>
      </c>
      <c r="AE626">
        <v>85.98</v>
      </c>
      <c r="AF626">
        <v>87.98</v>
      </c>
      <c r="AG626">
        <v>19.34</v>
      </c>
      <c r="AH626">
        <v>18.48</v>
      </c>
      <c r="AI626">
        <v>18.91</v>
      </c>
      <c r="AM626">
        <v>115.7</v>
      </c>
      <c r="AN626">
        <v>114.04</v>
      </c>
      <c r="AO626">
        <v>114.87</v>
      </c>
      <c r="AP626">
        <v>40.15</v>
      </c>
      <c r="AQ626">
        <v>38.549999999999997</v>
      </c>
      <c r="AR626">
        <v>39.349999999999994</v>
      </c>
      <c r="AS626">
        <v>40.86</v>
      </c>
      <c r="AT626">
        <v>39.5</v>
      </c>
      <c r="AU626">
        <v>40.18</v>
      </c>
      <c r="AV626">
        <v>21</v>
      </c>
      <c r="AW626">
        <v>20.399999999999999</v>
      </c>
      <c r="AX626">
        <v>20.7</v>
      </c>
      <c r="AY626">
        <v>4.7300000000000004</v>
      </c>
      <c r="AZ626">
        <v>4.57</v>
      </c>
      <c r="BA626">
        <v>4.6500000000000004</v>
      </c>
      <c r="BB626">
        <v>1.83</v>
      </c>
      <c r="BC626">
        <v>1.53</v>
      </c>
      <c r="BD626">
        <v>1.6800000000000002</v>
      </c>
      <c r="BE626">
        <v>0.67</v>
      </c>
      <c r="BF626">
        <v>0.37000000000000005</v>
      </c>
      <c r="BG626">
        <v>0.52</v>
      </c>
      <c r="BH626">
        <v>492.86</v>
      </c>
      <c r="BI626">
        <v>476.86</v>
      </c>
      <c r="BJ626">
        <v>484.86</v>
      </c>
      <c r="BK626">
        <v>41.21</v>
      </c>
      <c r="BL626">
        <v>39.85</v>
      </c>
      <c r="BM626">
        <v>40.53</v>
      </c>
      <c r="BN626">
        <v>1.02</v>
      </c>
      <c r="BO626">
        <v>0.78</v>
      </c>
      <c r="BP626">
        <v>0.9</v>
      </c>
      <c r="BQ626">
        <v>8.98</v>
      </c>
      <c r="BR626">
        <v>6.98</v>
      </c>
      <c r="BS626">
        <v>7.98</v>
      </c>
      <c r="BT626">
        <v>10.82</v>
      </c>
      <c r="BU626">
        <v>10.42</v>
      </c>
      <c r="BV626">
        <v>10.620000000000001</v>
      </c>
      <c r="BW626">
        <v>2.74</v>
      </c>
      <c r="BX626">
        <v>2.46</v>
      </c>
      <c r="BY626">
        <v>2.6</v>
      </c>
      <c r="BZ626">
        <v>9.9700000000000006</v>
      </c>
      <c r="CA626">
        <v>6.9700000000000006</v>
      </c>
      <c r="CB626">
        <v>8.4700000000000006</v>
      </c>
      <c r="CC626">
        <v>7.22</v>
      </c>
      <c r="CD626">
        <v>6.9799999999999995</v>
      </c>
      <c r="CE626">
        <v>7.1</v>
      </c>
      <c r="CF626">
        <v>2</v>
      </c>
      <c r="CG626">
        <v>1.5</v>
      </c>
      <c r="CH626">
        <v>1.75</v>
      </c>
      <c r="CI626">
        <v>0.46</v>
      </c>
      <c r="CJ626">
        <v>0.42000000000000004</v>
      </c>
      <c r="CK626">
        <v>0.44000000000000006</v>
      </c>
      <c r="CL626">
        <v>41.85</v>
      </c>
      <c r="CM626">
        <v>39.450000000000003</v>
      </c>
      <c r="CN626">
        <v>40.650000000000006</v>
      </c>
      <c r="CO626">
        <v>6.07</v>
      </c>
      <c r="CP626">
        <v>1.0700000000000003</v>
      </c>
      <c r="CQ626">
        <v>3.5700000000000003</v>
      </c>
    </row>
    <row r="627" spans="1:95">
      <c r="A627" s="228">
        <v>45913</v>
      </c>
      <c r="B627" t="s">
        <v>307</v>
      </c>
    </row>
    <row r="628" spans="1:95">
      <c r="A628" s="228">
        <v>45914</v>
      </c>
      <c r="B628" t="s">
        <v>308</v>
      </c>
    </row>
    <row r="629" spans="1:95">
      <c r="A629" s="228">
        <v>45915</v>
      </c>
      <c r="B629" t="s">
        <v>96</v>
      </c>
    </row>
    <row r="630" spans="1:95">
      <c r="A630" s="228">
        <v>45916</v>
      </c>
      <c r="B630" t="s">
        <v>97</v>
      </c>
      <c r="C630">
        <v>148.53</v>
      </c>
      <c r="D630">
        <v>146.53</v>
      </c>
      <c r="E630">
        <v>147.53</v>
      </c>
      <c r="F630">
        <v>174.92</v>
      </c>
      <c r="G630">
        <v>171.92</v>
      </c>
      <c r="H630">
        <v>173.42</v>
      </c>
      <c r="I630">
        <v>108.69</v>
      </c>
      <c r="J630">
        <v>105.49</v>
      </c>
      <c r="K630">
        <v>107.09</v>
      </c>
      <c r="L630">
        <v>204.64</v>
      </c>
      <c r="M630">
        <v>196.64</v>
      </c>
      <c r="N630">
        <v>200.64</v>
      </c>
      <c r="O630">
        <v>186.52</v>
      </c>
      <c r="P630">
        <v>184.72</v>
      </c>
      <c r="Q630">
        <v>185.62</v>
      </c>
      <c r="R630">
        <v>23.54</v>
      </c>
      <c r="S630">
        <v>22.939999999999998</v>
      </c>
      <c r="T630">
        <v>23.24</v>
      </c>
      <c r="U630">
        <v>15.31</v>
      </c>
      <c r="V630">
        <v>14.71</v>
      </c>
      <c r="W630">
        <v>15.010000000000002</v>
      </c>
      <c r="X630">
        <v>16.29</v>
      </c>
      <c r="Y630">
        <v>15.489999999999998</v>
      </c>
      <c r="Z630">
        <v>15.889999999999999</v>
      </c>
      <c r="AA630">
        <v>100.36</v>
      </c>
      <c r="AB630">
        <v>96.36</v>
      </c>
      <c r="AC630">
        <v>98.36</v>
      </c>
      <c r="AD630">
        <v>89.96</v>
      </c>
      <c r="AE630">
        <v>85.96</v>
      </c>
      <c r="AF630">
        <v>87.96</v>
      </c>
      <c r="AG630">
        <v>19.39</v>
      </c>
      <c r="AH630">
        <v>18.53</v>
      </c>
      <c r="AI630">
        <v>18.96</v>
      </c>
      <c r="AM630">
        <v>115.97</v>
      </c>
      <c r="AN630">
        <v>114.31</v>
      </c>
      <c r="AO630">
        <v>115.14</v>
      </c>
      <c r="AP630">
        <v>40.21</v>
      </c>
      <c r="AQ630">
        <v>38.61</v>
      </c>
      <c r="AR630">
        <v>39.409999999999997</v>
      </c>
      <c r="AS630">
        <v>40.81</v>
      </c>
      <c r="AT630">
        <v>39.450000000000003</v>
      </c>
      <c r="AU630">
        <v>40.130000000000003</v>
      </c>
      <c r="AV630">
        <v>21.02</v>
      </c>
      <c r="AW630">
        <v>20.419999999999998</v>
      </c>
      <c r="AX630">
        <v>20.72</v>
      </c>
      <c r="AY630">
        <v>4.72</v>
      </c>
      <c r="AZ630">
        <v>4.5599999999999996</v>
      </c>
      <c r="BA630">
        <v>4.6399999999999997</v>
      </c>
      <c r="BB630">
        <v>1.83</v>
      </c>
      <c r="BC630">
        <v>1.53</v>
      </c>
      <c r="BD630">
        <v>1.6800000000000002</v>
      </c>
      <c r="BE630">
        <v>0.68</v>
      </c>
      <c r="BF630">
        <v>0.38000000000000006</v>
      </c>
      <c r="BG630">
        <v>0.53</v>
      </c>
      <c r="BH630">
        <v>488.71</v>
      </c>
      <c r="BI630">
        <v>472.71</v>
      </c>
      <c r="BJ630">
        <v>480.71</v>
      </c>
      <c r="BK630">
        <v>41.28</v>
      </c>
      <c r="BL630">
        <v>39.92</v>
      </c>
      <c r="BM630">
        <v>40.6</v>
      </c>
      <c r="BN630">
        <v>1.02</v>
      </c>
      <c r="BO630">
        <v>0.78</v>
      </c>
      <c r="BP630">
        <v>0.9</v>
      </c>
      <c r="BQ630">
        <v>9.0299999999999994</v>
      </c>
      <c r="BR630">
        <v>7.0299999999999994</v>
      </c>
      <c r="BS630">
        <v>8.0299999999999994</v>
      </c>
      <c r="BT630">
        <v>10.86</v>
      </c>
      <c r="BU630">
        <v>10.459999999999999</v>
      </c>
      <c r="BV630">
        <v>10.66</v>
      </c>
      <c r="BW630">
        <v>2.75</v>
      </c>
      <c r="BX630">
        <v>2.4699999999999998</v>
      </c>
      <c r="BY630">
        <v>2.61</v>
      </c>
      <c r="BZ630">
        <v>9.99</v>
      </c>
      <c r="CA630">
        <v>6.99</v>
      </c>
      <c r="CB630">
        <v>8.49</v>
      </c>
      <c r="CC630">
        <v>7.25</v>
      </c>
      <c r="CD630">
        <v>7.01</v>
      </c>
      <c r="CE630">
        <v>7.13</v>
      </c>
      <c r="CF630">
        <v>2.0299999999999998</v>
      </c>
      <c r="CG630">
        <v>1.5299999999999998</v>
      </c>
      <c r="CH630">
        <v>1.7799999999999998</v>
      </c>
      <c r="CI630">
        <v>0.47</v>
      </c>
      <c r="CJ630">
        <v>0.43</v>
      </c>
      <c r="CK630">
        <v>0.44999999999999996</v>
      </c>
      <c r="CL630">
        <v>42.06</v>
      </c>
      <c r="CM630">
        <v>39.660000000000004</v>
      </c>
      <c r="CN630">
        <v>40.86</v>
      </c>
      <c r="CO630">
        <v>6.07</v>
      </c>
      <c r="CP630">
        <v>1.0700000000000003</v>
      </c>
      <c r="CQ630">
        <v>3.5700000000000003</v>
      </c>
    </row>
    <row r="631" spans="1:95">
      <c r="A631" s="228">
        <v>45917</v>
      </c>
      <c r="B631" t="s">
        <v>98</v>
      </c>
      <c r="C631">
        <v>147.55000000000001</v>
      </c>
      <c r="D631">
        <v>145.55000000000001</v>
      </c>
      <c r="E631">
        <v>146.55000000000001</v>
      </c>
      <c r="F631">
        <v>175.29</v>
      </c>
      <c r="G631">
        <v>172.29</v>
      </c>
      <c r="H631">
        <v>173.79</v>
      </c>
      <c r="I631">
        <v>108.25</v>
      </c>
      <c r="J631">
        <v>105.05</v>
      </c>
      <c r="K631">
        <v>106.65</v>
      </c>
      <c r="L631">
        <v>204.01</v>
      </c>
      <c r="M631">
        <v>196.01</v>
      </c>
      <c r="N631">
        <v>200.01</v>
      </c>
      <c r="O631">
        <v>187.18</v>
      </c>
      <c r="P631">
        <v>185.38</v>
      </c>
      <c r="Q631">
        <v>186.28</v>
      </c>
      <c r="R631">
        <v>23.58</v>
      </c>
      <c r="S631">
        <v>22.979999999999997</v>
      </c>
      <c r="T631">
        <v>23.279999999999998</v>
      </c>
      <c r="U631">
        <v>15.3</v>
      </c>
      <c r="V631">
        <v>14.700000000000001</v>
      </c>
      <c r="W631">
        <v>15</v>
      </c>
      <c r="X631">
        <v>16.28</v>
      </c>
      <c r="Y631">
        <v>15.48</v>
      </c>
      <c r="Z631">
        <v>15.88</v>
      </c>
      <c r="AA631">
        <v>99.91</v>
      </c>
      <c r="AB631">
        <v>95.91</v>
      </c>
      <c r="AC631">
        <v>97.91</v>
      </c>
      <c r="AD631">
        <v>89.68</v>
      </c>
      <c r="AE631">
        <v>85.68</v>
      </c>
      <c r="AF631">
        <v>87.68</v>
      </c>
      <c r="AG631">
        <v>19.27</v>
      </c>
      <c r="AH631">
        <v>18.41</v>
      </c>
      <c r="AI631">
        <v>18.84</v>
      </c>
      <c r="AM631">
        <v>115.66</v>
      </c>
      <c r="AN631">
        <v>114</v>
      </c>
      <c r="AO631">
        <v>114.83</v>
      </c>
      <c r="AP631">
        <v>39.950000000000003</v>
      </c>
      <c r="AQ631">
        <v>38.35</v>
      </c>
      <c r="AR631">
        <v>39.150000000000006</v>
      </c>
      <c r="AS631">
        <v>40.659999999999997</v>
      </c>
      <c r="AT631">
        <v>39.299999999999997</v>
      </c>
      <c r="AU631">
        <v>39.979999999999997</v>
      </c>
      <c r="AV631">
        <v>20.93</v>
      </c>
      <c r="AW631">
        <v>20.329999999999998</v>
      </c>
      <c r="AX631">
        <v>20.63</v>
      </c>
      <c r="AY631">
        <v>4.7</v>
      </c>
      <c r="AZ631">
        <v>4.54</v>
      </c>
      <c r="BA631">
        <v>4.62</v>
      </c>
      <c r="BB631">
        <v>1.83</v>
      </c>
      <c r="BC631">
        <v>1.53</v>
      </c>
      <c r="BD631">
        <v>1.6800000000000002</v>
      </c>
      <c r="BE631">
        <v>0.67</v>
      </c>
      <c r="BF631">
        <v>0.37000000000000005</v>
      </c>
      <c r="BG631">
        <v>0.52</v>
      </c>
      <c r="BH631">
        <v>491.03</v>
      </c>
      <c r="BI631">
        <v>475.03</v>
      </c>
      <c r="BJ631">
        <v>483.03</v>
      </c>
      <c r="BK631">
        <v>41.01</v>
      </c>
      <c r="BL631">
        <v>39.65</v>
      </c>
      <c r="BM631">
        <v>40.33</v>
      </c>
      <c r="BN631">
        <v>1.01</v>
      </c>
      <c r="BO631">
        <v>0.77</v>
      </c>
      <c r="BP631">
        <v>0.89</v>
      </c>
      <c r="BQ631">
        <v>9.01</v>
      </c>
      <c r="BR631">
        <v>7.01</v>
      </c>
      <c r="BS631">
        <v>8.01</v>
      </c>
      <c r="BT631">
        <v>10.83</v>
      </c>
      <c r="BU631">
        <v>10.43</v>
      </c>
      <c r="BV631">
        <v>10.629999999999999</v>
      </c>
      <c r="BW631">
        <v>2.74</v>
      </c>
      <c r="BX631">
        <v>2.46</v>
      </c>
      <c r="BY631">
        <v>2.6</v>
      </c>
      <c r="BZ631">
        <v>9.9499999999999993</v>
      </c>
      <c r="CA631">
        <v>6.9499999999999993</v>
      </c>
      <c r="CB631">
        <v>8.4499999999999993</v>
      </c>
      <c r="CC631">
        <v>7.27</v>
      </c>
      <c r="CD631">
        <v>7.0299999999999994</v>
      </c>
      <c r="CE631">
        <v>7.1499999999999995</v>
      </c>
      <c r="CF631">
        <v>2.0099999999999998</v>
      </c>
      <c r="CG631">
        <v>1.5099999999999998</v>
      </c>
      <c r="CH631">
        <v>1.7599999999999998</v>
      </c>
      <c r="CI631">
        <v>0.47</v>
      </c>
      <c r="CJ631">
        <v>0.43</v>
      </c>
      <c r="CK631">
        <v>0.44999999999999996</v>
      </c>
      <c r="CL631">
        <v>42.11</v>
      </c>
      <c r="CM631">
        <v>39.71</v>
      </c>
      <c r="CN631">
        <v>40.909999999999997</v>
      </c>
      <c r="CO631">
        <v>6.05</v>
      </c>
      <c r="CP631">
        <v>1.0499999999999998</v>
      </c>
      <c r="CQ631">
        <v>3.55</v>
      </c>
    </row>
    <row r="632" spans="1:95">
      <c r="A632" s="228">
        <v>45918</v>
      </c>
      <c r="B632" t="s">
        <v>99</v>
      </c>
      <c r="C632">
        <v>147.97999999999999</v>
      </c>
      <c r="D632">
        <v>145.97999999999999</v>
      </c>
      <c r="E632">
        <v>146.97999999999999</v>
      </c>
      <c r="F632">
        <v>175.29</v>
      </c>
      <c r="G632">
        <v>172.29</v>
      </c>
      <c r="H632">
        <v>173.79</v>
      </c>
      <c r="I632">
        <v>108.33</v>
      </c>
      <c r="J632">
        <v>105.13</v>
      </c>
      <c r="K632">
        <v>106.72999999999999</v>
      </c>
      <c r="L632">
        <v>204.32</v>
      </c>
      <c r="M632">
        <v>196.32</v>
      </c>
      <c r="N632">
        <v>200.32</v>
      </c>
      <c r="O632">
        <v>187.26</v>
      </c>
      <c r="P632">
        <v>185.45999999999998</v>
      </c>
      <c r="Q632">
        <v>186.35999999999999</v>
      </c>
      <c r="R632">
        <v>23.58</v>
      </c>
      <c r="S632">
        <v>22.979999999999997</v>
      </c>
      <c r="T632">
        <v>23.279999999999998</v>
      </c>
      <c r="U632">
        <v>15.27</v>
      </c>
      <c r="V632">
        <v>14.67</v>
      </c>
      <c r="W632">
        <v>14.969999999999999</v>
      </c>
      <c r="X632">
        <v>16.21</v>
      </c>
      <c r="Y632">
        <v>15.41</v>
      </c>
      <c r="Z632">
        <v>15.81</v>
      </c>
      <c r="AA632">
        <v>99.73</v>
      </c>
      <c r="AB632">
        <v>95.73</v>
      </c>
      <c r="AC632">
        <v>97.73</v>
      </c>
      <c r="AD632">
        <v>89.04</v>
      </c>
      <c r="AE632">
        <v>85.04</v>
      </c>
      <c r="AF632">
        <v>87.04</v>
      </c>
      <c r="AG632">
        <v>19.329999999999998</v>
      </c>
      <c r="AH632">
        <v>18.47</v>
      </c>
      <c r="AI632">
        <v>18.899999999999999</v>
      </c>
      <c r="AM632">
        <v>115.82</v>
      </c>
      <c r="AN632">
        <v>114.16</v>
      </c>
      <c r="AO632">
        <v>114.99</v>
      </c>
      <c r="AP632">
        <v>40.07</v>
      </c>
      <c r="AQ632">
        <v>38.47</v>
      </c>
      <c r="AR632">
        <v>39.269999999999996</v>
      </c>
      <c r="AS632">
        <v>40.770000000000003</v>
      </c>
      <c r="AT632">
        <v>39.410000000000004</v>
      </c>
      <c r="AU632">
        <v>40.090000000000003</v>
      </c>
      <c r="AV632">
        <v>20.99</v>
      </c>
      <c r="AW632">
        <v>20.389999999999997</v>
      </c>
      <c r="AX632">
        <v>20.689999999999998</v>
      </c>
      <c r="AY632">
        <v>4.7</v>
      </c>
      <c r="AZ632">
        <v>4.54</v>
      </c>
      <c r="BA632">
        <v>4.62</v>
      </c>
      <c r="BB632">
        <v>1.84</v>
      </c>
      <c r="BC632">
        <v>1.54</v>
      </c>
      <c r="BD632">
        <v>1.69</v>
      </c>
      <c r="BE632">
        <v>0.67</v>
      </c>
      <c r="BF632">
        <v>0.37000000000000005</v>
      </c>
      <c r="BG632">
        <v>0.52</v>
      </c>
      <c r="BH632">
        <v>492.28</v>
      </c>
      <c r="BI632">
        <v>476.28</v>
      </c>
      <c r="BJ632">
        <v>484.28</v>
      </c>
      <c r="BK632">
        <v>41.13</v>
      </c>
      <c r="BL632">
        <v>39.770000000000003</v>
      </c>
      <c r="BM632">
        <v>40.450000000000003</v>
      </c>
      <c r="BN632">
        <v>1.02</v>
      </c>
      <c r="BO632">
        <v>0.78</v>
      </c>
      <c r="BP632">
        <v>0.9</v>
      </c>
      <c r="BQ632">
        <v>9.0299999999999994</v>
      </c>
      <c r="BR632">
        <v>7.0299999999999994</v>
      </c>
      <c r="BS632">
        <v>8.0299999999999994</v>
      </c>
      <c r="BT632">
        <v>10.85</v>
      </c>
      <c r="BU632">
        <v>10.45</v>
      </c>
      <c r="BV632">
        <v>10.649999999999999</v>
      </c>
      <c r="BW632">
        <v>2.75</v>
      </c>
      <c r="BX632">
        <v>2.4699999999999998</v>
      </c>
      <c r="BY632">
        <v>2.61</v>
      </c>
      <c r="BZ632">
        <v>9.9600000000000009</v>
      </c>
      <c r="CA632">
        <v>6.9600000000000009</v>
      </c>
      <c r="CB632">
        <v>8.4600000000000009</v>
      </c>
      <c r="CC632">
        <v>7.27</v>
      </c>
      <c r="CD632">
        <v>7.0299999999999994</v>
      </c>
      <c r="CE632">
        <v>7.1499999999999995</v>
      </c>
      <c r="CF632">
        <v>2</v>
      </c>
      <c r="CG632">
        <v>1.5</v>
      </c>
      <c r="CH632">
        <v>1.75</v>
      </c>
      <c r="CI632">
        <v>0.47</v>
      </c>
      <c r="CJ632">
        <v>0.43</v>
      </c>
      <c r="CK632">
        <v>0.44999999999999996</v>
      </c>
      <c r="CL632">
        <v>41.99</v>
      </c>
      <c r="CM632">
        <v>39.590000000000003</v>
      </c>
      <c r="CN632">
        <v>40.790000000000006</v>
      </c>
      <c r="CO632">
        <v>6.06</v>
      </c>
      <c r="CP632">
        <v>1.0599999999999996</v>
      </c>
      <c r="CQ632">
        <v>3.5599999999999996</v>
      </c>
    </row>
    <row r="633" spans="1:95">
      <c r="A633" s="228">
        <v>45919</v>
      </c>
      <c r="B633" t="s">
        <v>100</v>
      </c>
      <c r="C633">
        <v>149.05000000000001</v>
      </c>
      <c r="D633">
        <v>147.05000000000001</v>
      </c>
      <c r="E633">
        <v>148.05000000000001</v>
      </c>
      <c r="F633">
        <v>176.01</v>
      </c>
      <c r="G633">
        <v>173.01</v>
      </c>
      <c r="H633">
        <v>174.51</v>
      </c>
      <c r="I633">
        <v>108.89</v>
      </c>
      <c r="J633">
        <v>105.69</v>
      </c>
      <c r="K633">
        <v>107.28999999999999</v>
      </c>
      <c r="L633">
        <v>204.59</v>
      </c>
      <c r="M633">
        <v>196.59</v>
      </c>
      <c r="N633">
        <v>200.59</v>
      </c>
      <c r="O633">
        <v>187.69</v>
      </c>
      <c r="P633">
        <v>185.89</v>
      </c>
      <c r="Q633">
        <v>186.79</v>
      </c>
      <c r="R633">
        <v>23.68</v>
      </c>
      <c r="S633">
        <v>23.08</v>
      </c>
      <c r="T633">
        <v>23.38</v>
      </c>
      <c r="U633">
        <v>15.28</v>
      </c>
      <c r="V633">
        <v>14.68</v>
      </c>
      <c r="W633">
        <v>14.98</v>
      </c>
      <c r="X633">
        <v>16.23</v>
      </c>
      <c r="Y633">
        <v>15.43</v>
      </c>
      <c r="Z633">
        <v>15.83</v>
      </c>
      <c r="AA633">
        <v>99.88</v>
      </c>
      <c r="AB633">
        <v>95.88</v>
      </c>
      <c r="AC633">
        <v>97.88</v>
      </c>
      <c r="AD633">
        <v>89.17</v>
      </c>
      <c r="AE633">
        <v>85.17</v>
      </c>
      <c r="AF633">
        <v>87.17</v>
      </c>
      <c r="AG633">
        <v>19.47</v>
      </c>
      <c r="AH633">
        <v>18.61</v>
      </c>
      <c r="AI633">
        <v>19.04</v>
      </c>
      <c r="AM633">
        <v>116.29</v>
      </c>
      <c r="AN633">
        <v>114.63000000000001</v>
      </c>
      <c r="AO633">
        <v>115.46000000000001</v>
      </c>
      <c r="AP633">
        <v>40.36</v>
      </c>
      <c r="AQ633">
        <v>38.76</v>
      </c>
      <c r="AR633">
        <v>39.56</v>
      </c>
      <c r="AS633">
        <v>40.92</v>
      </c>
      <c r="AT633">
        <v>39.56</v>
      </c>
      <c r="AU633">
        <v>40.24</v>
      </c>
      <c r="AV633">
        <v>21.12</v>
      </c>
      <c r="AW633">
        <v>20.52</v>
      </c>
      <c r="AX633">
        <v>20.82</v>
      </c>
      <c r="AY633">
        <v>4.72</v>
      </c>
      <c r="AZ633">
        <v>4.5599999999999996</v>
      </c>
      <c r="BA633">
        <v>4.6399999999999997</v>
      </c>
      <c r="BB633">
        <v>1.84</v>
      </c>
      <c r="BC633">
        <v>1.54</v>
      </c>
      <c r="BD633">
        <v>1.69</v>
      </c>
      <c r="BE633">
        <v>0.68</v>
      </c>
      <c r="BF633">
        <v>0.38000000000000006</v>
      </c>
      <c r="BG633">
        <v>0.53</v>
      </c>
      <c r="BH633">
        <v>495.65</v>
      </c>
      <c r="BI633">
        <v>479.65</v>
      </c>
      <c r="BJ633">
        <v>487.65</v>
      </c>
      <c r="BK633">
        <v>41.42</v>
      </c>
      <c r="BL633">
        <v>40.06</v>
      </c>
      <c r="BM633">
        <v>40.74</v>
      </c>
      <c r="BN633">
        <v>1.02</v>
      </c>
      <c r="BO633">
        <v>0.78</v>
      </c>
      <c r="BP633">
        <v>0.9</v>
      </c>
      <c r="BQ633">
        <v>9.06</v>
      </c>
      <c r="BR633">
        <v>7.0600000000000005</v>
      </c>
      <c r="BS633">
        <v>8.06</v>
      </c>
      <c r="BT633">
        <v>10.86</v>
      </c>
      <c r="BU633">
        <v>10.459999999999999</v>
      </c>
      <c r="BV633">
        <v>10.66</v>
      </c>
      <c r="BW633">
        <v>2.76</v>
      </c>
      <c r="BX633">
        <v>2.4799999999999995</v>
      </c>
      <c r="BY633">
        <v>2.6199999999999997</v>
      </c>
      <c r="BZ633">
        <v>10.029999999999999</v>
      </c>
      <c r="CA633">
        <v>7.0299999999999994</v>
      </c>
      <c r="CB633">
        <v>8.5299999999999994</v>
      </c>
      <c r="CC633">
        <v>7.31</v>
      </c>
      <c r="CD633">
        <v>7.0699999999999994</v>
      </c>
      <c r="CE633">
        <v>7.1899999999999995</v>
      </c>
      <c r="CF633">
        <v>2.0299999999999998</v>
      </c>
      <c r="CG633">
        <v>1.5299999999999998</v>
      </c>
      <c r="CH633">
        <v>1.7799999999999998</v>
      </c>
      <c r="CI633">
        <v>0.47</v>
      </c>
      <c r="CJ633">
        <v>0.43</v>
      </c>
      <c r="CK633">
        <v>0.44999999999999996</v>
      </c>
      <c r="CL633">
        <v>42.18</v>
      </c>
      <c r="CM633">
        <v>39.78</v>
      </c>
      <c r="CN633">
        <v>40.980000000000004</v>
      </c>
      <c r="CO633">
        <v>6.09</v>
      </c>
      <c r="CP633">
        <v>1.0899999999999999</v>
      </c>
      <c r="CQ633">
        <v>3.59</v>
      </c>
    </row>
    <row r="634" spans="1:95">
      <c r="A634" s="228">
        <v>45920</v>
      </c>
      <c r="B634" t="s">
        <v>307</v>
      </c>
    </row>
    <row r="635" spans="1:95">
      <c r="A635" s="228">
        <v>45921</v>
      </c>
      <c r="B635" t="s">
        <v>308</v>
      </c>
    </row>
    <row r="636" spans="1:95">
      <c r="A636" s="228">
        <v>45922</v>
      </c>
      <c r="B636" t="s">
        <v>96</v>
      </c>
      <c r="C636">
        <v>149.29</v>
      </c>
      <c r="D636">
        <v>147.29</v>
      </c>
      <c r="E636">
        <v>148.29</v>
      </c>
      <c r="F636">
        <v>175.38</v>
      </c>
      <c r="G636">
        <v>172.38</v>
      </c>
      <c r="H636">
        <v>173.88</v>
      </c>
      <c r="I636">
        <v>109.08</v>
      </c>
      <c r="J636">
        <v>105.88</v>
      </c>
      <c r="K636">
        <v>107.47999999999999</v>
      </c>
      <c r="L636">
        <v>203.6</v>
      </c>
      <c r="M636">
        <v>195.6</v>
      </c>
      <c r="N636">
        <v>199.6</v>
      </c>
      <c r="O636">
        <v>186.94</v>
      </c>
      <c r="P636">
        <v>185.14</v>
      </c>
      <c r="Q636">
        <v>186.04</v>
      </c>
      <c r="R636">
        <v>23.6</v>
      </c>
      <c r="S636">
        <v>23</v>
      </c>
      <c r="T636">
        <v>23.3</v>
      </c>
      <c r="U636">
        <v>15.2</v>
      </c>
      <c r="V636">
        <v>14.6</v>
      </c>
      <c r="W636">
        <v>14.899999999999999</v>
      </c>
      <c r="X636">
        <v>16.13</v>
      </c>
      <c r="Y636">
        <v>15.329999999999998</v>
      </c>
      <c r="Z636">
        <v>15.729999999999999</v>
      </c>
      <c r="AA636">
        <v>99.62</v>
      </c>
      <c r="AB636">
        <v>95.62</v>
      </c>
      <c r="AC636">
        <v>97.62</v>
      </c>
      <c r="AD636">
        <v>88.71</v>
      </c>
      <c r="AE636">
        <v>84.71</v>
      </c>
      <c r="AF636">
        <v>86.71</v>
      </c>
      <c r="AG636">
        <v>19.510000000000002</v>
      </c>
      <c r="AH636">
        <v>18.650000000000002</v>
      </c>
      <c r="AI636">
        <v>19.080000000000002</v>
      </c>
      <c r="AM636">
        <v>116.14</v>
      </c>
      <c r="AN636">
        <v>114.48</v>
      </c>
      <c r="AO636">
        <v>115.31</v>
      </c>
      <c r="AP636">
        <v>40.43</v>
      </c>
      <c r="AQ636">
        <v>38.83</v>
      </c>
      <c r="AR636">
        <v>39.629999999999995</v>
      </c>
      <c r="AS636">
        <v>41.12</v>
      </c>
      <c r="AT636">
        <v>39.76</v>
      </c>
      <c r="AU636">
        <v>40.44</v>
      </c>
      <c r="AV636">
        <v>21.13</v>
      </c>
      <c r="AW636">
        <v>20.529999999999998</v>
      </c>
      <c r="AX636">
        <v>20.83</v>
      </c>
      <c r="AY636">
        <v>4.74</v>
      </c>
      <c r="AZ636">
        <v>4.58</v>
      </c>
      <c r="BA636">
        <v>4.66</v>
      </c>
      <c r="BB636">
        <v>1.84</v>
      </c>
      <c r="BC636">
        <v>1.54</v>
      </c>
      <c r="BD636">
        <v>1.69</v>
      </c>
      <c r="BE636">
        <v>0.68</v>
      </c>
      <c r="BF636">
        <v>0.38000000000000006</v>
      </c>
      <c r="BG636">
        <v>0.53</v>
      </c>
      <c r="BH636">
        <v>496.92</v>
      </c>
      <c r="BI636">
        <v>480.92</v>
      </c>
      <c r="BJ636">
        <v>488.92</v>
      </c>
      <c r="BK636">
        <v>41.49</v>
      </c>
      <c r="BL636">
        <v>40.130000000000003</v>
      </c>
      <c r="BM636">
        <v>40.81</v>
      </c>
      <c r="BN636">
        <v>1.02</v>
      </c>
      <c r="BO636">
        <v>0.78</v>
      </c>
      <c r="BP636">
        <v>0.9</v>
      </c>
      <c r="BQ636">
        <v>9.0500000000000007</v>
      </c>
      <c r="BR636">
        <v>7.0500000000000007</v>
      </c>
      <c r="BS636">
        <v>8.0500000000000007</v>
      </c>
      <c r="BT636">
        <v>10.82</v>
      </c>
      <c r="BU636">
        <v>10.42</v>
      </c>
      <c r="BV636">
        <v>10.620000000000001</v>
      </c>
      <c r="BW636">
        <v>2.76</v>
      </c>
      <c r="BX636">
        <v>2.4799999999999995</v>
      </c>
      <c r="BY636">
        <v>2.6199999999999997</v>
      </c>
      <c r="BZ636">
        <v>10.039999999999999</v>
      </c>
      <c r="CA636">
        <v>7.0399999999999991</v>
      </c>
      <c r="CB636">
        <v>8.5399999999999991</v>
      </c>
      <c r="CC636">
        <v>7.28</v>
      </c>
      <c r="CD636">
        <v>7.04</v>
      </c>
      <c r="CE636">
        <v>7.16</v>
      </c>
      <c r="CF636">
        <v>2.0299999999999998</v>
      </c>
      <c r="CG636">
        <v>1.5299999999999998</v>
      </c>
      <c r="CH636">
        <v>1.7799999999999998</v>
      </c>
      <c r="CI636">
        <v>0.47</v>
      </c>
      <c r="CJ636">
        <v>0.43</v>
      </c>
      <c r="CK636">
        <v>0.44999999999999996</v>
      </c>
      <c r="CL636">
        <v>41.96</v>
      </c>
      <c r="CM636">
        <v>39.56</v>
      </c>
      <c r="CN636">
        <v>40.760000000000005</v>
      </c>
      <c r="CO636">
        <v>6.09</v>
      </c>
      <c r="CP636">
        <v>1.0899999999999999</v>
      </c>
      <c r="CQ636">
        <v>3.59</v>
      </c>
    </row>
    <row r="637" spans="1:95">
      <c r="A637" s="228">
        <v>45923</v>
      </c>
      <c r="B637" t="s">
        <v>97</v>
      </c>
    </row>
    <row r="638" spans="1:95">
      <c r="A638" s="228">
        <v>45924</v>
      </c>
      <c r="B638" t="s">
        <v>98</v>
      </c>
      <c r="C638">
        <v>148.85</v>
      </c>
      <c r="D638">
        <v>146.85</v>
      </c>
      <c r="E638">
        <v>147.85</v>
      </c>
      <c r="F638">
        <v>176.01</v>
      </c>
      <c r="G638">
        <v>173.01</v>
      </c>
      <c r="H638">
        <v>174.51</v>
      </c>
      <c r="I638">
        <v>108.37</v>
      </c>
      <c r="J638">
        <v>105.17</v>
      </c>
      <c r="K638">
        <v>106.77000000000001</v>
      </c>
      <c r="L638">
        <v>203.83</v>
      </c>
      <c r="M638">
        <v>195.83</v>
      </c>
      <c r="N638">
        <v>199.83</v>
      </c>
      <c r="O638">
        <v>187.56</v>
      </c>
      <c r="P638">
        <v>185.76</v>
      </c>
      <c r="Q638">
        <v>186.66</v>
      </c>
      <c r="R638">
        <v>23.68</v>
      </c>
      <c r="S638">
        <v>23.08</v>
      </c>
      <c r="T638">
        <v>23.38</v>
      </c>
      <c r="U638">
        <v>15.24</v>
      </c>
      <c r="V638">
        <v>14.64</v>
      </c>
      <c r="W638">
        <v>14.940000000000001</v>
      </c>
      <c r="X638">
        <v>16.22</v>
      </c>
      <c r="Y638">
        <v>15.419999999999998</v>
      </c>
      <c r="Z638">
        <v>15.819999999999999</v>
      </c>
      <c r="AA638">
        <v>99.45</v>
      </c>
      <c r="AB638">
        <v>95.45</v>
      </c>
      <c r="AC638">
        <v>97.45</v>
      </c>
      <c r="AD638">
        <v>88.55</v>
      </c>
      <c r="AE638">
        <v>84.55</v>
      </c>
      <c r="AF638">
        <v>86.55</v>
      </c>
      <c r="AG638">
        <v>19.45</v>
      </c>
      <c r="AH638">
        <v>18.59</v>
      </c>
      <c r="AI638">
        <v>19.02</v>
      </c>
      <c r="AM638">
        <v>115.94</v>
      </c>
      <c r="AN638">
        <v>114.28</v>
      </c>
      <c r="AO638">
        <v>115.11</v>
      </c>
      <c r="AP638">
        <v>40.299999999999997</v>
      </c>
      <c r="AQ638">
        <v>38.699999999999996</v>
      </c>
      <c r="AR638">
        <v>39.5</v>
      </c>
      <c r="AS638">
        <v>41.01</v>
      </c>
      <c r="AT638">
        <v>39.65</v>
      </c>
      <c r="AU638">
        <v>40.33</v>
      </c>
      <c r="AV638">
        <v>21.08</v>
      </c>
      <c r="AW638">
        <v>20.479999999999997</v>
      </c>
      <c r="AX638">
        <v>20.779999999999998</v>
      </c>
      <c r="AY638">
        <v>4.71</v>
      </c>
      <c r="AZ638">
        <v>4.55</v>
      </c>
      <c r="BA638">
        <v>4.63</v>
      </c>
      <c r="BB638">
        <v>1.82</v>
      </c>
      <c r="BC638">
        <v>1.52</v>
      </c>
      <c r="BD638">
        <v>1.67</v>
      </c>
      <c r="BE638">
        <v>0.68</v>
      </c>
      <c r="BF638">
        <v>0.38000000000000006</v>
      </c>
      <c r="BG638">
        <v>0.53</v>
      </c>
      <c r="BH638">
        <v>495.79</v>
      </c>
      <c r="BI638">
        <v>479.79</v>
      </c>
      <c r="BJ638">
        <v>487.79</v>
      </c>
      <c r="BK638">
        <v>41.37</v>
      </c>
      <c r="BL638">
        <v>40.01</v>
      </c>
      <c r="BM638">
        <v>40.69</v>
      </c>
      <c r="BN638">
        <v>1.01</v>
      </c>
      <c r="BO638">
        <v>0.77</v>
      </c>
      <c r="BP638">
        <v>0.89</v>
      </c>
      <c r="BQ638">
        <v>9.06</v>
      </c>
      <c r="BR638">
        <v>7.0600000000000005</v>
      </c>
      <c r="BS638">
        <v>8.06</v>
      </c>
      <c r="BT638">
        <v>10.81</v>
      </c>
      <c r="BU638">
        <v>10.41</v>
      </c>
      <c r="BV638">
        <v>10.61</v>
      </c>
      <c r="BW638">
        <v>2.75</v>
      </c>
      <c r="BX638">
        <v>2.4699999999999998</v>
      </c>
      <c r="BY638">
        <v>2.61</v>
      </c>
      <c r="BZ638">
        <v>10.07</v>
      </c>
      <c r="CA638">
        <v>7.07</v>
      </c>
      <c r="CB638">
        <v>8.57</v>
      </c>
      <c r="CC638">
        <v>7.32</v>
      </c>
      <c r="CD638">
        <v>7.08</v>
      </c>
      <c r="CE638">
        <v>7.2</v>
      </c>
      <c r="CF638">
        <v>2.02</v>
      </c>
      <c r="CG638">
        <v>1.52</v>
      </c>
      <c r="CH638">
        <v>1.77</v>
      </c>
      <c r="CI638">
        <v>0.47</v>
      </c>
      <c r="CJ638">
        <v>0.43</v>
      </c>
      <c r="CK638">
        <v>0.44999999999999996</v>
      </c>
      <c r="CL638">
        <v>42.2</v>
      </c>
      <c r="CM638">
        <v>39.800000000000004</v>
      </c>
      <c r="CN638">
        <v>41</v>
      </c>
      <c r="CO638">
        <v>6.07</v>
      </c>
      <c r="CP638">
        <v>1.0700000000000003</v>
      </c>
      <c r="CQ638">
        <v>3.5700000000000003</v>
      </c>
    </row>
    <row r="639" spans="1:95">
      <c r="A639" s="228">
        <v>45925</v>
      </c>
      <c r="B639" t="s">
        <v>99</v>
      </c>
      <c r="C639">
        <v>149.77000000000001</v>
      </c>
      <c r="D639">
        <v>147.77000000000001</v>
      </c>
      <c r="E639">
        <v>148.77000000000001</v>
      </c>
      <c r="F639">
        <v>176.19</v>
      </c>
      <c r="G639">
        <v>173.19</v>
      </c>
      <c r="H639">
        <v>174.69</v>
      </c>
      <c r="I639">
        <v>108.67</v>
      </c>
      <c r="J639">
        <v>105.47</v>
      </c>
      <c r="K639">
        <v>107.07</v>
      </c>
      <c r="L639">
        <v>204.13</v>
      </c>
      <c r="M639">
        <v>196.13</v>
      </c>
      <c r="N639">
        <v>200.13</v>
      </c>
      <c r="O639">
        <v>188.06</v>
      </c>
      <c r="P639">
        <v>186.26</v>
      </c>
      <c r="Q639">
        <v>187.16</v>
      </c>
      <c r="R639">
        <v>23.7</v>
      </c>
      <c r="S639">
        <v>23.099999999999998</v>
      </c>
      <c r="T639">
        <v>23.4</v>
      </c>
      <c r="U639">
        <v>15.27</v>
      </c>
      <c r="V639">
        <v>14.67</v>
      </c>
      <c r="W639">
        <v>14.969999999999999</v>
      </c>
      <c r="X639">
        <v>16.22</v>
      </c>
      <c r="Y639">
        <v>15.419999999999998</v>
      </c>
      <c r="Z639">
        <v>15.819999999999999</v>
      </c>
      <c r="AA639">
        <v>100.04</v>
      </c>
      <c r="AB639">
        <v>96.04</v>
      </c>
      <c r="AC639">
        <v>98.04</v>
      </c>
      <c r="AD639">
        <v>88.47</v>
      </c>
      <c r="AE639">
        <v>84.47</v>
      </c>
      <c r="AF639">
        <v>86.47</v>
      </c>
      <c r="AG639">
        <v>19.559999999999999</v>
      </c>
      <c r="AH639">
        <v>18.7</v>
      </c>
      <c r="AI639">
        <v>19.13</v>
      </c>
      <c r="AM639">
        <v>116.36</v>
      </c>
      <c r="AN639">
        <v>114.7</v>
      </c>
      <c r="AO639">
        <v>115.53</v>
      </c>
      <c r="AP639">
        <v>40.39</v>
      </c>
      <c r="AQ639">
        <v>38.79</v>
      </c>
      <c r="AR639">
        <v>39.590000000000003</v>
      </c>
      <c r="AS639">
        <v>41.26</v>
      </c>
      <c r="AT639">
        <v>39.9</v>
      </c>
      <c r="AU639">
        <v>40.58</v>
      </c>
      <c r="AV639">
        <v>21.15</v>
      </c>
      <c r="AW639">
        <v>20.549999999999997</v>
      </c>
      <c r="AX639">
        <v>20.849999999999998</v>
      </c>
      <c r="AY639">
        <v>4.7300000000000004</v>
      </c>
      <c r="AZ639">
        <v>4.57</v>
      </c>
      <c r="BA639">
        <v>4.6500000000000004</v>
      </c>
      <c r="BB639">
        <v>1.84</v>
      </c>
      <c r="BC639">
        <v>1.54</v>
      </c>
      <c r="BD639">
        <v>1.69</v>
      </c>
      <c r="BE639">
        <v>0.68</v>
      </c>
      <c r="BF639">
        <v>0.38000000000000006</v>
      </c>
      <c r="BG639">
        <v>0.53</v>
      </c>
      <c r="BH639">
        <v>497.7</v>
      </c>
      <c r="BI639">
        <v>481.7</v>
      </c>
      <c r="BJ639">
        <v>489.7</v>
      </c>
      <c r="BK639">
        <v>41.63</v>
      </c>
      <c r="BL639">
        <v>40.270000000000003</v>
      </c>
      <c r="BM639">
        <v>40.950000000000003</v>
      </c>
      <c r="BN639">
        <v>1.02</v>
      </c>
      <c r="BO639">
        <v>0.78</v>
      </c>
      <c r="BP639">
        <v>0.9</v>
      </c>
      <c r="BQ639">
        <v>9.08</v>
      </c>
      <c r="BR639">
        <v>7.08</v>
      </c>
      <c r="BS639">
        <v>8.08</v>
      </c>
      <c r="BT639">
        <v>10.84</v>
      </c>
      <c r="BU639">
        <v>10.44</v>
      </c>
      <c r="BV639">
        <v>10.64</v>
      </c>
      <c r="BW639">
        <v>2.76</v>
      </c>
      <c r="BX639">
        <v>2.4799999999999995</v>
      </c>
      <c r="BY639">
        <v>2.6199999999999997</v>
      </c>
      <c r="BZ639">
        <v>10.08</v>
      </c>
      <c r="CA639">
        <v>7.08</v>
      </c>
      <c r="CB639">
        <v>8.58</v>
      </c>
      <c r="CC639">
        <v>7.31</v>
      </c>
      <c r="CD639">
        <v>7.0699999999999994</v>
      </c>
      <c r="CE639">
        <v>7.1899999999999995</v>
      </c>
      <c r="CF639">
        <v>2.0299999999999998</v>
      </c>
      <c r="CG639">
        <v>1.5299999999999998</v>
      </c>
      <c r="CH639">
        <v>1.7799999999999998</v>
      </c>
      <c r="CI639">
        <v>0.47</v>
      </c>
      <c r="CJ639">
        <v>0.43</v>
      </c>
      <c r="CK639">
        <v>0.44999999999999996</v>
      </c>
      <c r="CL639">
        <v>42.15</v>
      </c>
      <c r="CM639">
        <v>39.75</v>
      </c>
      <c r="CN639">
        <v>40.950000000000003</v>
      </c>
      <c r="CO639">
        <v>6.09</v>
      </c>
      <c r="CP639">
        <v>1.0899999999999999</v>
      </c>
      <c r="CQ639">
        <v>3.59</v>
      </c>
    </row>
    <row r="640" spans="1:95">
      <c r="A640" s="228">
        <v>45926</v>
      </c>
      <c r="B640" t="s">
        <v>100</v>
      </c>
      <c r="C640">
        <v>150.79</v>
      </c>
      <c r="D640">
        <v>148.79</v>
      </c>
      <c r="E640">
        <v>149.79</v>
      </c>
      <c r="F640">
        <v>176.19</v>
      </c>
      <c r="G640">
        <v>173.19</v>
      </c>
      <c r="H640">
        <v>174.69</v>
      </c>
      <c r="I640">
        <v>109.01</v>
      </c>
      <c r="J640">
        <v>105.81</v>
      </c>
      <c r="K640">
        <v>107.41</v>
      </c>
      <c r="L640">
        <v>203.8</v>
      </c>
      <c r="M640">
        <v>195.8</v>
      </c>
      <c r="N640">
        <v>199.8</v>
      </c>
      <c r="O640">
        <v>188.07</v>
      </c>
      <c r="P640">
        <v>186.26999999999998</v>
      </c>
      <c r="Q640">
        <v>187.17</v>
      </c>
      <c r="R640">
        <v>23.7</v>
      </c>
      <c r="S640">
        <v>23.099999999999998</v>
      </c>
      <c r="T640">
        <v>23.4</v>
      </c>
      <c r="U640">
        <v>15.21</v>
      </c>
      <c r="V640">
        <v>14.610000000000001</v>
      </c>
      <c r="W640">
        <v>14.91</v>
      </c>
      <c r="X640">
        <v>16.22</v>
      </c>
      <c r="Y640">
        <v>15.419999999999998</v>
      </c>
      <c r="Z640">
        <v>15.819999999999999</v>
      </c>
      <c r="AA640">
        <v>99.84</v>
      </c>
      <c r="AB640">
        <v>95.84</v>
      </c>
      <c r="AC640">
        <v>97.84</v>
      </c>
      <c r="AD640">
        <v>88.28</v>
      </c>
      <c r="AE640">
        <v>84.28</v>
      </c>
      <c r="AF640">
        <v>86.28</v>
      </c>
      <c r="AG640">
        <v>19.68</v>
      </c>
      <c r="AH640">
        <v>18.82</v>
      </c>
      <c r="AI640">
        <v>19.25</v>
      </c>
      <c r="AM640">
        <v>116.59</v>
      </c>
      <c r="AN640">
        <v>114.93</v>
      </c>
      <c r="AO640">
        <v>115.76</v>
      </c>
      <c r="AP640">
        <v>40.83</v>
      </c>
      <c r="AQ640">
        <v>39.229999999999997</v>
      </c>
      <c r="AR640">
        <v>40.03</v>
      </c>
      <c r="AS640">
        <v>41.54</v>
      </c>
      <c r="AT640">
        <v>40.18</v>
      </c>
      <c r="AU640">
        <v>40.86</v>
      </c>
      <c r="AV640">
        <v>21.26</v>
      </c>
      <c r="AW640">
        <v>20.66</v>
      </c>
      <c r="AX640">
        <v>20.96</v>
      </c>
      <c r="AY640">
        <v>4.7300000000000004</v>
      </c>
      <c r="AZ640">
        <v>4.57</v>
      </c>
      <c r="BA640">
        <v>4.6500000000000004</v>
      </c>
      <c r="BB640">
        <v>1.85</v>
      </c>
      <c r="BC640">
        <v>1.55</v>
      </c>
      <c r="BD640">
        <v>1.7000000000000002</v>
      </c>
      <c r="BE640">
        <v>0.68</v>
      </c>
      <c r="BF640">
        <v>0.38000000000000006</v>
      </c>
      <c r="BG640">
        <v>0.53</v>
      </c>
      <c r="BH640">
        <v>500.41</v>
      </c>
      <c r="BI640">
        <v>484.41</v>
      </c>
      <c r="BJ640">
        <v>492.41</v>
      </c>
      <c r="BK640">
        <v>41.9</v>
      </c>
      <c r="BL640">
        <v>40.54</v>
      </c>
      <c r="BM640">
        <v>41.22</v>
      </c>
      <c r="BN640">
        <v>1.02</v>
      </c>
      <c r="BO640">
        <v>0.78</v>
      </c>
      <c r="BP640">
        <v>0.9</v>
      </c>
      <c r="BQ640">
        <v>9.11</v>
      </c>
      <c r="BR640">
        <v>7.1099999999999994</v>
      </c>
      <c r="BS640">
        <v>8.11</v>
      </c>
      <c r="BT640">
        <v>10.84</v>
      </c>
      <c r="BU640">
        <v>10.44</v>
      </c>
      <c r="BV640">
        <v>10.64</v>
      </c>
      <c r="BW640">
        <v>2.75</v>
      </c>
      <c r="BX640">
        <v>2.4699999999999998</v>
      </c>
      <c r="BY640">
        <v>2.61</v>
      </c>
      <c r="BZ640">
        <v>10.09</v>
      </c>
      <c r="CA640">
        <v>7.09</v>
      </c>
      <c r="CB640">
        <v>8.59</v>
      </c>
      <c r="CC640">
        <v>7.31</v>
      </c>
      <c r="CD640">
        <v>7.0699999999999994</v>
      </c>
      <c r="CE640">
        <v>7.1899999999999995</v>
      </c>
      <c r="CF640">
        <v>2.04</v>
      </c>
      <c r="CG640">
        <v>1.54</v>
      </c>
      <c r="CH640">
        <v>1.79</v>
      </c>
      <c r="CI640">
        <v>0.47</v>
      </c>
      <c r="CJ640">
        <v>0.43</v>
      </c>
      <c r="CK640">
        <v>0.44999999999999996</v>
      </c>
      <c r="CL640">
        <v>42.13</v>
      </c>
      <c r="CM640">
        <v>39.730000000000004</v>
      </c>
      <c r="CN640">
        <v>40.930000000000007</v>
      </c>
      <c r="CO640">
        <v>6.11</v>
      </c>
      <c r="CP640">
        <v>1.1100000000000003</v>
      </c>
      <c r="CQ640">
        <v>3.6100000000000003</v>
      </c>
    </row>
    <row r="641" spans="1:95">
      <c r="A641" s="228">
        <v>45927</v>
      </c>
      <c r="B641" t="s">
        <v>307</v>
      </c>
    </row>
    <row r="642" spans="1:95">
      <c r="A642" s="228">
        <v>45928</v>
      </c>
      <c r="B642" t="s">
        <v>308</v>
      </c>
    </row>
    <row r="643" spans="1:95">
      <c r="A643" s="228">
        <v>45929</v>
      </c>
      <c r="B643" t="s">
        <v>96</v>
      </c>
      <c r="C643">
        <v>150.21</v>
      </c>
      <c r="D643">
        <v>148.21</v>
      </c>
      <c r="E643">
        <v>149.21</v>
      </c>
      <c r="F643">
        <v>176.4</v>
      </c>
      <c r="G643">
        <v>173.4</v>
      </c>
      <c r="H643">
        <v>174.9</v>
      </c>
      <c r="I643">
        <v>108.74</v>
      </c>
      <c r="J643">
        <v>105.53999999999999</v>
      </c>
      <c r="K643">
        <v>107.13999999999999</v>
      </c>
      <c r="L643">
        <v>204.28</v>
      </c>
      <c r="M643">
        <v>196.28</v>
      </c>
      <c r="N643">
        <v>200.28</v>
      </c>
      <c r="O643">
        <v>188.19</v>
      </c>
      <c r="P643">
        <v>186.39</v>
      </c>
      <c r="Q643">
        <v>187.29</v>
      </c>
      <c r="R643">
        <v>23.73</v>
      </c>
      <c r="S643">
        <v>23.13</v>
      </c>
      <c r="T643">
        <v>23.43</v>
      </c>
      <c r="U643">
        <v>15.29</v>
      </c>
      <c r="V643">
        <v>14.69</v>
      </c>
      <c r="W643">
        <v>14.989999999999998</v>
      </c>
      <c r="X643">
        <v>16.27</v>
      </c>
      <c r="Y643">
        <v>15.469999999999999</v>
      </c>
      <c r="Z643">
        <v>15.87</v>
      </c>
      <c r="AA643">
        <v>99.85</v>
      </c>
      <c r="AB643">
        <v>95.85</v>
      </c>
      <c r="AC643">
        <v>97.85</v>
      </c>
      <c r="AD643">
        <v>88.27</v>
      </c>
      <c r="AE643">
        <v>84.27</v>
      </c>
      <c r="AF643">
        <v>86.27</v>
      </c>
      <c r="AG643">
        <v>19.61</v>
      </c>
      <c r="AH643">
        <v>18.75</v>
      </c>
      <c r="AI643">
        <v>19.18</v>
      </c>
      <c r="AM643">
        <v>116.47</v>
      </c>
      <c r="AN643">
        <v>114.81</v>
      </c>
      <c r="AO643">
        <v>115.64</v>
      </c>
      <c r="AP643">
        <v>40.67</v>
      </c>
      <c r="AQ643">
        <v>39.07</v>
      </c>
      <c r="AR643">
        <v>39.870000000000005</v>
      </c>
      <c r="AS643">
        <v>41.37</v>
      </c>
      <c r="AT643">
        <v>40.01</v>
      </c>
      <c r="AU643">
        <v>40.69</v>
      </c>
      <c r="AV643">
        <v>21.2</v>
      </c>
      <c r="AW643">
        <v>20.599999999999998</v>
      </c>
      <c r="AX643">
        <v>20.9</v>
      </c>
      <c r="AY643">
        <v>4.72</v>
      </c>
      <c r="AZ643">
        <v>4.5599999999999996</v>
      </c>
      <c r="BA643">
        <v>4.6399999999999997</v>
      </c>
      <c r="BB643">
        <v>1.84</v>
      </c>
      <c r="BC643">
        <v>1.54</v>
      </c>
      <c r="BD643">
        <v>1.69</v>
      </c>
      <c r="BE643">
        <v>0.68</v>
      </c>
      <c r="BF643">
        <v>0.38000000000000006</v>
      </c>
      <c r="BG643">
        <v>0.53</v>
      </c>
      <c r="BH643">
        <v>499.63</v>
      </c>
      <c r="BI643">
        <v>483.63</v>
      </c>
      <c r="BJ643">
        <v>491.63</v>
      </c>
      <c r="BK643">
        <v>41.74</v>
      </c>
      <c r="BL643">
        <v>40.380000000000003</v>
      </c>
      <c r="BM643">
        <v>41.06</v>
      </c>
      <c r="BN643">
        <v>1.01</v>
      </c>
      <c r="BO643">
        <v>0.77</v>
      </c>
      <c r="BP643">
        <v>0.89</v>
      </c>
      <c r="BQ643">
        <v>9.14</v>
      </c>
      <c r="BR643">
        <v>7.1400000000000006</v>
      </c>
      <c r="BS643">
        <v>8.14</v>
      </c>
      <c r="BT643">
        <v>10.83</v>
      </c>
      <c r="BU643">
        <v>10.43</v>
      </c>
      <c r="BV643">
        <v>10.629999999999999</v>
      </c>
      <c r="BW643">
        <v>2.73</v>
      </c>
      <c r="BX643">
        <v>2.4500000000000002</v>
      </c>
      <c r="BY643">
        <v>2.59</v>
      </c>
      <c r="BZ643">
        <v>10.119999999999999</v>
      </c>
      <c r="CA643">
        <v>7.1199999999999992</v>
      </c>
      <c r="CB643">
        <v>8.6199999999999992</v>
      </c>
      <c r="CC643">
        <v>7.33</v>
      </c>
      <c r="CD643">
        <v>7.09</v>
      </c>
      <c r="CE643">
        <v>7.21</v>
      </c>
      <c r="CF643">
        <v>2.04</v>
      </c>
      <c r="CG643">
        <v>1.54</v>
      </c>
      <c r="CH643">
        <v>1.79</v>
      </c>
      <c r="CI643">
        <v>0.47</v>
      </c>
      <c r="CJ643">
        <v>0.43</v>
      </c>
      <c r="CK643">
        <v>0.44999999999999996</v>
      </c>
      <c r="CL643">
        <v>42.19</v>
      </c>
      <c r="CM643">
        <v>39.79</v>
      </c>
      <c r="CN643">
        <v>40.989999999999995</v>
      </c>
      <c r="CO643">
        <v>6.09</v>
      </c>
      <c r="CP643">
        <v>1.0899999999999999</v>
      </c>
      <c r="CQ643">
        <v>3.59</v>
      </c>
    </row>
    <row r="644" spans="1:95">
      <c r="A644" s="228">
        <v>45930</v>
      </c>
      <c r="B644" t="s">
        <v>97</v>
      </c>
      <c r="C644">
        <v>149.88</v>
      </c>
      <c r="D644">
        <v>147.88</v>
      </c>
      <c r="E644">
        <v>148.88</v>
      </c>
      <c r="F644">
        <v>175.97</v>
      </c>
      <c r="G644">
        <v>172.97</v>
      </c>
      <c r="H644">
        <v>174.47</v>
      </c>
      <c r="I644">
        <v>108.51</v>
      </c>
      <c r="J644">
        <v>105.31</v>
      </c>
      <c r="K644">
        <v>106.91</v>
      </c>
      <c r="L644">
        <v>203.86</v>
      </c>
      <c r="M644">
        <v>195.86</v>
      </c>
      <c r="N644">
        <v>199.86</v>
      </c>
      <c r="O644">
        <v>187.42</v>
      </c>
      <c r="P644">
        <v>185.61999999999998</v>
      </c>
      <c r="Q644">
        <v>186.51999999999998</v>
      </c>
      <c r="R644">
        <v>23.68</v>
      </c>
      <c r="S644">
        <v>23.08</v>
      </c>
      <c r="T644">
        <v>23.38</v>
      </c>
      <c r="U644">
        <v>15.19</v>
      </c>
      <c r="V644">
        <v>14.59</v>
      </c>
      <c r="W644">
        <v>14.89</v>
      </c>
      <c r="X644">
        <v>16.18</v>
      </c>
      <c r="Y644">
        <v>15.379999999999999</v>
      </c>
      <c r="Z644">
        <v>15.78</v>
      </c>
      <c r="AA644">
        <v>99.89</v>
      </c>
      <c r="AB644">
        <v>95.89</v>
      </c>
      <c r="AC644">
        <v>97.89</v>
      </c>
      <c r="AD644">
        <v>88.01</v>
      </c>
      <c r="AE644">
        <v>84.01</v>
      </c>
      <c r="AF644">
        <v>86.01</v>
      </c>
      <c r="AG644">
        <v>19.559999999999999</v>
      </c>
      <c r="AH644">
        <v>18.7</v>
      </c>
      <c r="AI644">
        <v>19.13</v>
      </c>
      <c r="AM644">
        <v>116.16</v>
      </c>
      <c r="AN644">
        <v>114.5</v>
      </c>
      <c r="AO644">
        <v>115.33</v>
      </c>
      <c r="AP644">
        <v>40.58</v>
      </c>
      <c r="AQ644">
        <v>38.979999999999997</v>
      </c>
      <c r="AR644">
        <v>39.78</v>
      </c>
      <c r="AS644">
        <v>41.15</v>
      </c>
      <c r="AT644">
        <v>39.79</v>
      </c>
      <c r="AU644">
        <v>40.47</v>
      </c>
      <c r="AV644">
        <v>21.18</v>
      </c>
      <c r="AW644">
        <v>20.58</v>
      </c>
      <c r="AX644">
        <v>20.88</v>
      </c>
      <c r="AY644">
        <v>4.7</v>
      </c>
      <c r="AZ644">
        <v>4.54</v>
      </c>
      <c r="BA644">
        <v>4.62</v>
      </c>
      <c r="BB644">
        <v>1.84</v>
      </c>
      <c r="BC644">
        <v>1.54</v>
      </c>
      <c r="BD644">
        <v>1.69</v>
      </c>
      <c r="BE644">
        <v>0.68</v>
      </c>
      <c r="BF644">
        <v>0.38000000000000006</v>
      </c>
      <c r="BG644">
        <v>0.53</v>
      </c>
      <c r="BH644">
        <v>497.74</v>
      </c>
      <c r="BI644">
        <v>481.74</v>
      </c>
      <c r="BJ644">
        <v>489.74</v>
      </c>
      <c r="BK644">
        <v>41.65</v>
      </c>
      <c r="BL644">
        <v>40.29</v>
      </c>
      <c r="BM644">
        <v>40.97</v>
      </c>
      <c r="BN644">
        <v>1.02</v>
      </c>
      <c r="BO644">
        <v>0.78</v>
      </c>
      <c r="BP644">
        <v>0.9</v>
      </c>
      <c r="BQ644">
        <v>9.1</v>
      </c>
      <c r="BR644">
        <v>7.1</v>
      </c>
      <c r="BS644">
        <v>8.1</v>
      </c>
      <c r="BT644">
        <v>10.83</v>
      </c>
      <c r="BU644">
        <v>10.43</v>
      </c>
      <c r="BV644">
        <v>10.629999999999999</v>
      </c>
      <c r="BW644">
        <v>2.73</v>
      </c>
      <c r="BX644">
        <v>2.4500000000000002</v>
      </c>
      <c r="BY644">
        <v>2.59</v>
      </c>
      <c r="BZ644">
        <v>10.119999999999999</v>
      </c>
      <c r="CA644">
        <v>7.1199999999999992</v>
      </c>
      <c r="CB644">
        <v>8.6199999999999992</v>
      </c>
      <c r="CC644">
        <v>7.31</v>
      </c>
      <c r="CD644">
        <v>7.0699999999999994</v>
      </c>
      <c r="CE644">
        <v>7.1899999999999995</v>
      </c>
      <c r="CF644">
        <v>2.04</v>
      </c>
      <c r="CG644">
        <v>1.54</v>
      </c>
      <c r="CH644">
        <v>1.79</v>
      </c>
      <c r="CI644">
        <v>0.47</v>
      </c>
      <c r="CJ644">
        <v>0.43</v>
      </c>
      <c r="CK644">
        <v>0.44999999999999996</v>
      </c>
      <c r="CL644">
        <v>42.1</v>
      </c>
      <c r="CM644">
        <v>39.700000000000003</v>
      </c>
      <c r="CN644">
        <v>40.900000000000006</v>
      </c>
      <c r="CO644">
        <v>6.08</v>
      </c>
      <c r="CP644">
        <v>1.08</v>
      </c>
      <c r="CQ644">
        <v>3.58</v>
      </c>
    </row>
    <row r="645" spans="1:95">
      <c r="A645" s="228">
        <v>45931</v>
      </c>
      <c r="B645" t="s">
        <v>98</v>
      </c>
      <c r="C645">
        <v>149.16999999999999</v>
      </c>
      <c r="D645">
        <v>147.16999999999999</v>
      </c>
      <c r="E645">
        <v>148.16999999999999</v>
      </c>
      <c r="F645">
        <v>175.39</v>
      </c>
      <c r="G645">
        <v>172.39</v>
      </c>
      <c r="H645">
        <v>173.89</v>
      </c>
      <c r="I645">
        <v>107.98</v>
      </c>
      <c r="J645">
        <v>104.78</v>
      </c>
      <c r="K645">
        <v>106.38</v>
      </c>
      <c r="L645">
        <v>203.2</v>
      </c>
      <c r="M645">
        <v>195.2</v>
      </c>
      <c r="N645">
        <v>199.2</v>
      </c>
      <c r="O645">
        <v>186.95</v>
      </c>
      <c r="P645">
        <v>185.14999999999998</v>
      </c>
      <c r="Q645">
        <v>186.04999999999998</v>
      </c>
      <c r="R645">
        <v>23.6</v>
      </c>
      <c r="S645">
        <v>23</v>
      </c>
      <c r="T645">
        <v>23.3</v>
      </c>
      <c r="U645">
        <v>15.12</v>
      </c>
      <c r="V645">
        <v>14.52</v>
      </c>
      <c r="W645">
        <v>14.82</v>
      </c>
      <c r="X645">
        <v>16.14</v>
      </c>
      <c r="Y645">
        <v>15.34</v>
      </c>
      <c r="Z645">
        <v>15.74</v>
      </c>
      <c r="AA645">
        <v>99.85</v>
      </c>
      <c r="AB645">
        <v>95.85</v>
      </c>
      <c r="AC645">
        <v>97.85</v>
      </c>
      <c r="AD645">
        <v>87.79</v>
      </c>
      <c r="AE645">
        <v>83.79</v>
      </c>
      <c r="AF645">
        <v>85.79</v>
      </c>
      <c r="AG645">
        <v>19.47</v>
      </c>
      <c r="AH645">
        <v>18.61</v>
      </c>
      <c r="AI645">
        <v>19.04</v>
      </c>
      <c r="AM645">
        <v>115.62</v>
      </c>
      <c r="AN645">
        <v>113.96000000000001</v>
      </c>
      <c r="AO645">
        <v>114.79</v>
      </c>
      <c r="AP645">
        <v>40.4</v>
      </c>
      <c r="AQ645">
        <v>38.799999999999997</v>
      </c>
      <c r="AR645">
        <v>39.599999999999994</v>
      </c>
      <c r="AS645">
        <v>40.950000000000003</v>
      </c>
      <c r="AT645">
        <v>39.590000000000003</v>
      </c>
      <c r="AU645">
        <v>40.270000000000003</v>
      </c>
      <c r="AV645">
        <v>21.07</v>
      </c>
      <c r="AW645">
        <v>20.47</v>
      </c>
      <c r="AX645">
        <v>20.77</v>
      </c>
      <c r="AY645">
        <v>4.6399999999999997</v>
      </c>
      <c r="AZ645">
        <v>4.4799999999999995</v>
      </c>
      <c r="BA645">
        <v>4.5599999999999996</v>
      </c>
      <c r="BB645">
        <v>1.83</v>
      </c>
      <c r="BC645">
        <v>1.53</v>
      </c>
      <c r="BD645">
        <v>1.6800000000000002</v>
      </c>
      <c r="BE645">
        <v>0.68</v>
      </c>
      <c r="BF645">
        <v>0.38000000000000006</v>
      </c>
      <c r="BG645">
        <v>0.53</v>
      </c>
      <c r="BH645">
        <v>494.92</v>
      </c>
      <c r="BI645">
        <v>478.92</v>
      </c>
      <c r="BJ645">
        <v>486.92</v>
      </c>
      <c r="BK645">
        <v>41.26</v>
      </c>
      <c r="BL645">
        <v>39.9</v>
      </c>
      <c r="BM645">
        <v>40.58</v>
      </c>
      <c r="BN645">
        <v>1.01</v>
      </c>
      <c r="BO645">
        <v>0.77</v>
      </c>
      <c r="BP645">
        <v>0.89</v>
      </c>
      <c r="BQ645">
        <v>9.09</v>
      </c>
      <c r="BR645">
        <v>7.09</v>
      </c>
      <c r="BS645">
        <v>8.09</v>
      </c>
      <c r="BT645">
        <v>10.76</v>
      </c>
      <c r="BU645">
        <v>10.36</v>
      </c>
      <c r="BV645">
        <v>10.559999999999999</v>
      </c>
      <c r="BW645">
        <v>2.71</v>
      </c>
      <c r="BX645">
        <v>2.4299999999999997</v>
      </c>
      <c r="BY645">
        <v>2.57</v>
      </c>
      <c r="BZ645">
        <v>10.07</v>
      </c>
      <c r="CA645">
        <v>7.07</v>
      </c>
      <c r="CB645">
        <v>8.57</v>
      </c>
      <c r="CC645">
        <v>7.27</v>
      </c>
      <c r="CD645">
        <v>7.0299999999999994</v>
      </c>
      <c r="CE645">
        <v>7.1499999999999995</v>
      </c>
      <c r="CF645">
        <v>2.04</v>
      </c>
      <c r="CG645">
        <v>1.54</v>
      </c>
      <c r="CH645">
        <v>1.79</v>
      </c>
      <c r="CI645">
        <v>0.47</v>
      </c>
      <c r="CJ645">
        <v>0.43</v>
      </c>
      <c r="CK645">
        <v>0.44999999999999996</v>
      </c>
      <c r="CL645">
        <v>41.98</v>
      </c>
      <c r="CM645">
        <v>39.58</v>
      </c>
      <c r="CN645">
        <v>40.78</v>
      </c>
      <c r="CO645">
        <v>6.07</v>
      </c>
      <c r="CP645">
        <v>1.0700000000000003</v>
      </c>
      <c r="CQ645">
        <v>3.5700000000000003</v>
      </c>
    </row>
    <row r="646" spans="1:95">
      <c r="A646" s="228">
        <v>45932</v>
      </c>
      <c r="B646" t="s">
        <v>99</v>
      </c>
      <c r="C646">
        <v>148.19</v>
      </c>
      <c r="D646">
        <v>146.19</v>
      </c>
      <c r="E646">
        <v>147.19</v>
      </c>
      <c r="F646">
        <v>174.08</v>
      </c>
      <c r="G646">
        <v>171.08</v>
      </c>
      <c r="H646">
        <v>172.58</v>
      </c>
      <c r="I646">
        <v>107.16</v>
      </c>
      <c r="J646">
        <v>103.96</v>
      </c>
      <c r="K646">
        <v>105.56</v>
      </c>
      <c r="L646">
        <v>202.32</v>
      </c>
      <c r="M646">
        <v>194.32</v>
      </c>
      <c r="N646">
        <v>198.32</v>
      </c>
      <c r="O646">
        <v>185.44</v>
      </c>
      <c r="P646">
        <v>183.64</v>
      </c>
      <c r="Q646">
        <v>184.54</v>
      </c>
      <c r="R646">
        <v>23.41</v>
      </c>
      <c r="S646">
        <v>22.81</v>
      </c>
      <c r="T646">
        <v>23.11</v>
      </c>
      <c r="U646">
        <v>15.14</v>
      </c>
      <c r="V646">
        <v>14.540000000000001</v>
      </c>
      <c r="W646">
        <v>14.84</v>
      </c>
      <c r="X646">
        <v>16.079999999999998</v>
      </c>
      <c r="Y646">
        <v>15.279999999999998</v>
      </c>
      <c r="Z646">
        <v>15.679999999999998</v>
      </c>
      <c r="AA646">
        <v>99.28</v>
      </c>
      <c r="AB646">
        <v>95.28</v>
      </c>
      <c r="AC646">
        <v>97.28</v>
      </c>
      <c r="AD646">
        <v>87.64</v>
      </c>
      <c r="AE646">
        <v>83.64</v>
      </c>
      <c r="AF646">
        <v>85.64</v>
      </c>
      <c r="AG646">
        <v>19.350000000000001</v>
      </c>
      <c r="AH646">
        <v>18.490000000000002</v>
      </c>
      <c r="AI646">
        <v>18.920000000000002</v>
      </c>
      <c r="AM646">
        <v>115.09</v>
      </c>
      <c r="AN646">
        <v>113.43</v>
      </c>
      <c r="AO646">
        <v>114.26</v>
      </c>
      <c r="AP646">
        <v>40.119999999999997</v>
      </c>
      <c r="AQ646">
        <v>38.519999999999996</v>
      </c>
      <c r="AR646">
        <v>39.319999999999993</v>
      </c>
      <c r="AS646">
        <v>40.840000000000003</v>
      </c>
      <c r="AT646">
        <v>39.480000000000004</v>
      </c>
      <c r="AU646">
        <v>40.160000000000004</v>
      </c>
      <c r="AV646">
        <v>20.94</v>
      </c>
      <c r="AW646">
        <v>20.34</v>
      </c>
      <c r="AX646">
        <v>20.64</v>
      </c>
      <c r="AY646">
        <v>4.62</v>
      </c>
      <c r="AZ646">
        <v>4.46</v>
      </c>
      <c r="BA646">
        <v>4.54</v>
      </c>
      <c r="BB646">
        <v>1.82</v>
      </c>
      <c r="BC646">
        <v>1.52</v>
      </c>
      <c r="BD646">
        <v>1.67</v>
      </c>
      <c r="BE646">
        <v>0.68</v>
      </c>
      <c r="BF646">
        <v>0.38000000000000006</v>
      </c>
      <c r="BG646">
        <v>0.53</v>
      </c>
      <c r="BH646">
        <v>490.43</v>
      </c>
      <c r="BI646">
        <v>474.43</v>
      </c>
      <c r="BJ646">
        <v>482.43</v>
      </c>
      <c r="BK646">
        <v>41.14</v>
      </c>
      <c r="BL646">
        <v>39.78</v>
      </c>
      <c r="BM646">
        <v>40.46</v>
      </c>
      <c r="BN646">
        <v>1.01</v>
      </c>
      <c r="BO646">
        <v>0.77</v>
      </c>
      <c r="BP646">
        <v>0.89</v>
      </c>
      <c r="BQ646">
        <v>9.01</v>
      </c>
      <c r="BR646">
        <v>7.01</v>
      </c>
      <c r="BS646">
        <v>8.01</v>
      </c>
      <c r="BT646">
        <v>10.74</v>
      </c>
      <c r="BU646">
        <v>10.34</v>
      </c>
      <c r="BV646">
        <v>10.54</v>
      </c>
      <c r="BW646">
        <v>2.68</v>
      </c>
      <c r="BX646">
        <v>2.4000000000000004</v>
      </c>
      <c r="BY646">
        <v>2.54</v>
      </c>
      <c r="BZ646">
        <v>10.039999999999999</v>
      </c>
      <c r="CA646">
        <v>7.0399999999999991</v>
      </c>
      <c r="CB646">
        <v>8.5399999999999991</v>
      </c>
      <c r="CC646">
        <v>7.23</v>
      </c>
      <c r="CD646">
        <v>6.99</v>
      </c>
      <c r="CE646">
        <v>7.11</v>
      </c>
      <c r="CF646">
        <v>2.04</v>
      </c>
      <c r="CG646">
        <v>1.54</v>
      </c>
      <c r="CH646">
        <v>1.79</v>
      </c>
      <c r="CI646">
        <v>0.46</v>
      </c>
      <c r="CJ646">
        <v>0.42000000000000004</v>
      </c>
      <c r="CK646">
        <v>0.44000000000000006</v>
      </c>
      <c r="CL646">
        <v>41.7</v>
      </c>
      <c r="CM646">
        <v>39.300000000000004</v>
      </c>
      <c r="CN646">
        <v>40.5</v>
      </c>
      <c r="CO646">
        <v>6.04</v>
      </c>
      <c r="CP646">
        <v>1.04</v>
      </c>
      <c r="CQ646">
        <v>3.54</v>
      </c>
    </row>
    <row r="647" spans="1:95">
      <c r="A647" s="228">
        <v>45933</v>
      </c>
      <c r="B647" t="s">
        <v>100</v>
      </c>
      <c r="C647">
        <v>148.4</v>
      </c>
      <c r="D647">
        <v>146.4</v>
      </c>
      <c r="E647">
        <v>147.4</v>
      </c>
      <c r="F647">
        <v>174.3</v>
      </c>
      <c r="G647">
        <v>171.3</v>
      </c>
      <c r="H647">
        <v>172.8</v>
      </c>
      <c r="I647">
        <v>107.16</v>
      </c>
      <c r="J647">
        <v>103.96</v>
      </c>
      <c r="K647">
        <v>105.56</v>
      </c>
      <c r="L647">
        <v>202.19</v>
      </c>
      <c r="M647">
        <v>194.19</v>
      </c>
      <c r="N647">
        <v>198.19</v>
      </c>
      <c r="O647">
        <v>185.68</v>
      </c>
      <c r="P647">
        <v>183.88</v>
      </c>
      <c r="Q647">
        <v>184.78</v>
      </c>
      <c r="R647">
        <v>23.44</v>
      </c>
      <c r="S647">
        <v>22.84</v>
      </c>
      <c r="T647">
        <v>23.14</v>
      </c>
      <c r="U647">
        <v>15.08</v>
      </c>
      <c r="V647">
        <v>14.48</v>
      </c>
      <c r="W647">
        <v>14.780000000000001</v>
      </c>
      <c r="X647">
        <v>16.079999999999998</v>
      </c>
      <c r="Y647">
        <v>15.279999999999998</v>
      </c>
      <c r="Z647">
        <v>15.679999999999998</v>
      </c>
      <c r="AA647">
        <v>99.34</v>
      </c>
      <c r="AB647">
        <v>95.34</v>
      </c>
      <c r="AC647">
        <v>97.34</v>
      </c>
      <c r="AD647">
        <v>87.82</v>
      </c>
      <c r="AE647">
        <v>83.82</v>
      </c>
      <c r="AF647">
        <v>85.82</v>
      </c>
      <c r="AG647">
        <v>19.37</v>
      </c>
      <c r="AH647">
        <v>18.510000000000002</v>
      </c>
      <c r="AI647">
        <v>18.940000000000001</v>
      </c>
      <c r="AM647">
        <v>115.17</v>
      </c>
      <c r="AN647">
        <v>113.51</v>
      </c>
      <c r="AO647">
        <v>114.34</v>
      </c>
      <c r="AP647">
        <v>40.18</v>
      </c>
      <c r="AQ647">
        <v>38.58</v>
      </c>
      <c r="AR647">
        <v>39.379999999999995</v>
      </c>
      <c r="AS647">
        <v>40.9</v>
      </c>
      <c r="AT647">
        <v>39.54</v>
      </c>
      <c r="AU647">
        <v>40.22</v>
      </c>
      <c r="AV647">
        <v>20.95</v>
      </c>
      <c r="AW647">
        <v>20.349999999999998</v>
      </c>
      <c r="AX647">
        <v>20.65</v>
      </c>
      <c r="AY647">
        <v>4.62</v>
      </c>
      <c r="AZ647">
        <v>4.46</v>
      </c>
      <c r="BA647">
        <v>4.54</v>
      </c>
      <c r="BB647">
        <v>1.83</v>
      </c>
      <c r="BC647">
        <v>1.53</v>
      </c>
      <c r="BD647">
        <v>1.6800000000000002</v>
      </c>
      <c r="BE647">
        <v>0.68</v>
      </c>
      <c r="BF647">
        <v>0.38000000000000006</v>
      </c>
      <c r="BG647">
        <v>0.53</v>
      </c>
      <c r="BH647">
        <v>490.8</v>
      </c>
      <c r="BI647">
        <v>474.8</v>
      </c>
      <c r="BJ647">
        <v>482.8</v>
      </c>
      <c r="BK647">
        <v>41.2</v>
      </c>
      <c r="BL647">
        <v>39.840000000000003</v>
      </c>
      <c r="BM647">
        <v>40.520000000000003</v>
      </c>
      <c r="BN647">
        <v>1.01</v>
      </c>
      <c r="BO647">
        <v>0.77</v>
      </c>
      <c r="BP647">
        <v>0.89</v>
      </c>
      <c r="BQ647">
        <v>9</v>
      </c>
      <c r="BR647">
        <v>7</v>
      </c>
      <c r="BS647">
        <v>8</v>
      </c>
      <c r="BT647">
        <v>10.72</v>
      </c>
      <c r="BU647">
        <v>10.32</v>
      </c>
      <c r="BV647">
        <v>10.52</v>
      </c>
      <c r="BW647">
        <v>2.69</v>
      </c>
      <c r="BX647">
        <v>2.41</v>
      </c>
      <c r="BY647">
        <v>2.5499999999999998</v>
      </c>
      <c r="BZ647">
        <v>10.02</v>
      </c>
      <c r="CA647">
        <v>7.02</v>
      </c>
      <c r="CB647">
        <v>8.52</v>
      </c>
      <c r="CC647">
        <v>7.23</v>
      </c>
      <c r="CD647">
        <v>6.99</v>
      </c>
      <c r="CE647">
        <v>7.11</v>
      </c>
      <c r="CF647">
        <v>2.04</v>
      </c>
      <c r="CG647">
        <v>1.54</v>
      </c>
      <c r="CH647">
        <v>1.79</v>
      </c>
      <c r="CI647">
        <v>0.46</v>
      </c>
      <c r="CJ647">
        <v>0.42000000000000004</v>
      </c>
      <c r="CK647">
        <v>0.44000000000000006</v>
      </c>
      <c r="CL647">
        <v>41.8</v>
      </c>
      <c r="CM647">
        <v>39.4</v>
      </c>
      <c r="CN647">
        <v>40.599999999999994</v>
      </c>
      <c r="CO647">
        <v>6.05</v>
      </c>
      <c r="CP647">
        <v>1.0499999999999998</v>
      </c>
      <c r="CQ647">
        <v>3.55</v>
      </c>
    </row>
    <row r="648" spans="1:95">
      <c r="A648" s="228">
        <v>45934</v>
      </c>
      <c r="B648" t="s">
        <v>307</v>
      </c>
    </row>
    <row r="649" spans="1:95">
      <c r="A649" s="228">
        <v>45935</v>
      </c>
      <c r="B649" t="s">
        <v>308</v>
      </c>
    </row>
    <row r="650" spans="1:95">
      <c r="A650" s="228">
        <v>45936</v>
      </c>
      <c r="B650" t="s">
        <v>96</v>
      </c>
      <c r="C650">
        <v>150.78</v>
      </c>
      <c r="D650">
        <v>148.78</v>
      </c>
      <c r="E650">
        <v>149.78</v>
      </c>
      <c r="F650">
        <v>176.94</v>
      </c>
      <c r="G650">
        <v>173.94</v>
      </c>
      <c r="H650">
        <v>175.44</v>
      </c>
      <c r="I650">
        <v>108.89</v>
      </c>
      <c r="J650">
        <v>105.69</v>
      </c>
      <c r="K650">
        <v>107.28999999999999</v>
      </c>
      <c r="L650">
        <v>205.29</v>
      </c>
      <c r="M650">
        <v>197.29</v>
      </c>
      <c r="N650">
        <v>201.29</v>
      </c>
      <c r="O650">
        <v>188.92</v>
      </c>
      <c r="P650">
        <v>187.11999999999998</v>
      </c>
      <c r="Q650">
        <v>188.01999999999998</v>
      </c>
      <c r="R650">
        <v>23.8</v>
      </c>
      <c r="S650">
        <v>23.2</v>
      </c>
      <c r="T650">
        <v>23.5</v>
      </c>
      <c r="U650">
        <v>15.33</v>
      </c>
      <c r="V650">
        <v>14.73</v>
      </c>
      <c r="W650">
        <v>15.030000000000001</v>
      </c>
      <c r="X650">
        <v>16.350000000000001</v>
      </c>
      <c r="Y650">
        <v>15.55</v>
      </c>
      <c r="Z650">
        <v>15.950000000000001</v>
      </c>
      <c r="AA650">
        <v>100.81</v>
      </c>
      <c r="AB650">
        <v>96.81</v>
      </c>
      <c r="AC650">
        <v>98.81</v>
      </c>
      <c r="AD650">
        <v>89.31</v>
      </c>
      <c r="AE650">
        <v>85.31</v>
      </c>
      <c r="AF650">
        <v>87.31</v>
      </c>
      <c r="AG650">
        <v>19.68</v>
      </c>
      <c r="AH650">
        <v>18.82</v>
      </c>
      <c r="AI650">
        <v>19.25</v>
      </c>
      <c r="AM650">
        <v>116.76</v>
      </c>
      <c r="AN650">
        <v>115.10000000000001</v>
      </c>
      <c r="AO650">
        <v>115.93</v>
      </c>
      <c r="AP650">
        <v>40.83</v>
      </c>
      <c r="AQ650">
        <v>39.229999999999997</v>
      </c>
      <c r="AR650">
        <v>40.03</v>
      </c>
      <c r="AS650">
        <v>41.55</v>
      </c>
      <c r="AT650">
        <v>40.19</v>
      </c>
      <c r="AU650">
        <v>40.869999999999997</v>
      </c>
      <c r="AV650">
        <v>21.26</v>
      </c>
      <c r="AW650">
        <v>20.66</v>
      </c>
      <c r="AX650">
        <v>20.96</v>
      </c>
      <c r="AY650">
        <v>4.7</v>
      </c>
      <c r="AZ650">
        <v>4.54</v>
      </c>
      <c r="BA650">
        <v>4.62</v>
      </c>
      <c r="BB650">
        <v>1.85</v>
      </c>
      <c r="BC650">
        <v>1.55</v>
      </c>
      <c r="BD650">
        <v>1.7000000000000002</v>
      </c>
      <c r="BE650">
        <v>0.69</v>
      </c>
      <c r="BF650">
        <v>0.38999999999999996</v>
      </c>
      <c r="BG650">
        <v>0.53999999999999992</v>
      </c>
      <c r="BH650">
        <v>498.44</v>
      </c>
      <c r="BI650">
        <v>482.44</v>
      </c>
      <c r="BJ650">
        <v>490.44</v>
      </c>
      <c r="BK650">
        <v>41.85</v>
      </c>
      <c r="BL650">
        <v>40.49</v>
      </c>
      <c r="BM650">
        <v>41.17</v>
      </c>
      <c r="BN650">
        <v>1.03</v>
      </c>
      <c r="BO650">
        <v>0.79</v>
      </c>
      <c r="BP650">
        <v>0.91</v>
      </c>
      <c r="BQ650">
        <v>9.1300000000000008</v>
      </c>
      <c r="BR650">
        <v>7.1300000000000008</v>
      </c>
      <c r="BS650">
        <v>8.1300000000000008</v>
      </c>
      <c r="BT650">
        <v>10.84</v>
      </c>
      <c r="BU650">
        <v>10.44</v>
      </c>
      <c r="BV650">
        <v>10.64</v>
      </c>
      <c r="BW650">
        <v>2.74</v>
      </c>
      <c r="BX650">
        <v>2.46</v>
      </c>
      <c r="BY650">
        <v>2.6</v>
      </c>
      <c r="BZ650">
        <v>10.18</v>
      </c>
      <c r="CA650">
        <v>7.18</v>
      </c>
      <c r="CB650">
        <v>8.68</v>
      </c>
      <c r="CC650">
        <v>7.36</v>
      </c>
      <c r="CD650">
        <v>7.12</v>
      </c>
      <c r="CE650">
        <v>7.24</v>
      </c>
      <c r="CF650">
        <v>2.08</v>
      </c>
      <c r="CG650">
        <v>1.58</v>
      </c>
      <c r="CH650">
        <v>1.83</v>
      </c>
      <c r="CI650">
        <v>0.47</v>
      </c>
      <c r="CJ650">
        <v>0.43</v>
      </c>
      <c r="CK650">
        <v>0.44999999999999996</v>
      </c>
      <c r="CL650">
        <v>42.46</v>
      </c>
      <c r="CM650">
        <v>40.06</v>
      </c>
      <c r="CN650">
        <v>41.260000000000005</v>
      </c>
      <c r="CO650">
        <v>6.1</v>
      </c>
      <c r="CP650">
        <v>1.0999999999999996</v>
      </c>
      <c r="CQ650">
        <v>3.5999999999999996</v>
      </c>
    </row>
    <row r="651" spans="1:95">
      <c r="A651" s="228">
        <v>45937</v>
      </c>
      <c r="B651" t="s">
        <v>97</v>
      </c>
      <c r="C651">
        <v>151.47</v>
      </c>
      <c r="D651">
        <v>149.47</v>
      </c>
      <c r="E651">
        <v>150.47</v>
      </c>
      <c r="F651">
        <v>177.6</v>
      </c>
      <c r="G651">
        <v>174.6</v>
      </c>
      <c r="H651">
        <v>176.1</v>
      </c>
      <c r="I651">
        <v>109.47</v>
      </c>
      <c r="J651">
        <v>106.27</v>
      </c>
      <c r="K651">
        <v>107.87</v>
      </c>
      <c r="L651">
        <v>206.86</v>
      </c>
      <c r="M651">
        <v>198.86</v>
      </c>
      <c r="N651">
        <v>202.86</v>
      </c>
      <c r="O651">
        <v>190.08</v>
      </c>
      <c r="P651">
        <v>188.28</v>
      </c>
      <c r="Q651">
        <v>189.18</v>
      </c>
      <c r="R651">
        <v>23.89</v>
      </c>
      <c r="S651">
        <v>23.29</v>
      </c>
      <c r="T651">
        <v>23.59</v>
      </c>
      <c r="U651">
        <v>15.46</v>
      </c>
      <c r="V651">
        <v>14.860000000000001</v>
      </c>
      <c r="W651">
        <v>15.16</v>
      </c>
      <c r="X651">
        <v>16.440000000000001</v>
      </c>
      <c r="Y651">
        <v>15.64</v>
      </c>
      <c r="Z651">
        <v>16.04</v>
      </c>
      <c r="AA651">
        <v>101.43</v>
      </c>
      <c r="AB651">
        <v>97.43</v>
      </c>
      <c r="AC651">
        <v>99.43</v>
      </c>
      <c r="AD651">
        <v>89.72</v>
      </c>
      <c r="AE651">
        <v>85.72</v>
      </c>
      <c r="AF651">
        <v>87.72</v>
      </c>
      <c r="AG651">
        <v>19.760000000000002</v>
      </c>
      <c r="AH651">
        <v>18.900000000000002</v>
      </c>
      <c r="AI651">
        <v>19.330000000000002</v>
      </c>
      <c r="AM651">
        <v>117.31</v>
      </c>
      <c r="AN651">
        <v>115.65</v>
      </c>
      <c r="AO651">
        <v>116.48</v>
      </c>
      <c r="AP651">
        <v>40.99</v>
      </c>
      <c r="AQ651">
        <v>39.39</v>
      </c>
      <c r="AR651">
        <v>40.19</v>
      </c>
      <c r="AS651">
        <v>41.74</v>
      </c>
      <c r="AT651">
        <v>40.380000000000003</v>
      </c>
      <c r="AU651">
        <v>41.06</v>
      </c>
      <c r="AV651">
        <v>21.37</v>
      </c>
      <c r="AW651">
        <v>20.77</v>
      </c>
      <c r="AX651">
        <v>21.07</v>
      </c>
      <c r="AY651">
        <v>4.72</v>
      </c>
      <c r="AZ651">
        <v>4.5599999999999996</v>
      </c>
      <c r="BA651">
        <v>4.6399999999999997</v>
      </c>
      <c r="BB651">
        <v>1.86</v>
      </c>
      <c r="BC651">
        <v>1.56</v>
      </c>
      <c r="BD651">
        <v>1.71</v>
      </c>
      <c r="BE651">
        <v>0.69</v>
      </c>
      <c r="BF651">
        <v>0.38999999999999996</v>
      </c>
      <c r="BG651">
        <v>0.53999999999999992</v>
      </c>
      <c r="BH651">
        <v>500.38</v>
      </c>
      <c r="BI651">
        <v>484.38</v>
      </c>
      <c r="BJ651">
        <v>492.38</v>
      </c>
      <c r="BK651">
        <v>42.04</v>
      </c>
      <c r="BL651">
        <v>40.68</v>
      </c>
      <c r="BM651">
        <v>41.36</v>
      </c>
      <c r="BN651">
        <v>1.03</v>
      </c>
      <c r="BO651">
        <v>0.79</v>
      </c>
      <c r="BP651">
        <v>0.91</v>
      </c>
      <c r="BQ651">
        <v>9.1999999999999993</v>
      </c>
      <c r="BR651">
        <v>7.1999999999999993</v>
      </c>
      <c r="BS651">
        <v>8.1999999999999993</v>
      </c>
      <c r="BT651">
        <v>10.88</v>
      </c>
      <c r="BU651">
        <v>10.48</v>
      </c>
      <c r="BV651">
        <v>10.68</v>
      </c>
      <c r="BW651">
        <v>2.73</v>
      </c>
      <c r="BX651">
        <v>2.4500000000000002</v>
      </c>
      <c r="BY651">
        <v>2.59</v>
      </c>
      <c r="BZ651">
        <v>10.26</v>
      </c>
      <c r="CA651">
        <v>7.26</v>
      </c>
      <c r="CB651">
        <v>8.76</v>
      </c>
      <c r="CC651">
        <v>7.37</v>
      </c>
      <c r="CD651">
        <v>7.13</v>
      </c>
      <c r="CE651">
        <v>7.25</v>
      </c>
      <c r="CF651">
        <v>2.0699999999999998</v>
      </c>
      <c r="CG651">
        <v>1.5699999999999998</v>
      </c>
      <c r="CH651">
        <v>1.8199999999999998</v>
      </c>
      <c r="CI651">
        <v>0.47</v>
      </c>
      <c r="CJ651">
        <v>0.43</v>
      </c>
      <c r="CK651">
        <v>0.44999999999999996</v>
      </c>
      <c r="CL651">
        <v>42.62</v>
      </c>
      <c r="CM651">
        <v>40.22</v>
      </c>
      <c r="CN651">
        <v>41.42</v>
      </c>
      <c r="CO651">
        <v>6.11</v>
      </c>
      <c r="CP651">
        <v>1.1100000000000003</v>
      </c>
      <c r="CQ651">
        <v>3.6100000000000003</v>
      </c>
    </row>
    <row r="652" spans="1:95">
      <c r="A652" s="228">
        <v>45938</v>
      </c>
      <c r="B652" t="s">
        <v>98</v>
      </c>
      <c r="C652">
        <v>153.31</v>
      </c>
      <c r="D652">
        <v>151.31</v>
      </c>
      <c r="E652">
        <v>152.31</v>
      </c>
      <c r="F652">
        <v>178.9</v>
      </c>
      <c r="G652">
        <v>175.9</v>
      </c>
      <c r="H652">
        <v>177.4</v>
      </c>
      <c r="I652">
        <v>110.75</v>
      </c>
      <c r="J652">
        <v>107.55</v>
      </c>
      <c r="K652">
        <v>109.15</v>
      </c>
      <c r="L652">
        <v>208.35</v>
      </c>
      <c r="M652">
        <v>200.35</v>
      </c>
      <c r="N652">
        <v>204.35</v>
      </c>
      <c r="O652">
        <v>191.55</v>
      </c>
      <c r="P652">
        <v>189.75</v>
      </c>
      <c r="Q652">
        <v>190.65</v>
      </c>
      <c r="R652">
        <v>24.06</v>
      </c>
      <c r="S652">
        <v>23.459999999999997</v>
      </c>
      <c r="T652">
        <v>23.759999999999998</v>
      </c>
      <c r="U652">
        <v>15.58</v>
      </c>
      <c r="V652">
        <v>14.98</v>
      </c>
      <c r="W652">
        <v>15.280000000000001</v>
      </c>
      <c r="X652">
        <v>16.59</v>
      </c>
      <c r="Y652">
        <v>15.79</v>
      </c>
      <c r="Z652">
        <v>16.189999999999998</v>
      </c>
      <c r="AA652">
        <v>102.17</v>
      </c>
      <c r="AB652">
        <v>98.17</v>
      </c>
      <c r="AC652">
        <v>100.17</v>
      </c>
      <c r="AD652">
        <v>90.31</v>
      </c>
      <c r="AE652">
        <v>86.31</v>
      </c>
      <c r="AF652">
        <v>88.31</v>
      </c>
      <c r="AG652">
        <v>20</v>
      </c>
      <c r="AH652">
        <v>19.14</v>
      </c>
      <c r="AI652">
        <v>19.57</v>
      </c>
      <c r="AM652">
        <v>118.56</v>
      </c>
      <c r="AN652">
        <v>116.9</v>
      </c>
      <c r="AO652">
        <v>117.73</v>
      </c>
      <c r="AP652">
        <v>41.48</v>
      </c>
      <c r="AQ652">
        <v>39.879999999999995</v>
      </c>
      <c r="AR652">
        <v>40.679999999999993</v>
      </c>
      <c r="AS652">
        <v>42.24</v>
      </c>
      <c r="AT652">
        <v>40.880000000000003</v>
      </c>
      <c r="AU652">
        <v>41.56</v>
      </c>
      <c r="AV652">
        <v>21.61</v>
      </c>
      <c r="AW652">
        <v>21.009999999999998</v>
      </c>
      <c r="AX652">
        <v>21.31</v>
      </c>
      <c r="AY652">
        <v>4.7699999999999996</v>
      </c>
      <c r="AZ652">
        <v>4.6099999999999994</v>
      </c>
      <c r="BA652">
        <v>4.6899999999999995</v>
      </c>
      <c r="BB652">
        <v>1.88</v>
      </c>
      <c r="BC652">
        <v>1.5799999999999998</v>
      </c>
      <c r="BD652">
        <v>1.73</v>
      </c>
      <c r="BE652">
        <v>0.7</v>
      </c>
      <c r="BF652">
        <v>0.39999999999999997</v>
      </c>
      <c r="BG652">
        <v>0.54999999999999993</v>
      </c>
      <c r="BH652">
        <v>504.45</v>
      </c>
      <c r="BI652">
        <v>488.45</v>
      </c>
      <c r="BJ652">
        <v>496.45</v>
      </c>
      <c r="BK652">
        <v>42.55</v>
      </c>
      <c r="BL652">
        <v>41.19</v>
      </c>
      <c r="BM652">
        <v>41.87</v>
      </c>
      <c r="BN652">
        <v>1.04</v>
      </c>
      <c r="BO652">
        <v>0.8</v>
      </c>
      <c r="BP652">
        <v>0.92</v>
      </c>
      <c r="BQ652">
        <v>9.2799999999999994</v>
      </c>
      <c r="BR652">
        <v>7.2799999999999994</v>
      </c>
      <c r="BS652">
        <v>8.2799999999999994</v>
      </c>
      <c r="BT652">
        <v>10.97</v>
      </c>
      <c r="BU652">
        <v>10.57</v>
      </c>
      <c r="BV652">
        <v>10.77</v>
      </c>
      <c r="BW652">
        <v>2.77</v>
      </c>
      <c r="BX652">
        <v>2.4900000000000002</v>
      </c>
      <c r="BY652">
        <v>2.63</v>
      </c>
      <c r="BZ652">
        <v>10.34</v>
      </c>
      <c r="CA652">
        <v>7.34</v>
      </c>
      <c r="CB652">
        <v>8.84</v>
      </c>
      <c r="CC652">
        <v>7.39</v>
      </c>
      <c r="CD652">
        <v>7.1499999999999995</v>
      </c>
      <c r="CE652">
        <v>7.27</v>
      </c>
      <c r="CF652">
        <v>2.11</v>
      </c>
      <c r="CG652">
        <v>1.6099999999999999</v>
      </c>
      <c r="CH652">
        <v>1.8599999999999999</v>
      </c>
      <c r="CI652">
        <v>0.47</v>
      </c>
      <c r="CJ652">
        <v>0.43</v>
      </c>
      <c r="CK652">
        <v>0.44999999999999996</v>
      </c>
      <c r="CL652">
        <v>42.93</v>
      </c>
      <c r="CM652">
        <v>40.53</v>
      </c>
      <c r="CN652">
        <v>41.730000000000004</v>
      </c>
      <c r="CO652">
        <v>6.15</v>
      </c>
      <c r="CP652">
        <v>1.1500000000000004</v>
      </c>
      <c r="CQ652">
        <v>3.6500000000000004</v>
      </c>
    </row>
    <row r="653" spans="1:95">
      <c r="A653" s="228">
        <v>45939</v>
      </c>
      <c r="B653" t="s">
        <v>99</v>
      </c>
      <c r="C653">
        <v>153.74</v>
      </c>
      <c r="D653">
        <v>151.74</v>
      </c>
      <c r="E653">
        <v>152.74</v>
      </c>
      <c r="F653">
        <v>179.24</v>
      </c>
      <c r="G653">
        <v>176.24</v>
      </c>
      <c r="H653">
        <v>177.74</v>
      </c>
      <c r="I653">
        <v>111.11</v>
      </c>
      <c r="J653">
        <v>107.91</v>
      </c>
      <c r="K653">
        <v>109.50999999999999</v>
      </c>
      <c r="L653">
        <v>208.85</v>
      </c>
      <c r="M653">
        <v>200.85</v>
      </c>
      <c r="N653">
        <v>204.85</v>
      </c>
      <c r="O653">
        <v>191.56</v>
      </c>
      <c r="P653">
        <v>189.76</v>
      </c>
      <c r="Q653">
        <v>190.66</v>
      </c>
      <c r="R653">
        <v>24.11</v>
      </c>
      <c r="S653">
        <v>23.509999999999998</v>
      </c>
      <c r="T653">
        <v>23.81</v>
      </c>
      <c r="U653">
        <v>15.61</v>
      </c>
      <c r="V653">
        <v>15.01</v>
      </c>
      <c r="W653">
        <v>15.309999999999999</v>
      </c>
      <c r="X653">
        <v>16.61</v>
      </c>
      <c r="Y653">
        <v>15.809999999999999</v>
      </c>
      <c r="Z653">
        <v>16.21</v>
      </c>
      <c r="AA653">
        <v>102.72</v>
      </c>
      <c r="AB653">
        <v>98.72</v>
      </c>
      <c r="AC653">
        <v>100.72</v>
      </c>
      <c r="AD653">
        <v>90.44</v>
      </c>
      <c r="AE653">
        <v>86.44</v>
      </c>
      <c r="AF653">
        <v>88.44</v>
      </c>
      <c r="AG653">
        <v>20.059999999999999</v>
      </c>
      <c r="AH653">
        <v>19.2</v>
      </c>
      <c r="AI653">
        <v>19.63</v>
      </c>
      <c r="AM653">
        <v>118.78</v>
      </c>
      <c r="AN653">
        <v>117.12</v>
      </c>
      <c r="AO653">
        <v>117.95</v>
      </c>
      <c r="AP653">
        <v>41.61</v>
      </c>
      <c r="AQ653">
        <v>40.01</v>
      </c>
      <c r="AR653">
        <v>40.81</v>
      </c>
      <c r="AS653">
        <v>42.36</v>
      </c>
      <c r="AT653">
        <v>41</v>
      </c>
      <c r="AU653">
        <v>41.68</v>
      </c>
      <c r="AV653">
        <v>21.67</v>
      </c>
      <c r="AW653">
        <v>21.07</v>
      </c>
      <c r="AX653">
        <v>21.37</v>
      </c>
      <c r="AY653">
        <v>4.7699999999999996</v>
      </c>
      <c r="AZ653">
        <v>4.6099999999999994</v>
      </c>
      <c r="BA653">
        <v>4.6899999999999995</v>
      </c>
      <c r="BB653">
        <v>1.89</v>
      </c>
      <c r="BC653">
        <v>1.5899999999999999</v>
      </c>
      <c r="BD653">
        <v>1.7399999999999998</v>
      </c>
      <c r="BE653">
        <v>0.7</v>
      </c>
      <c r="BF653">
        <v>0.39999999999999997</v>
      </c>
      <c r="BG653">
        <v>0.54999999999999993</v>
      </c>
      <c r="BH653">
        <v>507.48</v>
      </c>
      <c r="BI653">
        <v>491.48</v>
      </c>
      <c r="BJ653">
        <v>499.48</v>
      </c>
      <c r="BK653">
        <v>42.66</v>
      </c>
      <c r="BL653">
        <v>41.3</v>
      </c>
      <c r="BM653">
        <v>41.98</v>
      </c>
      <c r="BN653">
        <v>1.05</v>
      </c>
      <c r="BO653">
        <v>0.81</v>
      </c>
      <c r="BP653">
        <v>0.93</v>
      </c>
      <c r="BQ653">
        <v>9.33</v>
      </c>
      <c r="BR653">
        <v>7.33</v>
      </c>
      <c r="BS653">
        <v>8.33</v>
      </c>
      <c r="BT653">
        <v>10.96</v>
      </c>
      <c r="BU653">
        <v>10.56</v>
      </c>
      <c r="BV653">
        <v>10.760000000000002</v>
      </c>
      <c r="BW653">
        <v>2.79</v>
      </c>
      <c r="BX653">
        <v>2.5099999999999998</v>
      </c>
      <c r="BY653">
        <v>2.65</v>
      </c>
      <c r="BZ653">
        <v>10.42</v>
      </c>
      <c r="CA653">
        <v>7.42</v>
      </c>
      <c r="CB653">
        <v>8.92</v>
      </c>
      <c r="CC653">
        <v>7.42</v>
      </c>
      <c r="CD653">
        <v>7.18</v>
      </c>
      <c r="CE653">
        <v>7.3</v>
      </c>
      <c r="CF653">
        <v>2.13</v>
      </c>
      <c r="CG653">
        <v>1.63</v>
      </c>
      <c r="CH653">
        <v>1.88</v>
      </c>
      <c r="CI653">
        <v>0.47</v>
      </c>
      <c r="CJ653">
        <v>0.43</v>
      </c>
      <c r="CK653">
        <v>0.44999999999999996</v>
      </c>
      <c r="CL653">
        <v>42.98</v>
      </c>
      <c r="CM653">
        <v>40.58</v>
      </c>
      <c r="CN653">
        <v>41.78</v>
      </c>
      <c r="CO653">
        <v>6.16</v>
      </c>
      <c r="CP653">
        <v>1.1600000000000001</v>
      </c>
      <c r="CQ653">
        <v>3.66</v>
      </c>
    </row>
    <row r="654" spans="1:95">
      <c r="A654" s="228">
        <v>45940</v>
      </c>
      <c r="B654" t="s">
        <v>100</v>
      </c>
      <c r="C654">
        <v>154.09</v>
      </c>
      <c r="D654">
        <v>152.09</v>
      </c>
      <c r="E654">
        <v>153.09</v>
      </c>
      <c r="F654">
        <v>178.61</v>
      </c>
      <c r="G654">
        <v>175.61</v>
      </c>
      <c r="H654">
        <v>177.11</v>
      </c>
      <c r="I654">
        <v>110.79</v>
      </c>
      <c r="J654">
        <v>107.59</v>
      </c>
      <c r="K654">
        <v>109.19</v>
      </c>
      <c r="L654">
        <v>207.69</v>
      </c>
      <c r="M654">
        <v>199.69</v>
      </c>
      <c r="N654">
        <v>203.69</v>
      </c>
      <c r="O654">
        <v>190.7</v>
      </c>
      <c r="P654">
        <v>188.89999999999998</v>
      </c>
      <c r="Q654">
        <v>189.79999999999998</v>
      </c>
      <c r="R654">
        <v>24.02</v>
      </c>
      <c r="S654">
        <v>23.419999999999998</v>
      </c>
      <c r="T654">
        <v>23.72</v>
      </c>
      <c r="U654">
        <v>15.52</v>
      </c>
      <c r="V654">
        <v>14.92</v>
      </c>
      <c r="W654">
        <v>15.219999999999999</v>
      </c>
      <c r="X654">
        <v>16.47</v>
      </c>
      <c r="Y654">
        <v>15.669999999999998</v>
      </c>
      <c r="Z654">
        <v>16.07</v>
      </c>
      <c r="AA654">
        <v>102.53</v>
      </c>
      <c r="AB654">
        <v>98.53</v>
      </c>
      <c r="AC654">
        <v>100.53</v>
      </c>
      <c r="AD654">
        <v>90.06</v>
      </c>
      <c r="AE654">
        <v>86.06</v>
      </c>
      <c r="AF654">
        <v>88.06</v>
      </c>
      <c r="AG654">
        <v>20.100000000000001</v>
      </c>
      <c r="AH654">
        <v>19.240000000000002</v>
      </c>
      <c r="AI654">
        <v>19.670000000000002</v>
      </c>
      <c r="AM654">
        <v>118.72</v>
      </c>
      <c r="AN654">
        <v>117.06</v>
      </c>
      <c r="AO654">
        <v>117.89</v>
      </c>
      <c r="AP654">
        <v>41.7</v>
      </c>
      <c r="AQ654">
        <v>40.1</v>
      </c>
      <c r="AR654">
        <v>40.900000000000006</v>
      </c>
      <c r="AS654">
        <v>42.45</v>
      </c>
      <c r="AT654">
        <v>41.09</v>
      </c>
      <c r="AU654">
        <v>41.77</v>
      </c>
      <c r="AV654">
        <v>21.75</v>
      </c>
      <c r="AW654">
        <v>21.15</v>
      </c>
      <c r="AX654">
        <v>21.45</v>
      </c>
      <c r="AY654">
        <v>4.76</v>
      </c>
      <c r="AZ654">
        <v>4.5999999999999996</v>
      </c>
      <c r="BA654">
        <v>4.68</v>
      </c>
      <c r="BB654">
        <v>1.89</v>
      </c>
      <c r="BC654">
        <v>1.5899999999999999</v>
      </c>
      <c r="BD654">
        <v>1.7399999999999998</v>
      </c>
      <c r="BE654">
        <v>0.7</v>
      </c>
      <c r="BF654">
        <v>0.39999999999999997</v>
      </c>
      <c r="BG654">
        <v>0.54999999999999993</v>
      </c>
      <c r="BH654">
        <v>509.77</v>
      </c>
      <c r="BI654">
        <v>493.77</v>
      </c>
      <c r="BJ654">
        <v>501.77</v>
      </c>
      <c r="BK654">
        <v>42.76</v>
      </c>
      <c r="BL654">
        <v>41.4</v>
      </c>
      <c r="BM654">
        <v>42.08</v>
      </c>
      <c r="BN654">
        <v>1.05</v>
      </c>
      <c r="BO654">
        <v>0.81</v>
      </c>
      <c r="BP654">
        <v>0.93</v>
      </c>
      <c r="BQ654">
        <v>9.34</v>
      </c>
      <c r="BR654">
        <v>7.34</v>
      </c>
      <c r="BS654">
        <v>8.34</v>
      </c>
      <c r="BT654">
        <v>11</v>
      </c>
      <c r="BU654">
        <v>10.6</v>
      </c>
      <c r="BV654">
        <v>10.8</v>
      </c>
      <c r="BW654">
        <v>2.78</v>
      </c>
      <c r="BX654">
        <v>2.5</v>
      </c>
      <c r="BY654">
        <v>2.6399999999999997</v>
      </c>
      <c r="BZ654">
        <v>10.41</v>
      </c>
      <c r="CA654">
        <v>7.41</v>
      </c>
      <c r="CB654">
        <v>8.91</v>
      </c>
      <c r="CC654">
        <v>7.38</v>
      </c>
      <c r="CD654">
        <v>7.14</v>
      </c>
      <c r="CE654">
        <v>7.26</v>
      </c>
      <c r="CF654">
        <v>2.14</v>
      </c>
      <c r="CG654">
        <v>1.6400000000000001</v>
      </c>
      <c r="CH654">
        <v>1.8900000000000001</v>
      </c>
      <c r="CI654">
        <v>0.47</v>
      </c>
      <c r="CJ654">
        <v>0.43</v>
      </c>
      <c r="CK654">
        <v>0.44999999999999996</v>
      </c>
      <c r="CL654">
        <v>42.82</v>
      </c>
      <c r="CM654">
        <v>40.42</v>
      </c>
      <c r="CN654">
        <v>41.620000000000005</v>
      </c>
      <c r="CO654">
        <v>6.17</v>
      </c>
      <c r="CP654">
        <v>1.17</v>
      </c>
      <c r="CQ654">
        <v>3.67</v>
      </c>
    </row>
    <row r="655" spans="1:95">
      <c r="A655" s="228">
        <v>45941</v>
      </c>
      <c r="B655" t="s">
        <v>307</v>
      </c>
    </row>
    <row r="656" spans="1:95">
      <c r="A656" s="228">
        <v>45942</v>
      </c>
      <c r="B656" t="s">
        <v>308</v>
      </c>
    </row>
    <row r="657" spans="1:95">
      <c r="A657" s="228">
        <v>45943</v>
      </c>
      <c r="B657" t="s">
        <v>96</v>
      </c>
    </row>
    <row r="658" spans="1:95">
      <c r="A658" s="228">
        <v>45944</v>
      </c>
      <c r="B658" t="s">
        <v>97</v>
      </c>
      <c r="C658">
        <v>153.49</v>
      </c>
      <c r="D658">
        <v>151.49</v>
      </c>
      <c r="E658">
        <v>152.49</v>
      </c>
      <c r="F658">
        <v>177.73</v>
      </c>
      <c r="G658">
        <v>174.73</v>
      </c>
      <c r="H658">
        <v>176.23</v>
      </c>
      <c r="I658">
        <v>110.23</v>
      </c>
      <c r="J658">
        <v>107.03</v>
      </c>
      <c r="K658">
        <v>108.63</v>
      </c>
      <c r="L658">
        <v>207.38</v>
      </c>
      <c r="M658">
        <v>199.38</v>
      </c>
      <c r="N658">
        <v>203.38</v>
      </c>
      <c r="O658">
        <v>190.38</v>
      </c>
      <c r="P658">
        <v>188.57999999999998</v>
      </c>
      <c r="Q658">
        <v>189.48</v>
      </c>
      <c r="R658">
        <v>23.9</v>
      </c>
      <c r="S658">
        <v>23.299999999999997</v>
      </c>
      <c r="T658">
        <v>23.599999999999998</v>
      </c>
      <c r="U658">
        <v>15.4</v>
      </c>
      <c r="V658">
        <v>14.8</v>
      </c>
      <c r="W658">
        <v>15.100000000000001</v>
      </c>
      <c r="X658">
        <v>16.43</v>
      </c>
      <c r="Y658">
        <v>15.629999999999999</v>
      </c>
      <c r="Z658">
        <v>16.03</v>
      </c>
      <c r="AA658">
        <v>101.36</v>
      </c>
      <c r="AB658">
        <v>97.36</v>
      </c>
      <c r="AC658">
        <v>99.36</v>
      </c>
      <c r="AD658">
        <v>89.22</v>
      </c>
      <c r="AE658">
        <v>85.22</v>
      </c>
      <c r="AF658">
        <v>87.22</v>
      </c>
      <c r="AG658">
        <v>20.04</v>
      </c>
      <c r="AH658">
        <v>19.18</v>
      </c>
      <c r="AI658">
        <v>19.61</v>
      </c>
      <c r="AM658">
        <v>118.24</v>
      </c>
      <c r="AN658">
        <v>116.58</v>
      </c>
      <c r="AO658">
        <v>117.41</v>
      </c>
      <c r="AP658">
        <v>41.54</v>
      </c>
      <c r="AQ658">
        <v>39.94</v>
      </c>
      <c r="AR658">
        <v>40.739999999999995</v>
      </c>
      <c r="AS658">
        <v>42.28</v>
      </c>
      <c r="AT658">
        <v>40.92</v>
      </c>
      <c r="AU658">
        <v>41.6</v>
      </c>
      <c r="AV658">
        <v>21.66</v>
      </c>
      <c r="AW658">
        <v>21.06</v>
      </c>
      <c r="AX658">
        <v>21.36</v>
      </c>
      <c r="AY658">
        <v>4.76</v>
      </c>
      <c r="AZ658">
        <v>4.5999999999999996</v>
      </c>
      <c r="BA658">
        <v>4.68</v>
      </c>
      <c r="BB658">
        <v>1.88</v>
      </c>
      <c r="BC658">
        <v>1.5799999999999998</v>
      </c>
      <c r="BD658">
        <v>1.73</v>
      </c>
      <c r="BE658">
        <v>0.7</v>
      </c>
      <c r="BF658">
        <v>0.39999999999999997</v>
      </c>
      <c r="BG658">
        <v>0.54999999999999993</v>
      </c>
      <c r="BH658">
        <v>504.23</v>
      </c>
      <c r="BI658">
        <v>488.23</v>
      </c>
      <c r="BJ658">
        <v>496.23</v>
      </c>
      <c r="BK658">
        <v>42.6</v>
      </c>
      <c r="BL658">
        <v>41.24</v>
      </c>
      <c r="BM658">
        <v>41.92</v>
      </c>
      <c r="BN658">
        <v>1.04</v>
      </c>
      <c r="BO658">
        <v>0.8</v>
      </c>
      <c r="BP658">
        <v>0.92</v>
      </c>
      <c r="BQ658">
        <v>9.26</v>
      </c>
      <c r="BR658">
        <v>7.26</v>
      </c>
      <c r="BS658">
        <v>8.26</v>
      </c>
      <c r="BT658">
        <v>10.89</v>
      </c>
      <c r="BU658">
        <v>10.49</v>
      </c>
      <c r="BV658">
        <v>10.690000000000001</v>
      </c>
      <c r="BW658">
        <v>2.77</v>
      </c>
      <c r="BX658">
        <v>2.4900000000000002</v>
      </c>
      <c r="BY658">
        <v>2.63</v>
      </c>
      <c r="BZ658">
        <v>10.32</v>
      </c>
      <c r="CA658">
        <v>7.32</v>
      </c>
      <c r="CB658">
        <v>8.82</v>
      </c>
      <c r="CC658">
        <v>7.36</v>
      </c>
      <c r="CD658">
        <v>7.12</v>
      </c>
      <c r="CE658">
        <v>7.24</v>
      </c>
      <c r="CF658">
        <v>2.13</v>
      </c>
      <c r="CG658">
        <v>1.63</v>
      </c>
      <c r="CH658">
        <v>1.88</v>
      </c>
      <c r="CI658">
        <v>0.47</v>
      </c>
      <c r="CJ658">
        <v>0.43</v>
      </c>
      <c r="CK658">
        <v>0.44999999999999996</v>
      </c>
      <c r="CL658">
        <v>42.59</v>
      </c>
      <c r="CM658">
        <v>40.190000000000005</v>
      </c>
      <c r="CN658">
        <v>41.39</v>
      </c>
      <c r="CO658">
        <v>6.15</v>
      </c>
      <c r="CP658">
        <v>1.1500000000000004</v>
      </c>
      <c r="CQ658">
        <v>3.6500000000000004</v>
      </c>
    </row>
    <row r="659" spans="1:95">
      <c r="A659" s="228">
        <v>45945</v>
      </c>
      <c r="B659" t="s">
        <v>98</v>
      </c>
      <c r="C659">
        <v>152.66999999999999</v>
      </c>
      <c r="D659">
        <v>150.66999999999999</v>
      </c>
      <c r="E659">
        <v>151.66999999999999</v>
      </c>
      <c r="F659">
        <v>177.62</v>
      </c>
      <c r="G659">
        <v>174.62</v>
      </c>
      <c r="H659">
        <v>176.12</v>
      </c>
      <c r="I659">
        <v>109.57</v>
      </c>
      <c r="J659">
        <v>106.36999999999999</v>
      </c>
      <c r="K659">
        <v>107.97</v>
      </c>
      <c r="L659">
        <v>206.18</v>
      </c>
      <c r="M659">
        <v>198.18</v>
      </c>
      <c r="N659">
        <v>202.18</v>
      </c>
      <c r="O659">
        <v>190.25</v>
      </c>
      <c r="P659">
        <v>188.45</v>
      </c>
      <c r="Q659">
        <v>189.35</v>
      </c>
      <c r="R659">
        <v>23.88</v>
      </c>
      <c r="S659">
        <v>23.279999999999998</v>
      </c>
      <c r="T659">
        <v>23.58</v>
      </c>
      <c r="U659">
        <v>15.24</v>
      </c>
      <c r="V659">
        <v>14.64</v>
      </c>
      <c r="W659">
        <v>14.940000000000001</v>
      </c>
      <c r="X659">
        <v>16.309999999999999</v>
      </c>
      <c r="Y659">
        <v>15.509999999999998</v>
      </c>
      <c r="Z659">
        <v>15.909999999999998</v>
      </c>
      <c r="AA659">
        <v>100.51</v>
      </c>
      <c r="AB659">
        <v>96.51</v>
      </c>
      <c r="AC659">
        <v>98.51</v>
      </c>
      <c r="AD659">
        <v>88.63</v>
      </c>
      <c r="AE659">
        <v>84.63</v>
      </c>
      <c r="AF659">
        <v>86.63</v>
      </c>
      <c r="AG659">
        <v>19.940000000000001</v>
      </c>
      <c r="AH659">
        <v>19.080000000000002</v>
      </c>
      <c r="AI659">
        <v>19.510000000000002</v>
      </c>
      <c r="AM659">
        <v>117.71</v>
      </c>
      <c r="AN659">
        <v>116.05</v>
      </c>
      <c r="AO659">
        <v>116.88</v>
      </c>
      <c r="AP659">
        <v>41.32</v>
      </c>
      <c r="AQ659">
        <v>39.72</v>
      </c>
      <c r="AR659">
        <v>40.519999999999996</v>
      </c>
      <c r="AS659">
        <v>42.06</v>
      </c>
      <c r="AT659">
        <v>40.700000000000003</v>
      </c>
      <c r="AU659">
        <v>41.38</v>
      </c>
      <c r="AV659">
        <v>21.54</v>
      </c>
      <c r="AW659">
        <v>20.939999999999998</v>
      </c>
      <c r="AX659">
        <v>21.24</v>
      </c>
      <c r="AY659">
        <v>4.7300000000000004</v>
      </c>
      <c r="AZ659">
        <v>4.57</v>
      </c>
      <c r="BA659">
        <v>4.6500000000000004</v>
      </c>
      <c r="BB659">
        <v>1.87</v>
      </c>
      <c r="BC659">
        <v>1.57</v>
      </c>
      <c r="BD659">
        <v>1.7200000000000002</v>
      </c>
      <c r="BE659">
        <v>0.69</v>
      </c>
      <c r="BF659">
        <v>0.38999999999999996</v>
      </c>
      <c r="BG659">
        <v>0.53999999999999992</v>
      </c>
      <c r="BH659">
        <v>503.33</v>
      </c>
      <c r="BI659">
        <v>487.33</v>
      </c>
      <c r="BJ659">
        <v>495.33</v>
      </c>
      <c r="BK659">
        <v>42.37</v>
      </c>
      <c r="BL659">
        <v>41.01</v>
      </c>
      <c r="BM659">
        <v>41.69</v>
      </c>
      <c r="BN659">
        <v>1.04</v>
      </c>
      <c r="BO659">
        <v>0.8</v>
      </c>
      <c r="BP659">
        <v>0.92</v>
      </c>
      <c r="BQ659">
        <v>9.1999999999999993</v>
      </c>
      <c r="BR659">
        <v>7.1999999999999993</v>
      </c>
      <c r="BS659">
        <v>8.1999999999999993</v>
      </c>
      <c r="BT659">
        <v>10.83</v>
      </c>
      <c r="BU659">
        <v>10.43</v>
      </c>
      <c r="BV659">
        <v>10.629999999999999</v>
      </c>
      <c r="BW659">
        <v>2.76</v>
      </c>
      <c r="BX659">
        <v>2.4799999999999995</v>
      </c>
      <c r="BY659">
        <v>2.6199999999999997</v>
      </c>
      <c r="BZ659">
        <v>10.23</v>
      </c>
      <c r="CA659">
        <v>7.23</v>
      </c>
      <c r="CB659">
        <v>8.73</v>
      </c>
      <c r="CC659">
        <v>7.37</v>
      </c>
      <c r="CD659">
        <v>7.13</v>
      </c>
      <c r="CE659">
        <v>7.25</v>
      </c>
      <c r="CF659">
        <v>2.16</v>
      </c>
      <c r="CG659">
        <v>1.6600000000000001</v>
      </c>
      <c r="CH659">
        <v>1.9100000000000001</v>
      </c>
      <c r="CI659">
        <v>0.47</v>
      </c>
      <c r="CJ659">
        <v>0.43</v>
      </c>
      <c r="CK659">
        <v>0.44999999999999996</v>
      </c>
      <c r="CL659">
        <v>42.55</v>
      </c>
      <c r="CM659">
        <v>40.15</v>
      </c>
      <c r="CN659">
        <v>41.349999999999994</v>
      </c>
      <c r="CO659">
        <v>6.13</v>
      </c>
      <c r="CP659">
        <v>1.1299999999999999</v>
      </c>
      <c r="CQ659">
        <v>3.63</v>
      </c>
    </row>
    <row r="660" spans="1:95">
      <c r="A660" s="228">
        <v>45946</v>
      </c>
      <c r="B660" t="s">
        <v>99</v>
      </c>
      <c r="C660">
        <v>151.72999999999999</v>
      </c>
      <c r="D660">
        <v>149.72999999999999</v>
      </c>
      <c r="E660">
        <v>150.72999999999999</v>
      </c>
      <c r="F660">
        <v>177.24</v>
      </c>
      <c r="G660">
        <v>174.24</v>
      </c>
      <c r="H660">
        <v>175.74</v>
      </c>
      <c r="I660">
        <v>108.96</v>
      </c>
      <c r="J660">
        <v>105.75999999999999</v>
      </c>
      <c r="K660">
        <v>107.35999999999999</v>
      </c>
      <c r="L660">
        <v>206.34</v>
      </c>
      <c r="M660">
        <v>198.34</v>
      </c>
      <c r="N660">
        <v>202.34</v>
      </c>
      <c r="O660">
        <v>190.35</v>
      </c>
      <c r="P660">
        <v>188.54999999999998</v>
      </c>
      <c r="Q660">
        <v>189.45</v>
      </c>
      <c r="R660">
        <v>23.83</v>
      </c>
      <c r="S660">
        <v>23.229999999999997</v>
      </c>
      <c r="T660">
        <v>23.529999999999998</v>
      </c>
      <c r="U660">
        <v>15.24</v>
      </c>
      <c r="V660">
        <v>14.64</v>
      </c>
      <c r="W660">
        <v>14.940000000000001</v>
      </c>
      <c r="X660">
        <v>16.32</v>
      </c>
      <c r="Y660">
        <v>15.52</v>
      </c>
      <c r="Z660">
        <v>15.92</v>
      </c>
      <c r="AA660">
        <v>99.75</v>
      </c>
      <c r="AB660">
        <v>95.75</v>
      </c>
      <c r="AC660">
        <v>97.75</v>
      </c>
      <c r="AD660">
        <v>88.32</v>
      </c>
      <c r="AE660">
        <v>84.32</v>
      </c>
      <c r="AF660">
        <v>86.32</v>
      </c>
      <c r="AG660">
        <v>19.82</v>
      </c>
      <c r="AH660">
        <v>18.96</v>
      </c>
      <c r="AI660">
        <v>19.39</v>
      </c>
      <c r="AM660">
        <v>117.26</v>
      </c>
      <c r="AN660">
        <v>115.60000000000001</v>
      </c>
      <c r="AO660">
        <v>116.43</v>
      </c>
      <c r="AP660">
        <v>41.07</v>
      </c>
      <c r="AQ660">
        <v>39.47</v>
      </c>
      <c r="AR660">
        <v>40.269999999999996</v>
      </c>
      <c r="AS660">
        <v>41.81</v>
      </c>
      <c r="AT660">
        <v>40.450000000000003</v>
      </c>
      <c r="AU660">
        <v>41.13</v>
      </c>
      <c r="AV660">
        <v>21.45</v>
      </c>
      <c r="AW660">
        <v>20.849999999999998</v>
      </c>
      <c r="AX660">
        <v>21.15</v>
      </c>
      <c r="AY660">
        <v>4.72</v>
      </c>
      <c r="AZ660">
        <v>4.5599999999999996</v>
      </c>
      <c r="BA660">
        <v>4.6399999999999997</v>
      </c>
      <c r="BB660">
        <v>1.88</v>
      </c>
      <c r="BC660">
        <v>1.5799999999999998</v>
      </c>
      <c r="BD660">
        <v>1.73</v>
      </c>
      <c r="BE660">
        <v>0.69</v>
      </c>
      <c r="BF660">
        <v>0.38999999999999996</v>
      </c>
      <c r="BG660">
        <v>0.53999999999999992</v>
      </c>
      <c r="BH660">
        <v>501.55</v>
      </c>
      <c r="BI660">
        <v>485.55</v>
      </c>
      <c r="BJ660">
        <v>493.55</v>
      </c>
      <c r="BK660">
        <v>42.11</v>
      </c>
      <c r="BL660">
        <v>40.75</v>
      </c>
      <c r="BM660">
        <v>41.43</v>
      </c>
      <c r="BN660">
        <v>1.03</v>
      </c>
      <c r="BO660">
        <v>0.79</v>
      </c>
      <c r="BP660">
        <v>0.91</v>
      </c>
      <c r="BQ660">
        <v>9.17</v>
      </c>
      <c r="BR660">
        <v>7.17</v>
      </c>
      <c r="BS660">
        <v>8.17</v>
      </c>
      <c r="BT660">
        <v>10.83</v>
      </c>
      <c r="BU660">
        <v>10.43</v>
      </c>
      <c r="BV660">
        <v>10.629999999999999</v>
      </c>
      <c r="BW660">
        <v>2.75</v>
      </c>
      <c r="BX660">
        <v>2.4699999999999998</v>
      </c>
      <c r="BY660">
        <v>2.61</v>
      </c>
      <c r="BZ660">
        <v>10.199999999999999</v>
      </c>
      <c r="CA660">
        <v>7.1999999999999993</v>
      </c>
      <c r="CB660">
        <v>8.6999999999999993</v>
      </c>
      <c r="CC660">
        <v>7.36</v>
      </c>
      <c r="CD660">
        <v>7.12</v>
      </c>
      <c r="CE660">
        <v>7.24</v>
      </c>
      <c r="CF660">
        <v>2.17</v>
      </c>
      <c r="CG660">
        <v>1.67</v>
      </c>
      <c r="CH660">
        <v>1.92</v>
      </c>
      <c r="CI660">
        <v>0.47</v>
      </c>
      <c r="CJ660">
        <v>0.43</v>
      </c>
      <c r="CK660">
        <v>0.44999999999999996</v>
      </c>
      <c r="CL660">
        <v>42.54</v>
      </c>
      <c r="CM660">
        <v>40.14</v>
      </c>
      <c r="CN660">
        <v>41.34</v>
      </c>
      <c r="CO660">
        <v>6.1</v>
      </c>
      <c r="CP660">
        <v>1.0999999999999996</v>
      </c>
      <c r="CQ660">
        <v>3.5999999999999996</v>
      </c>
    </row>
    <row r="661" spans="1:95">
      <c r="A661" s="228">
        <v>45947</v>
      </c>
      <c r="B661" t="s">
        <v>100</v>
      </c>
      <c r="C661">
        <v>151.18</v>
      </c>
      <c r="D661">
        <v>149.18</v>
      </c>
      <c r="E661">
        <v>150.18</v>
      </c>
      <c r="F661">
        <v>177.32</v>
      </c>
      <c r="G661">
        <v>174.32</v>
      </c>
      <c r="H661">
        <v>175.82</v>
      </c>
      <c r="I661">
        <v>108.56</v>
      </c>
      <c r="J661">
        <v>105.36</v>
      </c>
      <c r="K661">
        <v>106.96000000000001</v>
      </c>
      <c r="L661">
        <v>205.96</v>
      </c>
      <c r="M661">
        <v>197.96</v>
      </c>
      <c r="N661">
        <v>201.96</v>
      </c>
      <c r="O661">
        <v>190.71</v>
      </c>
      <c r="P661">
        <v>188.91</v>
      </c>
      <c r="Q661">
        <v>189.81</v>
      </c>
      <c r="R661">
        <v>23.84</v>
      </c>
      <c r="S661">
        <v>23.24</v>
      </c>
      <c r="T661">
        <v>23.54</v>
      </c>
      <c r="U661">
        <v>15.23</v>
      </c>
      <c r="V661">
        <v>14.63</v>
      </c>
      <c r="W661">
        <v>14.93</v>
      </c>
      <c r="X661">
        <v>16.350000000000001</v>
      </c>
      <c r="Y661">
        <v>15.55</v>
      </c>
      <c r="Z661">
        <v>15.950000000000001</v>
      </c>
      <c r="AA661">
        <v>99.41</v>
      </c>
      <c r="AB661">
        <v>95.41</v>
      </c>
      <c r="AC661">
        <v>97.41</v>
      </c>
      <c r="AD661">
        <v>88.02</v>
      </c>
      <c r="AE661">
        <v>84.02</v>
      </c>
      <c r="AF661">
        <v>86.02</v>
      </c>
      <c r="AG661">
        <v>19.760000000000002</v>
      </c>
      <c r="AH661">
        <v>18.900000000000002</v>
      </c>
      <c r="AI661">
        <v>19.330000000000002</v>
      </c>
      <c r="AM661">
        <v>117.01</v>
      </c>
      <c r="AN661">
        <v>115.35000000000001</v>
      </c>
      <c r="AO661">
        <v>116.18</v>
      </c>
      <c r="AP661">
        <v>40.92</v>
      </c>
      <c r="AQ661">
        <v>39.32</v>
      </c>
      <c r="AR661">
        <v>40.120000000000005</v>
      </c>
      <c r="AS661">
        <v>41.66</v>
      </c>
      <c r="AT661">
        <v>40.299999999999997</v>
      </c>
      <c r="AU661">
        <v>40.98</v>
      </c>
      <c r="AV661">
        <v>21.4</v>
      </c>
      <c r="AW661">
        <v>20.799999999999997</v>
      </c>
      <c r="AX661">
        <v>21.099999999999998</v>
      </c>
      <c r="AY661">
        <v>4.71</v>
      </c>
      <c r="AZ661">
        <v>4.55</v>
      </c>
      <c r="BA661">
        <v>4.63</v>
      </c>
      <c r="BB661">
        <v>1.87</v>
      </c>
      <c r="BC661">
        <v>1.57</v>
      </c>
      <c r="BD661">
        <v>1.7200000000000002</v>
      </c>
      <c r="BE661">
        <v>0.69</v>
      </c>
      <c r="BF661">
        <v>0.38999999999999996</v>
      </c>
      <c r="BG661">
        <v>0.53999999999999992</v>
      </c>
      <c r="BH661">
        <v>500.23</v>
      </c>
      <c r="BI661">
        <v>484.23</v>
      </c>
      <c r="BJ661">
        <v>492.23</v>
      </c>
      <c r="BK661">
        <v>41.96</v>
      </c>
      <c r="BL661">
        <v>40.6</v>
      </c>
      <c r="BM661">
        <v>41.28</v>
      </c>
      <c r="BN661">
        <v>1.03</v>
      </c>
      <c r="BO661">
        <v>0.79</v>
      </c>
      <c r="BP661">
        <v>0.91</v>
      </c>
      <c r="BQ661">
        <v>9.15</v>
      </c>
      <c r="BR661">
        <v>7.15</v>
      </c>
      <c r="BS661">
        <v>8.15</v>
      </c>
      <c r="BT661">
        <v>10.81</v>
      </c>
      <c r="BU661">
        <v>10.41</v>
      </c>
      <c r="BV661">
        <v>10.61</v>
      </c>
      <c r="BW661">
        <v>2.74</v>
      </c>
      <c r="BX661">
        <v>2.46</v>
      </c>
      <c r="BY661">
        <v>2.6</v>
      </c>
      <c r="BZ661">
        <v>10.18</v>
      </c>
      <c r="CA661">
        <v>7.18</v>
      </c>
      <c r="CB661">
        <v>8.68</v>
      </c>
      <c r="CC661">
        <v>7.37</v>
      </c>
      <c r="CD661">
        <v>7.13</v>
      </c>
      <c r="CE661">
        <v>7.25</v>
      </c>
      <c r="CF661">
        <v>2.13</v>
      </c>
      <c r="CG661">
        <v>1.63</v>
      </c>
      <c r="CH661">
        <v>1.88</v>
      </c>
      <c r="CI661">
        <v>0.47</v>
      </c>
      <c r="CJ661">
        <v>0.43</v>
      </c>
      <c r="CK661">
        <v>0.44999999999999996</v>
      </c>
      <c r="CL661">
        <v>42.53</v>
      </c>
      <c r="CM661">
        <v>40.130000000000003</v>
      </c>
      <c r="CN661">
        <v>41.33</v>
      </c>
      <c r="CO661">
        <v>6.1</v>
      </c>
      <c r="CP661">
        <v>1.0999999999999996</v>
      </c>
      <c r="CQ661">
        <v>3.5999999999999996</v>
      </c>
    </row>
    <row r="662" spans="1:95">
      <c r="A662" s="228">
        <v>45948</v>
      </c>
      <c r="B662" t="s">
        <v>307</v>
      </c>
    </row>
    <row r="663" spans="1:95">
      <c r="A663" s="228">
        <v>45949</v>
      </c>
      <c r="B663" t="s">
        <v>308</v>
      </c>
    </row>
    <row r="664" spans="1:95">
      <c r="A664" s="228">
        <v>45950</v>
      </c>
      <c r="B664" t="s">
        <v>96</v>
      </c>
      <c r="C664">
        <v>152</v>
      </c>
      <c r="D664">
        <v>150</v>
      </c>
      <c r="E664">
        <v>151</v>
      </c>
      <c r="F664">
        <v>177.61</v>
      </c>
      <c r="G664">
        <v>174.61</v>
      </c>
      <c r="H664">
        <v>176.11</v>
      </c>
      <c r="I664">
        <v>109.34</v>
      </c>
      <c r="J664">
        <v>106.14</v>
      </c>
      <c r="K664">
        <v>107.74000000000001</v>
      </c>
      <c r="L664">
        <v>206.79</v>
      </c>
      <c r="M664">
        <v>198.79</v>
      </c>
      <c r="N664">
        <v>202.79</v>
      </c>
      <c r="O664">
        <v>191.36</v>
      </c>
      <c r="P664">
        <v>189.56</v>
      </c>
      <c r="Q664">
        <v>190.46</v>
      </c>
      <c r="R664">
        <v>23.88</v>
      </c>
      <c r="S664">
        <v>23.279999999999998</v>
      </c>
      <c r="T664">
        <v>23.58</v>
      </c>
      <c r="U664">
        <v>15.32</v>
      </c>
      <c r="V664">
        <v>14.72</v>
      </c>
      <c r="W664">
        <v>15.02</v>
      </c>
      <c r="X664">
        <v>16.43</v>
      </c>
      <c r="Y664">
        <v>15.629999999999999</v>
      </c>
      <c r="Z664">
        <v>16.03</v>
      </c>
      <c r="AA664">
        <v>100.21</v>
      </c>
      <c r="AB664">
        <v>96.21</v>
      </c>
      <c r="AC664">
        <v>98.21</v>
      </c>
      <c r="AD664">
        <v>88.58</v>
      </c>
      <c r="AE664">
        <v>84.58</v>
      </c>
      <c r="AF664">
        <v>86.58</v>
      </c>
      <c r="AG664">
        <v>19.87</v>
      </c>
      <c r="AH664">
        <v>19.010000000000002</v>
      </c>
      <c r="AI664">
        <v>19.440000000000001</v>
      </c>
      <c r="AM664">
        <v>117.4</v>
      </c>
      <c r="AN664">
        <v>115.74000000000001</v>
      </c>
      <c r="AO664">
        <v>116.57000000000001</v>
      </c>
      <c r="AP664">
        <v>41.14</v>
      </c>
      <c r="AQ664">
        <v>39.54</v>
      </c>
      <c r="AR664">
        <v>40.340000000000003</v>
      </c>
      <c r="AS664">
        <v>41.87</v>
      </c>
      <c r="AT664">
        <v>40.51</v>
      </c>
      <c r="AU664">
        <v>41.19</v>
      </c>
      <c r="AV664">
        <v>21.49</v>
      </c>
      <c r="AW664">
        <v>20.889999999999997</v>
      </c>
      <c r="AX664">
        <v>21.189999999999998</v>
      </c>
      <c r="AY664">
        <v>4.6900000000000004</v>
      </c>
      <c r="AZ664">
        <v>4.53</v>
      </c>
      <c r="BA664">
        <v>4.6100000000000003</v>
      </c>
      <c r="BB664">
        <v>1.88</v>
      </c>
      <c r="BC664">
        <v>1.5799999999999998</v>
      </c>
      <c r="BD664">
        <v>1.73</v>
      </c>
      <c r="BE664">
        <v>0.69</v>
      </c>
      <c r="BF664">
        <v>0.38999999999999996</v>
      </c>
      <c r="BG664">
        <v>0.53999999999999992</v>
      </c>
      <c r="BH664">
        <v>502.43</v>
      </c>
      <c r="BI664">
        <v>486.43</v>
      </c>
      <c r="BJ664">
        <v>494.43</v>
      </c>
      <c r="BK664">
        <v>42.19</v>
      </c>
      <c r="BL664">
        <v>40.83</v>
      </c>
      <c r="BM664">
        <v>41.51</v>
      </c>
      <c r="BN664">
        <v>1.03</v>
      </c>
      <c r="BO664">
        <v>0.79</v>
      </c>
      <c r="BP664">
        <v>0.91</v>
      </c>
      <c r="BQ664">
        <v>9.2200000000000006</v>
      </c>
      <c r="BR664">
        <v>7.2200000000000006</v>
      </c>
      <c r="BS664">
        <v>8.2200000000000006</v>
      </c>
      <c r="BT664">
        <v>10.83</v>
      </c>
      <c r="BU664">
        <v>10.43</v>
      </c>
      <c r="BV664">
        <v>10.629999999999999</v>
      </c>
      <c r="BW664">
        <v>2.75</v>
      </c>
      <c r="BX664">
        <v>2.4699999999999998</v>
      </c>
      <c r="BY664">
        <v>2.61</v>
      </c>
      <c r="BZ664">
        <v>10.199999999999999</v>
      </c>
      <c r="CA664">
        <v>7.1999999999999993</v>
      </c>
      <c r="CB664">
        <v>8.6999999999999993</v>
      </c>
      <c r="CC664">
        <v>7.37</v>
      </c>
      <c r="CD664">
        <v>7.13</v>
      </c>
      <c r="CE664">
        <v>7.25</v>
      </c>
      <c r="CF664">
        <v>2.11</v>
      </c>
      <c r="CG664">
        <v>1.6099999999999999</v>
      </c>
      <c r="CH664">
        <v>1.8599999999999999</v>
      </c>
      <c r="CI664">
        <v>0.47</v>
      </c>
      <c r="CJ664">
        <v>0.43</v>
      </c>
      <c r="CK664">
        <v>0.44999999999999996</v>
      </c>
      <c r="CL664">
        <v>42.73</v>
      </c>
      <c r="CM664">
        <v>40.33</v>
      </c>
      <c r="CN664">
        <v>41.53</v>
      </c>
      <c r="CO664">
        <v>6.1</v>
      </c>
      <c r="CP664">
        <v>1.0999999999999996</v>
      </c>
      <c r="CQ664">
        <v>3.5999999999999996</v>
      </c>
    </row>
    <row r="665" spans="1:95">
      <c r="A665" s="228">
        <v>45951</v>
      </c>
      <c r="B665" t="s">
        <v>97</v>
      </c>
      <c r="C665">
        <v>151.56</v>
      </c>
      <c r="D665">
        <v>149.56</v>
      </c>
      <c r="E665">
        <v>150.56</v>
      </c>
      <c r="F665">
        <v>176.95</v>
      </c>
      <c r="G665">
        <v>173.95</v>
      </c>
      <c r="H665">
        <v>175.45</v>
      </c>
      <c r="I665">
        <v>108.89</v>
      </c>
      <c r="J665">
        <v>105.69</v>
      </c>
      <c r="K665">
        <v>107.28999999999999</v>
      </c>
      <c r="L665">
        <v>205.98</v>
      </c>
      <c r="M665">
        <v>197.98</v>
      </c>
      <c r="N665">
        <v>201.98</v>
      </c>
      <c r="O665">
        <v>191.1</v>
      </c>
      <c r="P665">
        <v>189.29999999999998</v>
      </c>
      <c r="Q665">
        <v>190.2</v>
      </c>
      <c r="R665">
        <v>23.79</v>
      </c>
      <c r="S665">
        <v>23.189999999999998</v>
      </c>
      <c r="T665">
        <v>23.49</v>
      </c>
      <c r="U665">
        <v>15.29</v>
      </c>
      <c r="V665">
        <v>14.69</v>
      </c>
      <c r="W665">
        <v>14.989999999999998</v>
      </c>
      <c r="X665">
        <v>16.39</v>
      </c>
      <c r="Y665">
        <v>15.59</v>
      </c>
      <c r="Z665">
        <v>15.99</v>
      </c>
      <c r="AA665">
        <v>100.24</v>
      </c>
      <c r="AB665">
        <v>96.24</v>
      </c>
      <c r="AC665">
        <v>98.24</v>
      </c>
      <c r="AD665">
        <v>88.6</v>
      </c>
      <c r="AE665">
        <v>84.6</v>
      </c>
      <c r="AF665">
        <v>86.6</v>
      </c>
      <c r="AG665">
        <v>19.809999999999999</v>
      </c>
      <c r="AH665">
        <v>18.95</v>
      </c>
      <c r="AI665">
        <v>19.38</v>
      </c>
      <c r="AM665">
        <v>117.3</v>
      </c>
      <c r="AN665">
        <v>115.64</v>
      </c>
      <c r="AO665">
        <v>116.47</v>
      </c>
      <c r="AP665">
        <v>40.93</v>
      </c>
      <c r="AQ665">
        <v>39.33</v>
      </c>
      <c r="AR665">
        <v>40.129999999999995</v>
      </c>
      <c r="AS665">
        <v>41.76</v>
      </c>
      <c r="AT665">
        <v>40.4</v>
      </c>
      <c r="AU665">
        <v>41.08</v>
      </c>
      <c r="AV665">
        <v>21.44</v>
      </c>
      <c r="AW665">
        <v>20.84</v>
      </c>
      <c r="AX665">
        <v>21.14</v>
      </c>
      <c r="AY665">
        <v>4.7</v>
      </c>
      <c r="AZ665">
        <v>4.54</v>
      </c>
      <c r="BA665">
        <v>4.62</v>
      </c>
      <c r="BB665">
        <v>1.88</v>
      </c>
      <c r="BC665">
        <v>1.5799999999999998</v>
      </c>
      <c r="BD665">
        <v>1.73</v>
      </c>
      <c r="BE665">
        <v>0.69</v>
      </c>
      <c r="BF665">
        <v>0.38999999999999996</v>
      </c>
      <c r="BG665">
        <v>0.53999999999999992</v>
      </c>
      <c r="BH665">
        <v>501.15</v>
      </c>
      <c r="BI665">
        <v>485.15</v>
      </c>
      <c r="BJ665">
        <v>493.15</v>
      </c>
      <c r="BK665">
        <v>42.07</v>
      </c>
      <c r="BL665">
        <v>40.71</v>
      </c>
      <c r="BM665">
        <v>41.39</v>
      </c>
      <c r="BN665">
        <v>1.03</v>
      </c>
      <c r="BO665">
        <v>0.79</v>
      </c>
      <c r="BP665">
        <v>0.91</v>
      </c>
      <c r="BQ665">
        <v>9.19</v>
      </c>
      <c r="BR665">
        <v>7.1899999999999995</v>
      </c>
      <c r="BS665">
        <v>8.19</v>
      </c>
      <c r="BT665">
        <v>10.81</v>
      </c>
      <c r="BU665">
        <v>10.41</v>
      </c>
      <c r="BV665">
        <v>10.61</v>
      </c>
      <c r="BW665">
        <v>2.74</v>
      </c>
      <c r="BX665">
        <v>2.46</v>
      </c>
      <c r="BY665">
        <v>2.6</v>
      </c>
      <c r="BZ665">
        <v>10.26</v>
      </c>
      <c r="CA665">
        <v>7.26</v>
      </c>
      <c r="CB665">
        <v>8.76</v>
      </c>
      <c r="CC665">
        <v>7.34</v>
      </c>
      <c r="CD665">
        <v>7.1</v>
      </c>
      <c r="CE665">
        <v>7.22</v>
      </c>
      <c r="CF665">
        <v>2.12</v>
      </c>
      <c r="CG665">
        <v>1.62</v>
      </c>
      <c r="CH665">
        <v>1.87</v>
      </c>
      <c r="CI665">
        <v>0.47</v>
      </c>
      <c r="CJ665">
        <v>0.43</v>
      </c>
      <c r="CK665">
        <v>0.44999999999999996</v>
      </c>
      <c r="CL665">
        <v>42.65</v>
      </c>
      <c r="CM665">
        <v>40.25</v>
      </c>
      <c r="CN665">
        <v>41.45</v>
      </c>
      <c r="CO665">
        <v>6.09</v>
      </c>
      <c r="CP665">
        <v>1.0899999999999999</v>
      </c>
      <c r="CQ665">
        <v>3.59</v>
      </c>
    </row>
    <row r="666" spans="1:95">
      <c r="A666" s="228">
        <v>45952</v>
      </c>
      <c r="B666" t="s">
        <v>98</v>
      </c>
      <c r="C666">
        <v>152.71</v>
      </c>
      <c r="D666">
        <v>150.71</v>
      </c>
      <c r="E666">
        <v>151.71</v>
      </c>
      <c r="F666">
        <v>177.57</v>
      </c>
      <c r="G666">
        <v>174.57</v>
      </c>
      <c r="H666">
        <v>176.07</v>
      </c>
      <c r="I666">
        <v>109.86</v>
      </c>
      <c r="J666">
        <v>106.66</v>
      </c>
      <c r="K666">
        <v>108.25999999999999</v>
      </c>
      <c r="L666">
        <v>206.9</v>
      </c>
      <c r="M666">
        <v>198.9</v>
      </c>
      <c r="N666">
        <v>202.9</v>
      </c>
      <c r="O666">
        <v>191.44</v>
      </c>
      <c r="P666">
        <v>189.64</v>
      </c>
      <c r="Q666">
        <v>190.54</v>
      </c>
      <c r="R666">
        <v>23.88</v>
      </c>
      <c r="S666">
        <v>23.279999999999998</v>
      </c>
      <c r="T666">
        <v>23.58</v>
      </c>
      <c r="U666">
        <v>15.39</v>
      </c>
      <c r="V666">
        <v>14.790000000000001</v>
      </c>
      <c r="W666">
        <v>15.09</v>
      </c>
      <c r="X666">
        <v>16.489999999999998</v>
      </c>
      <c r="Y666">
        <v>15.689999999999998</v>
      </c>
      <c r="Z666">
        <v>16.089999999999996</v>
      </c>
      <c r="AA666">
        <v>100.46</v>
      </c>
      <c r="AB666">
        <v>96.46</v>
      </c>
      <c r="AC666">
        <v>98.46</v>
      </c>
      <c r="AD666">
        <v>89.16</v>
      </c>
      <c r="AE666">
        <v>85.16</v>
      </c>
      <c r="AF666">
        <v>87.16</v>
      </c>
      <c r="AG666">
        <v>19.95</v>
      </c>
      <c r="AH666">
        <v>19.09</v>
      </c>
      <c r="AI666">
        <v>19.52</v>
      </c>
      <c r="AM666">
        <v>117.67</v>
      </c>
      <c r="AN666">
        <v>116.01</v>
      </c>
      <c r="AO666">
        <v>116.84</v>
      </c>
      <c r="AP666">
        <v>41.33</v>
      </c>
      <c r="AQ666">
        <v>39.729999999999997</v>
      </c>
      <c r="AR666">
        <v>40.53</v>
      </c>
      <c r="AS666">
        <v>42.07</v>
      </c>
      <c r="AT666">
        <v>40.71</v>
      </c>
      <c r="AU666">
        <v>41.39</v>
      </c>
      <c r="AV666">
        <v>21.59</v>
      </c>
      <c r="AW666">
        <v>20.99</v>
      </c>
      <c r="AX666">
        <v>21.29</v>
      </c>
      <c r="AY666">
        <v>4.7</v>
      </c>
      <c r="AZ666">
        <v>4.54</v>
      </c>
      <c r="BA666">
        <v>4.62</v>
      </c>
      <c r="BB666">
        <v>1.89</v>
      </c>
      <c r="BC666">
        <v>1.5899999999999999</v>
      </c>
      <c r="BD666">
        <v>1.7399999999999998</v>
      </c>
      <c r="BE666">
        <v>0.69</v>
      </c>
      <c r="BF666">
        <v>0.38999999999999996</v>
      </c>
      <c r="BG666">
        <v>0.53999999999999992</v>
      </c>
      <c r="BH666">
        <v>502.49</v>
      </c>
      <c r="BI666">
        <v>486.49</v>
      </c>
      <c r="BJ666">
        <v>494.49</v>
      </c>
      <c r="BK666">
        <v>42.38</v>
      </c>
      <c r="BL666">
        <v>41.02</v>
      </c>
      <c r="BM666">
        <v>41.7</v>
      </c>
      <c r="BN666">
        <v>1.04</v>
      </c>
      <c r="BO666">
        <v>0.8</v>
      </c>
      <c r="BP666">
        <v>0.92</v>
      </c>
      <c r="BQ666">
        <v>9.23</v>
      </c>
      <c r="BR666">
        <v>7.23</v>
      </c>
      <c r="BS666">
        <v>8.23</v>
      </c>
      <c r="BT666">
        <v>10.82</v>
      </c>
      <c r="BU666">
        <v>10.42</v>
      </c>
      <c r="BV666">
        <v>10.620000000000001</v>
      </c>
      <c r="BW666">
        <v>2.76</v>
      </c>
      <c r="BX666">
        <v>2.4799999999999995</v>
      </c>
      <c r="BY666">
        <v>2.6199999999999997</v>
      </c>
      <c r="BZ666">
        <v>10.220000000000001</v>
      </c>
      <c r="CA666">
        <v>7.2200000000000006</v>
      </c>
      <c r="CB666">
        <v>8.7200000000000006</v>
      </c>
      <c r="CC666">
        <v>7.37</v>
      </c>
      <c r="CD666">
        <v>7.13</v>
      </c>
      <c r="CE666">
        <v>7.25</v>
      </c>
      <c r="CF666">
        <v>2.12</v>
      </c>
      <c r="CG666">
        <v>1.62</v>
      </c>
      <c r="CH666">
        <v>1.87</v>
      </c>
      <c r="CI666">
        <v>0.47</v>
      </c>
      <c r="CJ666">
        <v>0.43</v>
      </c>
      <c r="CK666">
        <v>0.44999999999999996</v>
      </c>
      <c r="CL666">
        <v>42.76</v>
      </c>
      <c r="CM666">
        <v>40.36</v>
      </c>
      <c r="CN666">
        <v>41.56</v>
      </c>
      <c r="CO666">
        <v>6.12</v>
      </c>
      <c r="CP666">
        <v>1.1200000000000001</v>
      </c>
      <c r="CQ666">
        <v>3.62</v>
      </c>
    </row>
    <row r="667" spans="1:95">
      <c r="A667" s="228">
        <v>45953</v>
      </c>
      <c r="B667" t="s">
        <v>99</v>
      </c>
      <c r="C667">
        <v>153.26</v>
      </c>
      <c r="D667">
        <v>151.26</v>
      </c>
      <c r="E667">
        <v>152.26</v>
      </c>
      <c r="F667">
        <v>178.2</v>
      </c>
      <c r="G667">
        <v>175.2</v>
      </c>
      <c r="H667">
        <v>176.7</v>
      </c>
      <c r="I667">
        <v>110.42</v>
      </c>
      <c r="J667">
        <v>107.22</v>
      </c>
      <c r="K667">
        <v>108.82</v>
      </c>
      <c r="L667">
        <v>207.21</v>
      </c>
      <c r="M667">
        <v>199.21</v>
      </c>
      <c r="N667">
        <v>203.21</v>
      </c>
      <c r="O667">
        <v>192.01</v>
      </c>
      <c r="P667">
        <v>190.20999999999998</v>
      </c>
      <c r="Q667">
        <v>191.10999999999999</v>
      </c>
      <c r="R667">
        <v>23.95</v>
      </c>
      <c r="S667">
        <v>23.349999999999998</v>
      </c>
      <c r="T667">
        <v>23.65</v>
      </c>
      <c r="U667">
        <v>15.5</v>
      </c>
      <c r="V667">
        <v>14.9</v>
      </c>
      <c r="W667">
        <v>15.2</v>
      </c>
      <c r="X667">
        <v>16.579999999999998</v>
      </c>
      <c r="Y667">
        <v>15.779999999999998</v>
      </c>
      <c r="Z667">
        <v>16.18</v>
      </c>
      <c r="AA667">
        <v>100.85</v>
      </c>
      <c r="AB667">
        <v>96.85</v>
      </c>
      <c r="AC667">
        <v>98.85</v>
      </c>
      <c r="AD667">
        <v>89.38</v>
      </c>
      <c r="AE667">
        <v>85.38</v>
      </c>
      <c r="AF667">
        <v>87.38</v>
      </c>
      <c r="AG667">
        <v>20.02</v>
      </c>
      <c r="AH667">
        <v>19.16</v>
      </c>
      <c r="AI667">
        <v>19.59</v>
      </c>
      <c r="AM667">
        <v>118.08</v>
      </c>
      <c r="AN667">
        <v>116.42</v>
      </c>
      <c r="AO667">
        <v>117.25</v>
      </c>
      <c r="AP667">
        <v>41.48</v>
      </c>
      <c r="AQ667">
        <v>39.879999999999995</v>
      </c>
      <c r="AR667">
        <v>40.679999999999993</v>
      </c>
      <c r="AS667">
        <v>42.22</v>
      </c>
      <c r="AT667">
        <v>40.86</v>
      </c>
      <c r="AU667">
        <v>41.54</v>
      </c>
      <c r="AV667">
        <v>21.66</v>
      </c>
      <c r="AW667">
        <v>21.06</v>
      </c>
      <c r="AX667">
        <v>21.36</v>
      </c>
      <c r="AY667">
        <v>4.72</v>
      </c>
      <c r="AZ667">
        <v>4.5599999999999996</v>
      </c>
      <c r="BA667">
        <v>4.6399999999999997</v>
      </c>
      <c r="BB667">
        <v>1.9</v>
      </c>
      <c r="BC667">
        <v>1.5999999999999999</v>
      </c>
      <c r="BD667">
        <v>1.75</v>
      </c>
      <c r="BE667">
        <v>0.7</v>
      </c>
      <c r="BF667">
        <v>0.39999999999999997</v>
      </c>
      <c r="BG667">
        <v>0.54999999999999993</v>
      </c>
      <c r="BH667">
        <v>505.74</v>
      </c>
      <c r="BI667">
        <v>489.74</v>
      </c>
      <c r="BJ667">
        <v>497.74</v>
      </c>
      <c r="BK667">
        <v>42.53</v>
      </c>
      <c r="BL667">
        <v>41.17</v>
      </c>
      <c r="BM667">
        <v>41.85</v>
      </c>
      <c r="BN667">
        <v>1.04</v>
      </c>
      <c r="BO667">
        <v>0.8</v>
      </c>
      <c r="BP667">
        <v>0.92</v>
      </c>
      <c r="BQ667">
        <v>9.26</v>
      </c>
      <c r="BR667">
        <v>7.26</v>
      </c>
      <c r="BS667">
        <v>8.26</v>
      </c>
      <c r="BT667">
        <v>10.85</v>
      </c>
      <c r="BU667">
        <v>10.45</v>
      </c>
      <c r="BV667">
        <v>10.649999999999999</v>
      </c>
      <c r="BW667">
        <v>2.76</v>
      </c>
      <c r="BX667">
        <v>2.4799999999999995</v>
      </c>
      <c r="BY667">
        <v>2.6199999999999997</v>
      </c>
      <c r="BZ667">
        <v>10.23</v>
      </c>
      <c r="CA667">
        <v>7.23</v>
      </c>
      <c r="CB667">
        <v>8.73</v>
      </c>
      <c r="CC667">
        <v>7.4</v>
      </c>
      <c r="CD667">
        <v>7.16</v>
      </c>
      <c r="CE667">
        <v>7.28</v>
      </c>
      <c r="CF667">
        <v>2.12</v>
      </c>
      <c r="CG667">
        <v>1.62</v>
      </c>
      <c r="CH667">
        <v>1.87</v>
      </c>
      <c r="CI667">
        <v>0.47</v>
      </c>
      <c r="CJ667">
        <v>0.43</v>
      </c>
      <c r="CK667">
        <v>0.44999999999999996</v>
      </c>
      <c r="CL667">
        <v>42.95</v>
      </c>
      <c r="CM667">
        <v>40.550000000000004</v>
      </c>
      <c r="CN667">
        <v>41.75</v>
      </c>
      <c r="CO667">
        <v>6.13</v>
      </c>
      <c r="CP667">
        <v>1.1299999999999999</v>
      </c>
      <c r="CQ667">
        <v>3.63</v>
      </c>
    </row>
    <row r="668" spans="1:95">
      <c r="A668" s="228">
        <v>45954</v>
      </c>
      <c r="B668" t="s">
        <v>100</v>
      </c>
      <c r="C668">
        <v>153.69</v>
      </c>
      <c r="D668">
        <v>151.69</v>
      </c>
      <c r="E668">
        <v>152.69</v>
      </c>
      <c r="F668">
        <v>178.88</v>
      </c>
      <c r="G668">
        <v>175.88</v>
      </c>
      <c r="H668">
        <v>177.38</v>
      </c>
      <c r="I668">
        <v>110.73</v>
      </c>
      <c r="J668">
        <v>107.53</v>
      </c>
      <c r="K668">
        <v>109.13</v>
      </c>
      <c r="L668">
        <v>207.52</v>
      </c>
      <c r="M668">
        <v>199.52</v>
      </c>
      <c r="N668">
        <v>203.52</v>
      </c>
      <c r="O668">
        <v>192.89</v>
      </c>
      <c r="P668">
        <v>191.08999999999997</v>
      </c>
      <c r="Q668">
        <v>191.98999999999998</v>
      </c>
      <c r="R668">
        <v>24.05</v>
      </c>
      <c r="S668">
        <v>23.45</v>
      </c>
      <c r="T668">
        <v>23.75</v>
      </c>
      <c r="U668">
        <v>15.62</v>
      </c>
      <c r="V668">
        <v>15.02</v>
      </c>
      <c r="W668">
        <v>15.32</v>
      </c>
      <c r="X668">
        <v>16.690000000000001</v>
      </c>
      <c r="Y668">
        <v>15.89</v>
      </c>
      <c r="Z668">
        <v>16.29</v>
      </c>
      <c r="AA668">
        <v>101.46</v>
      </c>
      <c r="AB668">
        <v>97.46</v>
      </c>
      <c r="AC668">
        <v>99.46</v>
      </c>
      <c r="AD668">
        <v>89.86</v>
      </c>
      <c r="AE668">
        <v>85.86</v>
      </c>
      <c r="AF668">
        <v>87.86</v>
      </c>
      <c r="AG668">
        <v>20.07</v>
      </c>
      <c r="AH668">
        <v>19.21</v>
      </c>
      <c r="AI668">
        <v>19.64</v>
      </c>
      <c r="AM668">
        <v>118.44</v>
      </c>
      <c r="AN668">
        <v>116.78</v>
      </c>
      <c r="AO668">
        <v>117.61</v>
      </c>
      <c r="AP668">
        <v>41.59</v>
      </c>
      <c r="AQ668">
        <v>39.99</v>
      </c>
      <c r="AR668">
        <v>40.790000000000006</v>
      </c>
      <c r="AS668">
        <v>42.33</v>
      </c>
      <c r="AT668">
        <v>40.97</v>
      </c>
      <c r="AU668">
        <v>41.65</v>
      </c>
      <c r="AV668">
        <v>21.73</v>
      </c>
      <c r="AW668">
        <v>21.13</v>
      </c>
      <c r="AX668">
        <v>21.43</v>
      </c>
      <c r="AY668">
        <v>4.75</v>
      </c>
      <c r="AZ668">
        <v>4.59</v>
      </c>
      <c r="BA668">
        <v>4.67</v>
      </c>
      <c r="BB668">
        <v>1.91</v>
      </c>
      <c r="BC668">
        <v>1.6099999999999999</v>
      </c>
      <c r="BD668">
        <v>1.7599999999999998</v>
      </c>
      <c r="BE668">
        <v>0.7</v>
      </c>
      <c r="BF668">
        <v>0.39999999999999997</v>
      </c>
      <c r="BG668">
        <v>0.54999999999999993</v>
      </c>
      <c r="BH668">
        <v>506.99</v>
      </c>
      <c r="BI668">
        <v>490.99</v>
      </c>
      <c r="BJ668">
        <v>498.99</v>
      </c>
      <c r="BK668">
        <v>42.65</v>
      </c>
      <c r="BL668">
        <v>41.29</v>
      </c>
      <c r="BM668">
        <v>41.97</v>
      </c>
      <c r="BN668">
        <v>1.04</v>
      </c>
      <c r="BO668">
        <v>0.8</v>
      </c>
      <c r="BP668">
        <v>0.92</v>
      </c>
      <c r="BQ668">
        <v>9.3000000000000007</v>
      </c>
      <c r="BR668">
        <v>7.3000000000000007</v>
      </c>
      <c r="BS668">
        <v>8.3000000000000007</v>
      </c>
      <c r="BT668">
        <v>10.86</v>
      </c>
      <c r="BU668">
        <v>10.459999999999999</v>
      </c>
      <c r="BV668">
        <v>10.66</v>
      </c>
      <c r="BW668">
        <v>2.76</v>
      </c>
      <c r="BX668">
        <v>2.4799999999999995</v>
      </c>
      <c r="BY668">
        <v>2.6199999999999997</v>
      </c>
      <c r="BZ668">
        <v>10.31</v>
      </c>
      <c r="CA668">
        <v>7.3100000000000005</v>
      </c>
      <c r="CB668">
        <v>8.81</v>
      </c>
      <c r="CC668">
        <v>7.42</v>
      </c>
      <c r="CD668">
        <v>7.18</v>
      </c>
      <c r="CE668">
        <v>7.3</v>
      </c>
      <c r="CF668">
        <v>2.14</v>
      </c>
      <c r="CG668">
        <v>1.6400000000000001</v>
      </c>
      <c r="CH668">
        <v>1.8900000000000001</v>
      </c>
      <c r="CI668">
        <v>0.48</v>
      </c>
      <c r="CJ668">
        <v>0.44</v>
      </c>
      <c r="CK668">
        <v>0.45999999999999996</v>
      </c>
      <c r="CL668">
        <v>43.15</v>
      </c>
      <c r="CM668">
        <v>40.75</v>
      </c>
      <c r="CN668">
        <v>41.95</v>
      </c>
      <c r="CO668">
        <v>6.14</v>
      </c>
      <c r="CP668">
        <v>1.1399999999999997</v>
      </c>
      <c r="CQ668">
        <v>3.6399999999999997</v>
      </c>
    </row>
    <row r="669" spans="1:95">
      <c r="A669" s="228">
        <v>45955</v>
      </c>
      <c r="B669" t="s">
        <v>307</v>
      </c>
    </row>
    <row r="670" spans="1:95">
      <c r="A670" s="228">
        <v>45956</v>
      </c>
      <c r="B670" t="s">
        <v>308</v>
      </c>
    </row>
    <row r="671" spans="1:95">
      <c r="A671" s="228">
        <v>45957</v>
      </c>
      <c r="B671" t="s">
        <v>96</v>
      </c>
      <c r="C671">
        <v>154</v>
      </c>
      <c r="D671">
        <v>152</v>
      </c>
      <c r="E671">
        <v>153</v>
      </c>
      <c r="F671">
        <v>179.5</v>
      </c>
      <c r="G671">
        <v>176.5</v>
      </c>
      <c r="H671">
        <v>178</v>
      </c>
      <c r="I671">
        <v>110.98</v>
      </c>
      <c r="J671">
        <v>107.78</v>
      </c>
      <c r="K671">
        <v>109.38</v>
      </c>
      <c r="L671">
        <v>207.84</v>
      </c>
      <c r="M671">
        <v>199.84</v>
      </c>
      <c r="N671">
        <v>203.84</v>
      </c>
      <c r="O671">
        <v>193.18</v>
      </c>
      <c r="P671">
        <v>191.38</v>
      </c>
      <c r="Q671">
        <v>192.28</v>
      </c>
      <c r="R671">
        <v>24.13</v>
      </c>
      <c r="S671">
        <v>23.529999999999998</v>
      </c>
      <c r="T671">
        <v>23.83</v>
      </c>
      <c r="U671">
        <v>15.6</v>
      </c>
      <c r="V671">
        <v>15</v>
      </c>
      <c r="W671">
        <v>15.3</v>
      </c>
      <c r="X671">
        <v>16.71</v>
      </c>
      <c r="Y671">
        <v>15.91</v>
      </c>
      <c r="Z671">
        <v>16.310000000000002</v>
      </c>
      <c r="AA671">
        <v>101.97</v>
      </c>
      <c r="AB671">
        <v>97.97</v>
      </c>
      <c r="AC671">
        <v>99.97</v>
      </c>
      <c r="AD671">
        <v>90.16</v>
      </c>
      <c r="AE671">
        <v>86.16</v>
      </c>
      <c r="AF671">
        <v>88.16</v>
      </c>
      <c r="AG671">
        <v>20.13</v>
      </c>
      <c r="AH671">
        <v>19.27</v>
      </c>
      <c r="AI671">
        <v>19.7</v>
      </c>
      <c r="AM671">
        <v>118.79</v>
      </c>
      <c r="AN671">
        <v>117.13000000000001</v>
      </c>
      <c r="AO671">
        <v>117.96000000000001</v>
      </c>
      <c r="AP671">
        <v>41.68</v>
      </c>
      <c r="AQ671">
        <v>40.08</v>
      </c>
      <c r="AR671">
        <v>40.879999999999995</v>
      </c>
      <c r="AS671">
        <v>42.43</v>
      </c>
      <c r="AT671">
        <v>41.07</v>
      </c>
      <c r="AU671">
        <v>41.75</v>
      </c>
      <c r="AV671">
        <v>21.8</v>
      </c>
      <c r="AW671">
        <v>21.2</v>
      </c>
      <c r="AX671">
        <v>21.5</v>
      </c>
      <c r="AY671">
        <v>4.76</v>
      </c>
      <c r="AZ671">
        <v>4.5999999999999996</v>
      </c>
      <c r="BA671">
        <v>4.68</v>
      </c>
      <c r="BB671">
        <v>1.91</v>
      </c>
      <c r="BC671">
        <v>1.6099999999999999</v>
      </c>
      <c r="BD671">
        <v>1.7599999999999998</v>
      </c>
      <c r="BE671">
        <v>0.7</v>
      </c>
      <c r="BF671">
        <v>0.39999999999999997</v>
      </c>
      <c r="BG671">
        <v>0.54999999999999993</v>
      </c>
      <c r="BH671">
        <v>508</v>
      </c>
      <c r="BI671">
        <v>492</v>
      </c>
      <c r="BJ671">
        <v>500</v>
      </c>
      <c r="BK671">
        <v>42.74</v>
      </c>
      <c r="BL671">
        <v>41.38</v>
      </c>
      <c r="BM671">
        <v>42.06</v>
      </c>
      <c r="BN671">
        <v>1.05</v>
      </c>
      <c r="BO671">
        <v>0.81</v>
      </c>
      <c r="BP671">
        <v>0.93</v>
      </c>
      <c r="BQ671">
        <v>9.31</v>
      </c>
      <c r="BR671">
        <v>7.3100000000000005</v>
      </c>
      <c r="BS671">
        <v>8.31</v>
      </c>
      <c r="BT671">
        <v>10.89</v>
      </c>
      <c r="BU671">
        <v>10.49</v>
      </c>
      <c r="BV671">
        <v>10.690000000000001</v>
      </c>
      <c r="BW671">
        <v>2.76</v>
      </c>
      <c r="BX671">
        <v>2.4799999999999995</v>
      </c>
      <c r="BY671">
        <v>2.6199999999999997</v>
      </c>
      <c r="BZ671">
        <v>10.4</v>
      </c>
      <c r="CA671">
        <v>7.4</v>
      </c>
      <c r="CB671">
        <v>8.9</v>
      </c>
      <c r="CC671">
        <v>7.45</v>
      </c>
      <c r="CD671">
        <v>7.21</v>
      </c>
      <c r="CE671">
        <v>7.33</v>
      </c>
      <c r="CF671">
        <v>2.17</v>
      </c>
      <c r="CG671">
        <v>1.67</v>
      </c>
      <c r="CH671">
        <v>1.92</v>
      </c>
      <c r="CI671">
        <v>0.48</v>
      </c>
      <c r="CJ671">
        <v>0.44</v>
      </c>
      <c r="CK671">
        <v>0.45999999999999996</v>
      </c>
      <c r="CL671">
        <v>43.17</v>
      </c>
      <c r="CM671">
        <v>40.770000000000003</v>
      </c>
      <c r="CN671">
        <v>41.97</v>
      </c>
      <c r="CO671">
        <v>6.15</v>
      </c>
      <c r="CP671">
        <v>1.1500000000000004</v>
      </c>
      <c r="CQ671">
        <v>3.6500000000000004</v>
      </c>
    </row>
    <row r="672" spans="1:95">
      <c r="A672" s="228">
        <v>45958</v>
      </c>
      <c r="B672" t="s">
        <v>97</v>
      </c>
      <c r="C672">
        <v>153.57</v>
      </c>
      <c r="D672">
        <v>151.57</v>
      </c>
      <c r="E672">
        <v>152.57</v>
      </c>
      <c r="F672">
        <v>179.32</v>
      </c>
      <c r="G672">
        <v>176.32</v>
      </c>
      <c r="H672">
        <v>177.82</v>
      </c>
      <c r="I672">
        <v>110.67</v>
      </c>
      <c r="J672">
        <v>107.47</v>
      </c>
      <c r="K672">
        <v>109.07</v>
      </c>
      <c r="L672">
        <v>207.71</v>
      </c>
      <c r="M672">
        <v>199.71</v>
      </c>
      <c r="N672">
        <v>203.71</v>
      </c>
      <c r="O672">
        <v>192.96</v>
      </c>
      <c r="P672">
        <v>191.16</v>
      </c>
      <c r="Q672">
        <v>192.06</v>
      </c>
      <c r="R672">
        <v>24.11</v>
      </c>
      <c r="S672">
        <v>23.509999999999998</v>
      </c>
      <c r="T672">
        <v>23.81</v>
      </c>
      <c r="U672">
        <v>15.58</v>
      </c>
      <c r="V672">
        <v>14.98</v>
      </c>
      <c r="W672">
        <v>15.280000000000001</v>
      </c>
      <c r="X672">
        <v>16.68</v>
      </c>
      <c r="Y672">
        <v>15.879999999999999</v>
      </c>
      <c r="Z672">
        <v>16.28</v>
      </c>
      <c r="AA672">
        <v>102.07</v>
      </c>
      <c r="AB672">
        <v>98.07</v>
      </c>
      <c r="AC672">
        <v>100.07</v>
      </c>
      <c r="AD672">
        <v>90.17</v>
      </c>
      <c r="AE672">
        <v>86.17</v>
      </c>
      <c r="AF672">
        <v>88.17</v>
      </c>
      <c r="AG672">
        <v>20.07</v>
      </c>
      <c r="AH672">
        <v>19.21</v>
      </c>
      <c r="AI672">
        <v>19.64</v>
      </c>
      <c r="AM672">
        <v>118.57</v>
      </c>
      <c r="AN672">
        <v>116.91</v>
      </c>
      <c r="AO672">
        <v>117.74</v>
      </c>
      <c r="AP672">
        <v>41.56</v>
      </c>
      <c r="AQ672">
        <v>39.96</v>
      </c>
      <c r="AR672">
        <v>40.760000000000005</v>
      </c>
      <c r="AS672">
        <v>42.3</v>
      </c>
      <c r="AT672">
        <v>40.94</v>
      </c>
      <c r="AU672">
        <v>41.62</v>
      </c>
      <c r="AV672">
        <v>21.77</v>
      </c>
      <c r="AW672">
        <v>21.169999999999998</v>
      </c>
      <c r="AX672">
        <v>21.47</v>
      </c>
      <c r="AY672">
        <v>4.76</v>
      </c>
      <c r="AZ672">
        <v>4.5999999999999996</v>
      </c>
      <c r="BA672">
        <v>4.68</v>
      </c>
      <c r="BB672">
        <v>1.89</v>
      </c>
      <c r="BC672">
        <v>1.5899999999999999</v>
      </c>
      <c r="BD672">
        <v>1.7399999999999998</v>
      </c>
      <c r="BE672">
        <v>0.7</v>
      </c>
      <c r="BF672">
        <v>0.39999999999999997</v>
      </c>
      <c r="BG672">
        <v>0.54999999999999993</v>
      </c>
      <c r="BH672">
        <v>506.76</v>
      </c>
      <c r="BI672">
        <v>490.76</v>
      </c>
      <c r="BJ672">
        <v>498.76</v>
      </c>
      <c r="BK672">
        <v>42.62</v>
      </c>
      <c r="BL672">
        <v>41.26</v>
      </c>
      <c r="BM672">
        <v>41.94</v>
      </c>
      <c r="BN672">
        <v>1.04</v>
      </c>
      <c r="BO672">
        <v>0.8</v>
      </c>
      <c r="BP672">
        <v>0.92</v>
      </c>
      <c r="BQ672">
        <v>9.3000000000000007</v>
      </c>
      <c r="BR672">
        <v>7.3000000000000007</v>
      </c>
      <c r="BS672">
        <v>8.3000000000000007</v>
      </c>
      <c r="BT672">
        <v>10.87</v>
      </c>
      <c r="BU672">
        <v>10.469999999999999</v>
      </c>
      <c r="BV672">
        <v>10.669999999999998</v>
      </c>
      <c r="BW672">
        <v>2.74</v>
      </c>
      <c r="BX672">
        <v>2.46</v>
      </c>
      <c r="BY672">
        <v>2.6</v>
      </c>
      <c r="BZ672">
        <v>10.35</v>
      </c>
      <c r="CA672">
        <v>7.35</v>
      </c>
      <c r="CB672">
        <v>8.85</v>
      </c>
      <c r="CC672">
        <v>7.43</v>
      </c>
      <c r="CD672">
        <v>7.1899999999999995</v>
      </c>
      <c r="CE672">
        <v>7.31</v>
      </c>
      <c r="CF672">
        <v>2.1800000000000002</v>
      </c>
      <c r="CG672">
        <v>1.6800000000000002</v>
      </c>
      <c r="CH672">
        <v>1.9300000000000002</v>
      </c>
      <c r="CI672">
        <v>0.48</v>
      </c>
      <c r="CJ672">
        <v>0.44</v>
      </c>
      <c r="CK672">
        <v>0.45999999999999996</v>
      </c>
      <c r="CL672">
        <v>43.21</v>
      </c>
      <c r="CM672">
        <v>40.81</v>
      </c>
      <c r="CN672">
        <v>42.010000000000005</v>
      </c>
      <c r="CO672">
        <v>6.14</v>
      </c>
      <c r="CP672">
        <v>1.1399999999999997</v>
      </c>
      <c r="CQ672">
        <v>3.6399999999999997</v>
      </c>
    </row>
    <row r="673" spans="1:95">
      <c r="A673" s="228">
        <v>45959</v>
      </c>
      <c r="B673" t="s">
        <v>98</v>
      </c>
      <c r="C673">
        <v>152.6</v>
      </c>
      <c r="D673">
        <v>150.6</v>
      </c>
      <c r="E673">
        <v>151.6</v>
      </c>
      <c r="F673">
        <v>178.14</v>
      </c>
      <c r="G673">
        <v>175.14</v>
      </c>
      <c r="H673">
        <v>176.64</v>
      </c>
      <c r="I673">
        <v>110.35</v>
      </c>
      <c r="J673">
        <v>107.14999999999999</v>
      </c>
      <c r="K673">
        <v>108.75</v>
      </c>
      <c r="L673">
        <v>205.14</v>
      </c>
      <c r="M673">
        <v>197.14</v>
      </c>
      <c r="N673">
        <v>201.14</v>
      </c>
      <c r="O673">
        <v>192.07</v>
      </c>
      <c r="P673">
        <v>190.26999999999998</v>
      </c>
      <c r="Q673">
        <v>191.17</v>
      </c>
      <c r="R673">
        <v>23.95</v>
      </c>
      <c r="S673">
        <v>23.349999999999998</v>
      </c>
      <c r="T673">
        <v>23.65</v>
      </c>
      <c r="U673">
        <v>15.49</v>
      </c>
      <c r="V673">
        <v>14.89</v>
      </c>
      <c r="W673">
        <v>15.190000000000001</v>
      </c>
      <c r="X673">
        <v>16.57</v>
      </c>
      <c r="Y673">
        <v>15.77</v>
      </c>
      <c r="Z673">
        <v>16.170000000000002</v>
      </c>
      <c r="AA673">
        <v>101.97</v>
      </c>
      <c r="AB673">
        <v>97.97</v>
      </c>
      <c r="AC673">
        <v>99.97</v>
      </c>
      <c r="AD673">
        <v>89.61</v>
      </c>
      <c r="AE673">
        <v>85.61</v>
      </c>
      <c r="AF673">
        <v>87.61</v>
      </c>
      <c r="AG673">
        <v>19.940000000000001</v>
      </c>
      <c r="AH673">
        <v>19.080000000000002</v>
      </c>
      <c r="AI673">
        <v>19.510000000000002</v>
      </c>
      <c r="AM673">
        <v>117.97</v>
      </c>
      <c r="AN673">
        <v>116.31</v>
      </c>
      <c r="AO673">
        <v>117.14</v>
      </c>
      <c r="AP673">
        <v>41.3</v>
      </c>
      <c r="AQ673">
        <v>39.699999999999996</v>
      </c>
      <c r="AR673">
        <v>40.5</v>
      </c>
      <c r="AS673">
        <v>42.04</v>
      </c>
      <c r="AT673">
        <v>40.68</v>
      </c>
      <c r="AU673">
        <v>41.36</v>
      </c>
      <c r="AV673">
        <v>21.67</v>
      </c>
      <c r="AW673">
        <v>21.07</v>
      </c>
      <c r="AX673">
        <v>21.37</v>
      </c>
      <c r="AY673">
        <v>4.76</v>
      </c>
      <c r="AZ673">
        <v>4.5999999999999996</v>
      </c>
      <c r="BA673">
        <v>4.68</v>
      </c>
      <c r="BB673">
        <v>1.88</v>
      </c>
      <c r="BC673">
        <v>1.5799999999999998</v>
      </c>
      <c r="BD673">
        <v>1.73</v>
      </c>
      <c r="BE673">
        <v>0.69</v>
      </c>
      <c r="BF673">
        <v>0.38999999999999996</v>
      </c>
      <c r="BG673">
        <v>0.53999999999999992</v>
      </c>
      <c r="BH673">
        <v>503.42</v>
      </c>
      <c r="BI673">
        <v>487.42</v>
      </c>
      <c r="BJ673">
        <v>495.42</v>
      </c>
      <c r="BK673">
        <v>42.35</v>
      </c>
      <c r="BL673">
        <v>40.99</v>
      </c>
      <c r="BM673">
        <v>41.67</v>
      </c>
      <c r="BN673">
        <v>1.04</v>
      </c>
      <c r="BO673">
        <v>0.8</v>
      </c>
      <c r="BP673">
        <v>0.92</v>
      </c>
      <c r="BQ673">
        <v>9.2200000000000006</v>
      </c>
      <c r="BR673">
        <v>7.2200000000000006</v>
      </c>
      <c r="BS673">
        <v>8.2200000000000006</v>
      </c>
      <c r="BT673">
        <v>10.79</v>
      </c>
      <c r="BU673">
        <v>10.389999999999999</v>
      </c>
      <c r="BV673">
        <v>10.59</v>
      </c>
      <c r="BW673">
        <v>2.71</v>
      </c>
      <c r="BX673">
        <v>2.4299999999999997</v>
      </c>
      <c r="BY673">
        <v>2.57</v>
      </c>
      <c r="BZ673">
        <v>10.35</v>
      </c>
      <c r="CA673">
        <v>7.35</v>
      </c>
      <c r="CB673">
        <v>8.85</v>
      </c>
      <c r="CC673">
        <v>7.39</v>
      </c>
      <c r="CD673">
        <v>7.1499999999999995</v>
      </c>
      <c r="CE673">
        <v>7.27</v>
      </c>
      <c r="CF673">
        <v>2.17</v>
      </c>
      <c r="CG673">
        <v>1.67</v>
      </c>
      <c r="CH673">
        <v>1.92</v>
      </c>
      <c r="CI673">
        <v>0.48</v>
      </c>
      <c r="CJ673">
        <v>0.44</v>
      </c>
      <c r="CK673">
        <v>0.45999999999999996</v>
      </c>
      <c r="CL673">
        <v>42.93</v>
      </c>
      <c r="CM673">
        <v>40.53</v>
      </c>
      <c r="CN673">
        <v>41.730000000000004</v>
      </c>
      <c r="CO673">
        <v>6.12</v>
      </c>
      <c r="CP673">
        <v>1.1200000000000001</v>
      </c>
      <c r="CQ673">
        <v>3.62</v>
      </c>
    </row>
    <row r="674" spans="1:95">
      <c r="A674" s="228">
        <v>45960</v>
      </c>
      <c r="B674" t="s">
        <v>99</v>
      </c>
      <c r="C674">
        <v>153.80000000000001</v>
      </c>
      <c r="D674">
        <v>151.80000000000001</v>
      </c>
      <c r="E674">
        <v>152.80000000000001</v>
      </c>
      <c r="F674">
        <v>178.9</v>
      </c>
      <c r="G674">
        <v>175.9</v>
      </c>
      <c r="H674">
        <v>177.4</v>
      </c>
      <c r="I674">
        <v>111.23</v>
      </c>
      <c r="J674">
        <v>108.03</v>
      </c>
      <c r="K674">
        <v>109.63</v>
      </c>
      <c r="L674">
        <v>205.79</v>
      </c>
      <c r="M674">
        <v>197.79</v>
      </c>
      <c r="N674">
        <v>201.79</v>
      </c>
      <c r="O674">
        <v>191.88</v>
      </c>
      <c r="P674">
        <v>190.07999999999998</v>
      </c>
      <c r="Q674">
        <v>190.98</v>
      </c>
      <c r="R674">
        <v>24.05</v>
      </c>
      <c r="S674">
        <v>23.45</v>
      </c>
      <c r="T674">
        <v>23.75</v>
      </c>
      <c r="U674">
        <v>15.59</v>
      </c>
      <c r="V674">
        <v>14.99</v>
      </c>
      <c r="W674">
        <v>15.29</v>
      </c>
      <c r="X674">
        <v>16.649999999999999</v>
      </c>
      <c r="Y674">
        <v>15.849999999999998</v>
      </c>
      <c r="Z674">
        <v>16.25</v>
      </c>
      <c r="AA674">
        <v>102.65</v>
      </c>
      <c r="AB674">
        <v>98.65</v>
      </c>
      <c r="AC674">
        <v>100.65</v>
      </c>
      <c r="AD674">
        <v>90.26</v>
      </c>
      <c r="AE674">
        <v>86.26</v>
      </c>
      <c r="AF674">
        <v>88.26</v>
      </c>
      <c r="AG674">
        <v>20.100000000000001</v>
      </c>
      <c r="AH674">
        <v>19.240000000000002</v>
      </c>
      <c r="AI674">
        <v>19.670000000000002</v>
      </c>
      <c r="AM674">
        <v>118.62</v>
      </c>
      <c r="AN674">
        <v>116.96000000000001</v>
      </c>
      <c r="AO674">
        <v>117.79</v>
      </c>
      <c r="AP674">
        <v>41.62</v>
      </c>
      <c r="AQ674">
        <v>40.019999999999996</v>
      </c>
      <c r="AR674">
        <v>40.819999999999993</v>
      </c>
      <c r="AS674">
        <v>42.37</v>
      </c>
      <c r="AT674">
        <v>41.01</v>
      </c>
      <c r="AU674">
        <v>41.69</v>
      </c>
      <c r="AV674">
        <v>21.82</v>
      </c>
      <c r="AW674">
        <v>21.22</v>
      </c>
      <c r="AX674">
        <v>21.52</v>
      </c>
      <c r="AY674">
        <v>4.8</v>
      </c>
      <c r="AZ674">
        <v>4.6399999999999997</v>
      </c>
      <c r="BA674">
        <v>4.72</v>
      </c>
      <c r="BB674">
        <v>1.9</v>
      </c>
      <c r="BC674">
        <v>1.5999999999999999</v>
      </c>
      <c r="BD674">
        <v>1.75</v>
      </c>
      <c r="BE674">
        <v>0.7</v>
      </c>
      <c r="BF674">
        <v>0.39999999999999997</v>
      </c>
      <c r="BG674">
        <v>0.54999999999999993</v>
      </c>
      <c r="BH674">
        <v>507.02</v>
      </c>
      <c r="BI674">
        <v>491.02</v>
      </c>
      <c r="BJ674">
        <v>499.02</v>
      </c>
      <c r="BK674">
        <v>42.69</v>
      </c>
      <c r="BL674">
        <v>41.33</v>
      </c>
      <c r="BM674">
        <v>42.01</v>
      </c>
      <c r="BN674">
        <v>1.04</v>
      </c>
      <c r="BO674">
        <v>0.8</v>
      </c>
      <c r="BP674">
        <v>0.92</v>
      </c>
      <c r="BQ674">
        <v>9.2799999999999994</v>
      </c>
      <c r="BR674">
        <v>7.2799999999999994</v>
      </c>
      <c r="BS674">
        <v>8.2799999999999994</v>
      </c>
      <c r="BT674">
        <v>10.95</v>
      </c>
      <c r="BU674">
        <v>10.549999999999999</v>
      </c>
      <c r="BV674">
        <v>10.75</v>
      </c>
      <c r="BW674">
        <v>2.76</v>
      </c>
      <c r="BX674">
        <v>2.4799999999999995</v>
      </c>
      <c r="BY674">
        <v>2.6199999999999997</v>
      </c>
      <c r="BZ674">
        <v>10.4</v>
      </c>
      <c r="CA674">
        <v>7.4</v>
      </c>
      <c r="CB674">
        <v>8.9</v>
      </c>
      <c r="CC674">
        <v>7.4</v>
      </c>
      <c r="CD674">
        <v>7.16</v>
      </c>
      <c r="CE674">
        <v>7.28</v>
      </c>
      <c r="CF674">
        <v>2.16</v>
      </c>
      <c r="CG674">
        <v>1.6600000000000001</v>
      </c>
      <c r="CH674">
        <v>1.9100000000000001</v>
      </c>
      <c r="CI674">
        <v>0.48</v>
      </c>
      <c r="CJ674">
        <v>0.44</v>
      </c>
      <c r="CK674">
        <v>0.45999999999999996</v>
      </c>
      <c r="CL674">
        <v>43.04</v>
      </c>
      <c r="CM674">
        <v>40.64</v>
      </c>
      <c r="CN674">
        <v>41.84</v>
      </c>
      <c r="CO674">
        <v>6.15</v>
      </c>
      <c r="CP674">
        <v>1.1500000000000004</v>
      </c>
      <c r="CQ674">
        <v>3.6500000000000004</v>
      </c>
    </row>
    <row r="675" spans="1:95">
      <c r="A675" s="228">
        <v>45961</v>
      </c>
      <c r="B675" t="s">
        <v>100</v>
      </c>
      <c r="C675">
        <v>155.1</v>
      </c>
      <c r="D675">
        <v>153.1</v>
      </c>
      <c r="E675">
        <v>154.1</v>
      </c>
      <c r="F675">
        <v>179.81</v>
      </c>
      <c r="G675">
        <v>176.81</v>
      </c>
      <c r="H675">
        <v>178.31</v>
      </c>
      <c r="I675">
        <v>111.79</v>
      </c>
      <c r="J675">
        <v>108.59</v>
      </c>
      <c r="K675">
        <v>110.19</v>
      </c>
      <c r="L675">
        <v>206.78</v>
      </c>
      <c r="M675">
        <v>198.78</v>
      </c>
      <c r="N675">
        <v>202.78</v>
      </c>
      <c r="O675">
        <v>193.14</v>
      </c>
      <c r="P675">
        <v>191.33999999999997</v>
      </c>
      <c r="Q675">
        <v>192.23999999999998</v>
      </c>
      <c r="R675">
        <v>24.18</v>
      </c>
      <c r="S675">
        <v>23.58</v>
      </c>
      <c r="T675">
        <v>23.88</v>
      </c>
      <c r="U675">
        <v>15.62</v>
      </c>
      <c r="V675">
        <v>15.02</v>
      </c>
      <c r="W675">
        <v>15.32</v>
      </c>
      <c r="X675">
        <v>16.72</v>
      </c>
      <c r="Y675">
        <v>15.919999999999998</v>
      </c>
      <c r="Z675">
        <v>16.32</v>
      </c>
      <c r="AA675">
        <v>103.07</v>
      </c>
      <c r="AB675">
        <v>99.07</v>
      </c>
      <c r="AC675">
        <v>101.07</v>
      </c>
      <c r="AD675">
        <v>90.47</v>
      </c>
      <c r="AE675">
        <v>86.47</v>
      </c>
      <c r="AF675">
        <v>88.47</v>
      </c>
      <c r="AG675">
        <v>20.260000000000002</v>
      </c>
      <c r="AH675">
        <v>19.400000000000002</v>
      </c>
      <c r="AI675">
        <v>19.830000000000002</v>
      </c>
      <c r="AM675">
        <v>119.4</v>
      </c>
      <c r="AN675">
        <v>117.74000000000001</v>
      </c>
      <c r="AO675">
        <v>118.57000000000001</v>
      </c>
      <c r="AP675">
        <v>41.97</v>
      </c>
      <c r="AQ675">
        <v>40.369999999999997</v>
      </c>
      <c r="AR675">
        <v>41.17</v>
      </c>
      <c r="AS675">
        <v>42.71</v>
      </c>
      <c r="AT675">
        <v>41.35</v>
      </c>
      <c r="AU675">
        <v>42.03</v>
      </c>
      <c r="AV675">
        <v>21.97</v>
      </c>
      <c r="AW675">
        <v>21.369999999999997</v>
      </c>
      <c r="AX675">
        <v>21.669999999999998</v>
      </c>
      <c r="AY675">
        <v>4.8499999999999996</v>
      </c>
      <c r="AZ675">
        <v>4.6899999999999995</v>
      </c>
      <c r="BA675">
        <v>4.7699999999999996</v>
      </c>
      <c r="BB675">
        <v>1.9</v>
      </c>
      <c r="BC675">
        <v>1.5999999999999999</v>
      </c>
      <c r="BD675">
        <v>1.75</v>
      </c>
      <c r="BE675">
        <v>0.7</v>
      </c>
      <c r="BF675">
        <v>0.39999999999999997</v>
      </c>
      <c r="BG675">
        <v>0.54999999999999993</v>
      </c>
      <c r="BH675">
        <v>511.59</v>
      </c>
      <c r="BI675">
        <v>495.59</v>
      </c>
      <c r="BJ675">
        <v>503.59</v>
      </c>
      <c r="BK675">
        <v>43.04</v>
      </c>
      <c r="BL675">
        <v>41.68</v>
      </c>
      <c r="BM675">
        <v>42.36</v>
      </c>
      <c r="BN675">
        <v>1.05</v>
      </c>
      <c r="BO675">
        <v>0.81</v>
      </c>
      <c r="BP675">
        <v>0.93</v>
      </c>
      <c r="BQ675">
        <v>9.32</v>
      </c>
      <c r="BR675">
        <v>7.32</v>
      </c>
      <c r="BS675">
        <v>8.32</v>
      </c>
      <c r="BT675">
        <v>11.01</v>
      </c>
      <c r="BU675">
        <v>10.61</v>
      </c>
      <c r="BV675">
        <v>10.809999999999999</v>
      </c>
      <c r="BW675">
        <v>2.77</v>
      </c>
      <c r="BX675">
        <v>2.4900000000000002</v>
      </c>
      <c r="BY675">
        <v>2.63</v>
      </c>
      <c r="BZ675">
        <v>10.42</v>
      </c>
      <c r="CA675">
        <v>7.42</v>
      </c>
      <c r="CB675">
        <v>8.92</v>
      </c>
      <c r="CC675">
        <v>7.45</v>
      </c>
      <c r="CD675">
        <v>7.21</v>
      </c>
      <c r="CE675">
        <v>7.33</v>
      </c>
      <c r="CF675">
        <v>2.19</v>
      </c>
      <c r="CG675">
        <v>1.69</v>
      </c>
      <c r="CH675">
        <v>1.94</v>
      </c>
      <c r="CI675">
        <v>0.48</v>
      </c>
      <c r="CJ675">
        <v>0.44</v>
      </c>
      <c r="CK675">
        <v>0.45999999999999996</v>
      </c>
      <c r="CL675">
        <v>43.26</v>
      </c>
      <c r="CM675">
        <v>40.86</v>
      </c>
      <c r="CN675">
        <v>42.06</v>
      </c>
      <c r="CO675">
        <v>6.18</v>
      </c>
      <c r="CP675">
        <v>1.1799999999999997</v>
      </c>
      <c r="CQ675">
        <v>3.6799999999999997</v>
      </c>
    </row>
    <row r="676" spans="1:95">
      <c r="A676" s="228">
        <v>45962</v>
      </c>
      <c r="B676" t="s">
        <v>307</v>
      </c>
    </row>
    <row r="677" spans="1:95">
      <c r="A677" s="228">
        <v>45963</v>
      </c>
      <c r="B677" t="s">
        <v>308</v>
      </c>
    </row>
    <row r="678" spans="1:95">
      <c r="A678" s="228">
        <v>45964</v>
      </c>
      <c r="B678" t="s">
        <v>96</v>
      </c>
    </row>
    <row r="679" spans="1:95">
      <c r="A679" s="228">
        <v>45965</v>
      </c>
      <c r="B679" t="s">
        <v>97</v>
      </c>
      <c r="C679">
        <v>155.38</v>
      </c>
      <c r="D679">
        <v>153.38</v>
      </c>
      <c r="E679">
        <v>154.38</v>
      </c>
      <c r="F679">
        <v>179.11</v>
      </c>
      <c r="G679">
        <v>176.11</v>
      </c>
      <c r="H679">
        <v>177.61</v>
      </c>
      <c r="I679">
        <v>111.37</v>
      </c>
      <c r="J679">
        <v>108.17</v>
      </c>
      <c r="K679">
        <v>109.77000000000001</v>
      </c>
      <c r="L679">
        <v>206.64</v>
      </c>
      <c r="M679">
        <v>198.64</v>
      </c>
      <c r="N679">
        <v>202.64</v>
      </c>
      <c r="O679">
        <v>191.66</v>
      </c>
      <c r="P679">
        <v>189.85999999999999</v>
      </c>
      <c r="Q679">
        <v>190.76</v>
      </c>
      <c r="R679">
        <v>24.09</v>
      </c>
      <c r="S679">
        <v>23.49</v>
      </c>
      <c r="T679">
        <v>23.79</v>
      </c>
      <c r="U679">
        <v>15.55</v>
      </c>
      <c r="V679">
        <v>14.950000000000001</v>
      </c>
      <c r="W679">
        <v>15.25</v>
      </c>
      <c r="X679">
        <v>16.66</v>
      </c>
      <c r="Y679">
        <v>15.86</v>
      </c>
      <c r="Z679">
        <v>16.259999999999998</v>
      </c>
      <c r="AA679">
        <v>102.93</v>
      </c>
      <c r="AB679">
        <v>98.93</v>
      </c>
      <c r="AC679">
        <v>100.93</v>
      </c>
      <c r="AD679">
        <v>89.9</v>
      </c>
      <c r="AE679">
        <v>85.9</v>
      </c>
      <c r="AF679">
        <v>87.9</v>
      </c>
      <c r="AG679">
        <v>20.29</v>
      </c>
      <c r="AH679">
        <v>19.43</v>
      </c>
      <c r="AI679">
        <v>19.86</v>
      </c>
      <c r="AM679">
        <v>119.03</v>
      </c>
      <c r="AN679">
        <v>117.37</v>
      </c>
      <c r="AO679">
        <v>118.2</v>
      </c>
      <c r="AP679">
        <v>42.04</v>
      </c>
      <c r="AQ679">
        <v>40.44</v>
      </c>
      <c r="AR679">
        <v>41.239999999999995</v>
      </c>
      <c r="AS679">
        <v>42.8</v>
      </c>
      <c r="AT679">
        <v>41.44</v>
      </c>
      <c r="AU679">
        <v>42.12</v>
      </c>
      <c r="AV679">
        <v>21.96</v>
      </c>
      <c r="AW679">
        <v>21.36</v>
      </c>
      <c r="AX679">
        <v>21.66</v>
      </c>
      <c r="AY679">
        <v>4.83</v>
      </c>
      <c r="AZ679">
        <v>4.67</v>
      </c>
      <c r="BA679">
        <v>4.75</v>
      </c>
      <c r="BB679">
        <v>1.9</v>
      </c>
      <c r="BC679">
        <v>1.5999999999999999</v>
      </c>
      <c r="BD679">
        <v>1.75</v>
      </c>
      <c r="BE679">
        <v>0.71</v>
      </c>
      <c r="BF679">
        <v>0.41</v>
      </c>
      <c r="BG679">
        <v>0.55999999999999994</v>
      </c>
      <c r="BH679">
        <v>511.19</v>
      </c>
      <c r="BI679">
        <v>495.19</v>
      </c>
      <c r="BJ679">
        <v>503.19</v>
      </c>
      <c r="BK679">
        <v>43.12</v>
      </c>
      <c r="BL679">
        <v>41.76</v>
      </c>
      <c r="BM679">
        <v>42.44</v>
      </c>
      <c r="BN679">
        <v>1.05</v>
      </c>
      <c r="BO679">
        <v>0.81</v>
      </c>
      <c r="BP679">
        <v>0.93</v>
      </c>
      <c r="BQ679">
        <v>9.35</v>
      </c>
      <c r="BR679">
        <v>7.35</v>
      </c>
      <c r="BS679">
        <v>8.35</v>
      </c>
      <c r="BT679">
        <v>10.97</v>
      </c>
      <c r="BU679">
        <v>10.57</v>
      </c>
      <c r="BV679">
        <v>10.77</v>
      </c>
      <c r="BW679">
        <v>2.78</v>
      </c>
      <c r="BX679">
        <v>2.5</v>
      </c>
      <c r="BY679">
        <v>2.6399999999999997</v>
      </c>
      <c r="BZ679">
        <v>10.41</v>
      </c>
      <c r="CA679">
        <v>7.41</v>
      </c>
      <c r="CB679">
        <v>8.91</v>
      </c>
      <c r="CC679">
        <v>7.42</v>
      </c>
      <c r="CD679">
        <v>7.18</v>
      </c>
      <c r="CE679">
        <v>7.3</v>
      </c>
      <c r="CF679">
        <v>2.17</v>
      </c>
      <c r="CG679">
        <v>1.67</v>
      </c>
      <c r="CH679">
        <v>1.92</v>
      </c>
      <c r="CI679">
        <v>0.48</v>
      </c>
      <c r="CJ679">
        <v>0.44</v>
      </c>
      <c r="CK679">
        <v>0.45999999999999996</v>
      </c>
      <c r="CL679">
        <v>42.97</v>
      </c>
      <c r="CM679">
        <v>40.57</v>
      </c>
      <c r="CN679">
        <v>41.769999999999996</v>
      </c>
      <c r="CO679">
        <v>6.17</v>
      </c>
      <c r="CP679">
        <v>1.17</v>
      </c>
      <c r="CQ679">
        <v>3.67</v>
      </c>
    </row>
    <row r="680" spans="1:95">
      <c r="A680" s="228">
        <v>45966</v>
      </c>
      <c r="B680" t="s">
        <v>98</v>
      </c>
      <c r="C680">
        <v>154.49</v>
      </c>
      <c r="D680">
        <v>152.49</v>
      </c>
      <c r="E680">
        <v>153.49</v>
      </c>
      <c r="F680">
        <v>177.69</v>
      </c>
      <c r="G680">
        <v>174.69</v>
      </c>
      <c r="H680">
        <v>176.19</v>
      </c>
      <c r="I680">
        <v>110.43</v>
      </c>
      <c r="J680">
        <v>107.23</v>
      </c>
      <c r="K680">
        <v>108.83000000000001</v>
      </c>
      <c r="L680">
        <v>203.81</v>
      </c>
      <c r="M680">
        <v>195.81</v>
      </c>
      <c r="N680">
        <v>199.81</v>
      </c>
      <c r="O680">
        <v>190.37</v>
      </c>
      <c r="P680">
        <v>188.57</v>
      </c>
      <c r="Q680">
        <v>189.47</v>
      </c>
      <c r="R680">
        <v>23.9</v>
      </c>
      <c r="S680">
        <v>23.299999999999997</v>
      </c>
      <c r="T680">
        <v>23.599999999999998</v>
      </c>
      <c r="U680">
        <v>15.3</v>
      </c>
      <c r="V680">
        <v>14.700000000000001</v>
      </c>
      <c r="W680">
        <v>15</v>
      </c>
      <c r="X680">
        <v>16.41</v>
      </c>
      <c r="Y680">
        <v>15.61</v>
      </c>
      <c r="Z680">
        <v>16.009999999999998</v>
      </c>
      <c r="AA680">
        <v>101.4</v>
      </c>
      <c r="AB680">
        <v>97.4</v>
      </c>
      <c r="AC680">
        <v>99.4</v>
      </c>
      <c r="AD680">
        <v>88.58</v>
      </c>
      <c r="AE680">
        <v>84.58</v>
      </c>
      <c r="AF680">
        <v>86.58</v>
      </c>
      <c r="AG680">
        <v>20.170000000000002</v>
      </c>
      <c r="AH680">
        <v>19.310000000000002</v>
      </c>
      <c r="AI680">
        <v>19.740000000000002</v>
      </c>
      <c r="AM680">
        <v>118.17</v>
      </c>
      <c r="AN680">
        <v>116.51</v>
      </c>
      <c r="AO680">
        <v>117.34</v>
      </c>
      <c r="AP680">
        <v>41.81</v>
      </c>
      <c r="AQ680">
        <v>40.21</v>
      </c>
      <c r="AR680">
        <v>41.010000000000005</v>
      </c>
      <c r="AS680">
        <v>42.39</v>
      </c>
      <c r="AT680">
        <v>41.03</v>
      </c>
      <c r="AU680">
        <v>41.71</v>
      </c>
      <c r="AV680">
        <v>21.82</v>
      </c>
      <c r="AW680">
        <v>21.22</v>
      </c>
      <c r="AX680">
        <v>21.52</v>
      </c>
      <c r="AY680">
        <v>4.78</v>
      </c>
      <c r="AZ680">
        <v>4.62</v>
      </c>
      <c r="BA680">
        <v>4.7</v>
      </c>
      <c r="BB680">
        <v>1.89</v>
      </c>
      <c r="BC680">
        <v>1.5899999999999999</v>
      </c>
      <c r="BD680">
        <v>1.7399999999999998</v>
      </c>
      <c r="BE680">
        <v>0.7</v>
      </c>
      <c r="BF680">
        <v>0.39999999999999997</v>
      </c>
      <c r="BG680">
        <v>0.54999999999999993</v>
      </c>
      <c r="BH680">
        <v>508.62</v>
      </c>
      <c r="BI680">
        <v>492.62</v>
      </c>
      <c r="BJ680">
        <v>500.62</v>
      </c>
      <c r="BK680">
        <v>42.88</v>
      </c>
      <c r="BL680">
        <v>41.52</v>
      </c>
      <c r="BM680">
        <v>42.2</v>
      </c>
      <c r="BN680">
        <v>1.04</v>
      </c>
      <c r="BO680">
        <v>0.8</v>
      </c>
      <c r="BP680">
        <v>0.92</v>
      </c>
      <c r="BQ680">
        <v>9.1999999999999993</v>
      </c>
      <c r="BR680">
        <v>7.1999999999999993</v>
      </c>
      <c r="BS680">
        <v>8.1999999999999993</v>
      </c>
      <c r="BT680">
        <v>10.81</v>
      </c>
      <c r="BU680">
        <v>10.41</v>
      </c>
      <c r="BV680">
        <v>10.61</v>
      </c>
      <c r="BW680">
        <v>2.78</v>
      </c>
      <c r="BX680">
        <v>2.5</v>
      </c>
      <c r="BY680">
        <v>2.6399999999999997</v>
      </c>
      <c r="BZ680">
        <v>10.25</v>
      </c>
      <c r="CA680">
        <v>7.25</v>
      </c>
      <c r="CB680">
        <v>8.75</v>
      </c>
      <c r="CC680">
        <v>7.35</v>
      </c>
      <c r="CD680">
        <v>7.1099999999999994</v>
      </c>
      <c r="CE680">
        <v>7.2299999999999995</v>
      </c>
      <c r="CF680">
        <v>2.15</v>
      </c>
      <c r="CG680">
        <v>1.65</v>
      </c>
      <c r="CH680">
        <v>1.9</v>
      </c>
      <c r="CI680">
        <v>0.47</v>
      </c>
      <c r="CJ680">
        <v>0.43</v>
      </c>
      <c r="CK680">
        <v>0.44999999999999996</v>
      </c>
      <c r="CL680">
        <v>42.55</v>
      </c>
      <c r="CM680">
        <v>40.15</v>
      </c>
      <c r="CN680">
        <v>41.349999999999994</v>
      </c>
      <c r="CO680">
        <v>6.15</v>
      </c>
      <c r="CP680">
        <v>1.1500000000000004</v>
      </c>
      <c r="CQ680">
        <v>3.6500000000000004</v>
      </c>
    </row>
    <row r="681" spans="1:95">
      <c r="A681" s="228">
        <v>45967</v>
      </c>
      <c r="B681" t="s">
        <v>99</v>
      </c>
      <c r="C681">
        <v>155.04</v>
      </c>
      <c r="D681">
        <v>153.04</v>
      </c>
      <c r="E681">
        <v>154.04</v>
      </c>
      <c r="F681">
        <v>178.63</v>
      </c>
      <c r="G681">
        <v>175.63</v>
      </c>
      <c r="H681">
        <v>177.13</v>
      </c>
      <c r="I681">
        <v>110.83</v>
      </c>
      <c r="J681">
        <v>107.63</v>
      </c>
      <c r="K681">
        <v>109.22999999999999</v>
      </c>
      <c r="L681">
        <v>205.15</v>
      </c>
      <c r="M681">
        <v>197.15</v>
      </c>
      <c r="N681">
        <v>201.15</v>
      </c>
      <c r="O681">
        <v>191.21</v>
      </c>
      <c r="P681">
        <v>189.41</v>
      </c>
      <c r="Q681">
        <v>190.31</v>
      </c>
      <c r="R681">
        <v>24.03</v>
      </c>
      <c r="S681">
        <v>23.43</v>
      </c>
      <c r="T681">
        <v>23.73</v>
      </c>
      <c r="U681">
        <v>15.4</v>
      </c>
      <c r="V681">
        <v>14.8</v>
      </c>
      <c r="W681">
        <v>15.100000000000001</v>
      </c>
      <c r="X681">
        <v>16.52</v>
      </c>
      <c r="Y681">
        <v>15.719999999999999</v>
      </c>
      <c r="Z681">
        <v>16.119999999999997</v>
      </c>
      <c r="AA681">
        <v>102.17</v>
      </c>
      <c r="AB681">
        <v>98.17</v>
      </c>
      <c r="AC681">
        <v>100.17</v>
      </c>
      <c r="AD681">
        <v>89.19</v>
      </c>
      <c r="AE681">
        <v>85.19</v>
      </c>
      <c r="AF681">
        <v>87.19</v>
      </c>
      <c r="AG681">
        <v>20.239999999999998</v>
      </c>
      <c r="AH681">
        <v>19.38</v>
      </c>
      <c r="AI681">
        <v>19.809999999999999</v>
      </c>
      <c r="AM681">
        <v>118.73</v>
      </c>
      <c r="AN681">
        <v>117.07000000000001</v>
      </c>
      <c r="AO681">
        <v>117.9</v>
      </c>
      <c r="AP681">
        <v>41.95</v>
      </c>
      <c r="AQ681">
        <v>40.35</v>
      </c>
      <c r="AR681">
        <v>41.150000000000006</v>
      </c>
      <c r="AS681">
        <v>42.71</v>
      </c>
      <c r="AT681">
        <v>41.35</v>
      </c>
      <c r="AU681">
        <v>42.03</v>
      </c>
      <c r="AV681">
        <v>21.91</v>
      </c>
      <c r="AW681">
        <v>21.31</v>
      </c>
      <c r="AX681">
        <v>21.61</v>
      </c>
      <c r="AY681">
        <v>4.83</v>
      </c>
      <c r="AZ681">
        <v>4.67</v>
      </c>
      <c r="BA681">
        <v>4.75</v>
      </c>
      <c r="BB681">
        <v>1.9</v>
      </c>
      <c r="BC681">
        <v>1.5999999999999999</v>
      </c>
      <c r="BD681">
        <v>1.75</v>
      </c>
      <c r="BE681">
        <v>0.71</v>
      </c>
      <c r="BF681">
        <v>0.41</v>
      </c>
      <c r="BG681">
        <v>0.55999999999999994</v>
      </c>
      <c r="BH681">
        <v>510.25</v>
      </c>
      <c r="BI681">
        <v>494.25</v>
      </c>
      <c r="BJ681">
        <v>502.25</v>
      </c>
      <c r="BK681">
        <v>43.03</v>
      </c>
      <c r="BL681">
        <v>41.67</v>
      </c>
      <c r="BM681">
        <v>42.35</v>
      </c>
      <c r="BN681">
        <v>1.05</v>
      </c>
      <c r="BO681">
        <v>0.81</v>
      </c>
      <c r="BP681">
        <v>0.93</v>
      </c>
      <c r="BQ681">
        <v>9.2899999999999991</v>
      </c>
      <c r="BR681">
        <v>7.2899999999999991</v>
      </c>
      <c r="BS681">
        <v>8.2899999999999991</v>
      </c>
      <c r="BT681">
        <v>10.88</v>
      </c>
      <c r="BU681">
        <v>10.48</v>
      </c>
      <c r="BV681">
        <v>10.68</v>
      </c>
      <c r="BW681">
        <v>2.77</v>
      </c>
      <c r="BX681">
        <v>2.4900000000000002</v>
      </c>
      <c r="BY681">
        <v>2.63</v>
      </c>
      <c r="BZ681">
        <v>10.34</v>
      </c>
      <c r="CA681">
        <v>7.34</v>
      </c>
      <c r="CB681">
        <v>8.84</v>
      </c>
      <c r="CC681">
        <v>7.39</v>
      </c>
      <c r="CD681">
        <v>7.1499999999999995</v>
      </c>
      <c r="CE681">
        <v>7.27</v>
      </c>
      <c r="CF681">
        <v>2.15</v>
      </c>
      <c r="CG681">
        <v>1.65</v>
      </c>
      <c r="CH681">
        <v>1.9</v>
      </c>
      <c r="CI681">
        <v>0.48</v>
      </c>
      <c r="CJ681">
        <v>0.44</v>
      </c>
      <c r="CK681">
        <v>0.45999999999999996</v>
      </c>
      <c r="CL681">
        <v>42.83</v>
      </c>
      <c r="CM681">
        <v>40.43</v>
      </c>
      <c r="CN681">
        <v>41.629999999999995</v>
      </c>
      <c r="CO681">
        <v>6.16</v>
      </c>
      <c r="CP681">
        <v>1.1600000000000001</v>
      </c>
      <c r="CQ681">
        <v>3.66</v>
      </c>
    </row>
    <row r="682" spans="1:95">
      <c r="A682" s="228">
        <v>45968</v>
      </c>
      <c r="B682" t="s">
        <v>100</v>
      </c>
      <c r="C682">
        <v>154.24</v>
      </c>
      <c r="D682">
        <v>152.24</v>
      </c>
      <c r="E682">
        <v>153.24</v>
      </c>
      <c r="F682">
        <v>178.28</v>
      </c>
      <c r="G682">
        <v>175.28</v>
      </c>
      <c r="H682">
        <v>176.78</v>
      </c>
      <c r="I682">
        <v>110.13</v>
      </c>
      <c r="J682">
        <v>106.92999999999999</v>
      </c>
      <c r="K682">
        <v>108.53</v>
      </c>
      <c r="L682">
        <v>205.23</v>
      </c>
      <c r="M682">
        <v>197.23</v>
      </c>
      <c r="N682">
        <v>201.23</v>
      </c>
      <c r="O682">
        <v>190.69</v>
      </c>
      <c r="P682">
        <v>188.89</v>
      </c>
      <c r="Q682">
        <v>189.79</v>
      </c>
      <c r="R682">
        <v>23.97</v>
      </c>
      <c r="S682">
        <v>23.369999999999997</v>
      </c>
      <c r="T682">
        <v>23.669999999999998</v>
      </c>
      <c r="U682">
        <v>15.32</v>
      </c>
      <c r="V682">
        <v>14.72</v>
      </c>
      <c r="W682">
        <v>15.02</v>
      </c>
      <c r="X682">
        <v>16.399999999999999</v>
      </c>
      <c r="Y682">
        <v>15.599999999999998</v>
      </c>
      <c r="Z682">
        <v>15.999999999999998</v>
      </c>
      <c r="AA682">
        <v>101.33</v>
      </c>
      <c r="AB682">
        <v>97.33</v>
      </c>
      <c r="AC682">
        <v>99.33</v>
      </c>
      <c r="AD682">
        <v>88.29</v>
      </c>
      <c r="AE682">
        <v>84.29</v>
      </c>
      <c r="AF682">
        <v>86.29</v>
      </c>
      <c r="AG682">
        <v>20.14</v>
      </c>
      <c r="AH682">
        <v>19.28</v>
      </c>
      <c r="AI682">
        <v>19.71</v>
      </c>
      <c r="AM682">
        <v>118.25</v>
      </c>
      <c r="AN682">
        <v>116.59</v>
      </c>
      <c r="AO682">
        <v>117.42</v>
      </c>
      <c r="AP682">
        <v>41.74</v>
      </c>
      <c r="AQ682">
        <v>40.14</v>
      </c>
      <c r="AR682">
        <v>40.94</v>
      </c>
      <c r="AS682">
        <v>42.49</v>
      </c>
      <c r="AT682">
        <v>41.13</v>
      </c>
      <c r="AU682">
        <v>41.81</v>
      </c>
      <c r="AV682">
        <v>21.81</v>
      </c>
      <c r="AW682">
        <v>21.209999999999997</v>
      </c>
      <c r="AX682">
        <v>21.509999999999998</v>
      </c>
      <c r="AY682">
        <v>4.8</v>
      </c>
      <c r="AZ682">
        <v>4.6399999999999997</v>
      </c>
      <c r="BA682">
        <v>4.72</v>
      </c>
      <c r="BB682">
        <v>1.89</v>
      </c>
      <c r="BC682">
        <v>1.5899999999999999</v>
      </c>
      <c r="BD682">
        <v>1.7399999999999998</v>
      </c>
      <c r="BE682">
        <v>0.7</v>
      </c>
      <c r="BF682">
        <v>0.39999999999999997</v>
      </c>
      <c r="BG682">
        <v>0.54999999999999993</v>
      </c>
      <c r="BH682">
        <v>506.67</v>
      </c>
      <c r="BI682">
        <v>490.67</v>
      </c>
      <c r="BJ682">
        <v>498.67</v>
      </c>
      <c r="BK682">
        <v>42.81</v>
      </c>
      <c r="BL682">
        <v>41.45</v>
      </c>
      <c r="BM682">
        <v>42.13</v>
      </c>
      <c r="BN682">
        <v>1.04</v>
      </c>
      <c r="BO682">
        <v>0.8</v>
      </c>
      <c r="BP682">
        <v>0.92</v>
      </c>
      <c r="BQ682">
        <v>9.26</v>
      </c>
      <c r="BR682">
        <v>7.26</v>
      </c>
      <c r="BS682">
        <v>8.26</v>
      </c>
      <c r="BT682">
        <v>10.78</v>
      </c>
      <c r="BU682">
        <v>10.379999999999999</v>
      </c>
      <c r="BV682">
        <v>10.579999999999998</v>
      </c>
      <c r="BW682">
        <v>2.75</v>
      </c>
      <c r="BX682">
        <v>2.4699999999999998</v>
      </c>
      <c r="BY682">
        <v>2.61</v>
      </c>
      <c r="BZ682">
        <v>10.32</v>
      </c>
      <c r="CA682">
        <v>7.32</v>
      </c>
      <c r="CB682">
        <v>8.82</v>
      </c>
      <c r="CC682">
        <v>7.38</v>
      </c>
      <c r="CD682">
        <v>7.14</v>
      </c>
      <c r="CE682">
        <v>7.26</v>
      </c>
      <c r="CF682">
        <v>2.14</v>
      </c>
      <c r="CG682">
        <v>1.6400000000000001</v>
      </c>
      <c r="CH682">
        <v>1.8900000000000001</v>
      </c>
      <c r="CI682">
        <v>0.48</v>
      </c>
      <c r="CJ682">
        <v>0.44</v>
      </c>
      <c r="CK682">
        <v>0.45999999999999996</v>
      </c>
      <c r="CL682">
        <v>42.82</v>
      </c>
      <c r="CM682">
        <v>40.42</v>
      </c>
      <c r="CN682">
        <v>41.620000000000005</v>
      </c>
      <c r="CO682">
        <v>6.14</v>
      </c>
      <c r="CP682">
        <v>1.1399999999999997</v>
      </c>
      <c r="CQ682">
        <v>3.6399999999999997</v>
      </c>
    </row>
    <row r="683" spans="1:95">
      <c r="A683" s="228">
        <v>45969</v>
      </c>
      <c r="B683" t="s">
        <v>307</v>
      </c>
    </row>
    <row r="684" spans="1:95">
      <c r="A684" s="228">
        <v>45970</v>
      </c>
      <c r="B684" t="s">
        <v>308</v>
      </c>
    </row>
    <row r="685" spans="1:95">
      <c r="A685" s="228">
        <v>45971</v>
      </c>
      <c r="B685" t="s">
        <v>96</v>
      </c>
      <c r="C685">
        <v>154.93</v>
      </c>
      <c r="D685">
        <v>152.93</v>
      </c>
      <c r="E685">
        <v>153.93</v>
      </c>
      <c r="F685">
        <v>179.35</v>
      </c>
      <c r="G685">
        <v>176.35</v>
      </c>
      <c r="H685">
        <v>177.85</v>
      </c>
      <c r="I685">
        <v>111.24</v>
      </c>
      <c r="J685">
        <v>108.03999999999999</v>
      </c>
      <c r="K685">
        <v>109.63999999999999</v>
      </c>
      <c r="L685">
        <v>206.37</v>
      </c>
      <c r="M685">
        <v>198.37</v>
      </c>
      <c r="N685">
        <v>202.37</v>
      </c>
      <c r="O685">
        <v>191.79</v>
      </c>
      <c r="P685">
        <v>189.98999999999998</v>
      </c>
      <c r="Q685">
        <v>190.89</v>
      </c>
      <c r="R685">
        <v>24.12</v>
      </c>
      <c r="S685">
        <v>23.52</v>
      </c>
      <c r="T685">
        <v>23.82</v>
      </c>
      <c r="U685">
        <v>15.45</v>
      </c>
      <c r="V685">
        <v>14.85</v>
      </c>
      <c r="W685">
        <v>15.149999999999999</v>
      </c>
      <c r="X685">
        <v>16.54</v>
      </c>
      <c r="Y685">
        <v>15.739999999999998</v>
      </c>
      <c r="Z685">
        <v>16.14</v>
      </c>
      <c r="AA685">
        <v>102.21</v>
      </c>
      <c r="AB685">
        <v>98.21</v>
      </c>
      <c r="AC685">
        <v>100.21</v>
      </c>
      <c r="AD685">
        <v>88.57</v>
      </c>
      <c r="AE685">
        <v>84.57</v>
      </c>
      <c r="AF685">
        <v>86.57</v>
      </c>
      <c r="AG685">
        <v>20.22</v>
      </c>
      <c r="AH685">
        <v>19.36</v>
      </c>
      <c r="AI685">
        <v>19.79</v>
      </c>
      <c r="AM685">
        <v>119.01</v>
      </c>
      <c r="AN685">
        <v>117.35000000000001</v>
      </c>
      <c r="AO685">
        <v>118.18</v>
      </c>
      <c r="AP685">
        <v>41.92</v>
      </c>
      <c r="AQ685">
        <v>40.32</v>
      </c>
      <c r="AR685">
        <v>41.120000000000005</v>
      </c>
      <c r="AS685">
        <v>42.67</v>
      </c>
      <c r="AT685">
        <v>41.31</v>
      </c>
      <c r="AU685">
        <v>41.99</v>
      </c>
      <c r="AV685">
        <v>21.91</v>
      </c>
      <c r="AW685">
        <v>21.31</v>
      </c>
      <c r="AX685">
        <v>21.61</v>
      </c>
      <c r="AY685">
        <v>4.84</v>
      </c>
      <c r="AZ685">
        <v>4.68</v>
      </c>
      <c r="BA685">
        <v>4.76</v>
      </c>
      <c r="BB685">
        <v>1.9</v>
      </c>
      <c r="BC685">
        <v>1.5999999999999999</v>
      </c>
      <c r="BD685">
        <v>1.75</v>
      </c>
      <c r="BE685">
        <v>0.71</v>
      </c>
      <c r="BF685">
        <v>0.41</v>
      </c>
      <c r="BG685">
        <v>0.55999999999999994</v>
      </c>
      <c r="BH685">
        <v>510.22</v>
      </c>
      <c r="BI685">
        <v>494.22</v>
      </c>
      <c r="BJ685">
        <v>502.22</v>
      </c>
      <c r="BK685">
        <v>42.99</v>
      </c>
      <c r="BL685">
        <v>41.63</v>
      </c>
      <c r="BM685">
        <v>42.31</v>
      </c>
      <c r="BN685">
        <v>1.05</v>
      </c>
      <c r="BO685">
        <v>0.81</v>
      </c>
      <c r="BP685">
        <v>0.93</v>
      </c>
      <c r="BQ685">
        <v>9.35</v>
      </c>
      <c r="BR685">
        <v>7.35</v>
      </c>
      <c r="BS685">
        <v>8.35</v>
      </c>
      <c r="BT685">
        <v>10.79</v>
      </c>
      <c r="BU685">
        <v>10.389999999999999</v>
      </c>
      <c r="BV685">
        <v>10.59</v>
      </c>
      <c r="BW685">
        <v>2.76</v>
      </c>
      <c r="BX685">
        <v>2.4799999999999995</v>
      </c>
      <c r="BY685">
        <v>2.6199999999999997</v>
      </c>
      <c r="BZ685">
        <v>10.39</v>
      </c>
      <c r="CA685">
        <v>7.3900000000000006</v>
      </c>
      <c r="CB685">
        <v>8.89</v>
      </c>
      <c r="CC685">
        <v>7.44</v>
      </c>
      <c r="CD685">
        <v>7.2</v>
      </c>
      <c r="CE685">
        <v>7.32</v>
      </c>
      <c r="CF685">
        <v>2.16</v>
      </c>
      <c r="CG685">
        <v>1.6600000000000001</v>
      </c>
      <c r="CH685">
        <v>1.9100000000000001</v>
      </c>
      <c r="CI685">
        <v>0.48</v>
      </c>
      <c r="CJ685">
        <v>0.44</v>
      </c>
      <c r="CK685">
        <v>0.45999999999999996</v>
      </c>
      <c r="CL685">
        <v>43.17</v>
      </c>
      <c r="CM685">
        <v>40.770000000000003</v>
      </c>
      <c r="CN685">
        <v>41.97</v>
      </c>
      <c r="CO685">
        <v>6.15</v>
      </c>
      <c r="CP685">
        <v>1.1500000000000004</v>
      </c>
      <c r="CQ685">
        <v>3.6500000000000004</v>
      </c>
    </row>
    <row r="686" spans="1:95">
      <c r="A686" s="228">
        <v>45972</v>
      </c>
      <c r="B686" t="s">
        <v>97</v>
      </c>
      <c r="C686">
        <v>155.36000000000001</v>
      </c>
      <c r="D686">
        <v>153.36000000000001</v>
      </c>
      <c r="E686">
        <v>154.36000000000001</v>
      </c>
      <c r="F686">
        <v>179.79</v>
      </c>
      <c r="G686">
        <v>176.79</v>
      </c>
      <c r="H686">
        <v>178.29</v>
      </c>
      <c r="I686">
        <v>111.65</v>
      </c>
      <c r="J686">
        <v>108.45</v>
      </c>
      <c r="K686">
        <v>110.05000000000001</v>
      </c>
      <c r="L686">
        <v>207.28</v>
      </c>
      <c r="M686">
        <v>199.28</v>
      </c>
      <c r="N686">
        <v>203.28</v>
      </c>
      <c r="O686">
        <v>192.46</v>
      </c>
      <c r="P686">
        <v>190.66</v>
      </c>
      <c r="Q686">
        <v>191.56</v>
      </c>
      <c r="R686">
        <v>24.18</v>
      </c>
      <c r="S686">
        <v>23.58</v>
      </c>
      <c r="T686">
        <v>23.88</v>
      </c>
      <c r="U686">
        <v>15.53</v>
      </c>
      <c r="V686">
        <v>14.93</v>
      </c>
      <c r="W686">
        <v>15.23</v>
      </c>
      <c r="X686">
        <v>16.62</v>
      </c>
      <c r="Y686">
        <v>15.82</v>
      </c>
      <c r="Z686">
        <v>16.22</v>
      </c>
      <c r="AA686">
        <v>102.83</v>
      </c>
      <c r="AB686">
        <v>98.83</v>
      </c>
      <c r="AC686">
        <v>100.83</v>
      </c>
      <c r="AD686">
        <v>89.11</v>
      </c>
      <c r="AE686">
        <v>85.11</v>
      </c>
      <c r="AF686">
        <v>87.11</v>
      </c>
      <c r="AG686">
        <v>20.29</v>
      </c>
      <c r="AH686">
        <v>19.43</v>
      </c>
      <c r="AI686">
        <v>19.86</v>
      </c>
      <c r="AM686">
        <v>119.3</v>
      </c>
      <c r="AN686">
        <v>117.64</v>
      </c>
      <c r="AO686">
        <v>118.47</v>
      </c>
      <c r="AP686">
        <v>42.04</v>
      </c>
      <c r="AQ686">
        <v>40.44</v>
      </c>
      <c r="AR686">
        <v>41.239999999999995</v>
      </c>
      <c r="AS686">
        <v>42.8</v>
      </c>
      <c r="AT686">
        <v>41.44</v>
      </c>
      <c r="AU686">
        <v>42.12</v>
      </c>
      <c r="AV686">
        <v>21.97</v>
      </c>
      <c r="AW686">
        <v>21.369999999999997</v>
      </c>
      <c r="AX686">
        <v>21.669999999999998</v>
      </c>
      <c r="AY686">
        <v>4.8499999999999996</v>
      </c>
      <c r="AZ686">
        <v>4.6899999999999995</v>
      </c>
      <c r="BA686">
        <v>4.7699999999999996</v>
      </c>
      <c r="BB686">
        <v>1.9</v>
      </c>
      <c r="BC686">
        <v>1.5999999999999999</v>
      </c>
      <c r="BD686">
        <v>1.75</v>
      </c>
      <c r="BE686">
        <v>0.71</v>
      </c>
      <c r="BF686">
        <v>0.41</v>
      </c>
      <c r="BG686">
        <v>0.55999999999999994</v>
      </c>
      <c r="BH686">
        <v>511.46</v>
      </c>
      <c r="BI686">
        <v>495.46</v>
      </c>
      <c r="BJ686">
        <v>503.46</v>
      </c>
      <c r="BK686">
        <v>43.11</v>
      </c>
      <c r="BL686">
        <v>41.75</v>
      </c>
      <c r="BM686">
        <v>42.43</v>
      </c>
      <c r="BN686">
        <v>1.05</v>
      </c>
      <c r="BO686">
        <v>0.81</v>
      </c>
      <c r="BP686">
        <v>0.93</v>
      </c>
      <c r="BQ686">
        <v>9.4</v>
      </c>
      <c r="BR686">
        <v>7.4</v>
      </c>
      <c r="BS686">
        <v>8.4</v>
      </c>
      <c r="BT686">
        <v>10.78</v>
      </c>
      <c r="BU686">
        <v>10.379999999999999</v>
      </c>
      <c r="BV686">
        <v>10.579999999999998</v>
      </c>
      <c r="BW686">
        <v>2.77</v>
      </c>
      <c r="BX686">
        <v>2.4900000000000002</v>
      </c>
      <c r="BY686">
        <v>2.63</v>
      </c>
      <c r="BZ686">
        <v>10.5</v>
      </c>
      <c r="CA686">
        <v>7.5</v>
      </c>
      <c r="CB686">
        <v>9</v>
      </c>
      <c r="CC686">
        <v>7.46</v>
      </c>
      <c r="CD686">
        <v>7.22</v>
      </c>
      <c r="CE686">
        <v>7.34</v>
      </c>
      <c r="CF686">
        <v>2.15</v>
      </c>
      <c r="CG686">
        <v>1.65</v>
      </c>
      <c r="CH686">
        <v>1.9</v>
      </c>
      <c r="CI686">
        <v>0.49</v>
      </c>
      <c r="CJ686">
        <v>0.45</v>
      </c>
      <c r="CK686">
        <v>0.47</v>
      </c>
      <c r="CL686">
        <v>43.31</v>
      </c>
      <c r="CM686">
        <v>40.910000000000004</v>
      </c>
      <c r="CN686">
        <v>42.11</v>
      </c>
      <c r="CO686">
        <v>6.16</v>
      </c>
      <c r="CP686">
        <v>1.1600000000000001</v>
      </c>
      <c r="CQ686">
        <v>3.66</v>
      </c>
    </row>
    <row r="687" spans="1:95">
      <c r="A687" s="228">
        <v>45973</v>
      </c>
      <c r="B687" t="s">
        <v>98</v>
      </c>
      <c r="C687">
        <v>155.28</v>
      </c>
      <c r="D687">
        <v>153.28</v>
      </c>
      <c r="E687">
        <v>154.28</v>
      </c>
      <c r="F687">
        <v>180.16</v>
      </c>
      <c r="G687">
        <v>177.16</v>
      </c>
      <c r="H687">
        <v>178.66</v>
      </c>
      <c r="I687">
        <v>111.67</v>
      </c>
      <c r="J687">
        <v>108.47</v>
      </c>
      <c r="K687">
        <v>110.07</v>
      </c>
      <c r="L687">
        <v>206.82</v>
      </c>
      <c r="M687">
        <v>198.82</v>
      </c>
      <c r="N687">
        <v>202.82</v>
      </c>
      <c r="O687">
        <v>193.58</v>
      </c>
      <c r="P687">
        <v>191.78</v>
      </c>
      <c r="Q687">
        <v>192.68</v>
      </c>
      <c r="R687">
        <v>24.23</v>
      </c>
      <c r="S687">
        <v>23.63</v>
      </c>
      <c r="T687">
        <v>23.93</v>
      </c>
      <c r="U687">
        <v>15.65</v>
      </c>
      <c r="V687">
        <v>15.05</v>
      </c>
      <c r="W687">
        <v>15.350000000000001</v>
      </c>
      <c r="X687">
        <v>16.72</v>
      </c>
      <c r="Y687">
        <v>15.919999999999998</v>
      </c>
      <c r="Z687">
        <v>16.32</v>
      </c>
      <c r="AA687">
        <v>102.61</v>
      </c>
      <c r="AB687">
        <v>98.61</v>
      </c>
      <c r="AC687">
        <v>100.61</v>
      </c>
      <c r="AD687">
        <v>89.21</v>
      </c>
      <c r="AE687">
        <v>85.21</v>
      </c>
      <c r="AF687">
        <v>87.21</v>
      </c>
      <c r="AG687">
        <v>20.28</v>
      </c>
      <c r="AH687">
        <v>19.420000000000002</v>
      </c>
      <c r="AI687">
        <v>19.850000000000001</v>
      </c>
      <c r="AM687">
        <v>119.32</v>
      </c>
      <c r="AN687">
        <v>117.66</v>
      </c>
      <c r="AO687">
        <v>118.49</v>
      </c>
      <c r="AP687">
        <v>42.02</v>
      </c>
      <c r="AQ687">
        <v>40.42</v>
      </c>
      <c r="AR687">
        <v>41.22</v>
      </c>
      <c r="AS687">
        <v>42.76</v>
      </c>
      <c r="AT687">
        <v>41.4</v>
      </c>
      <c r="AU687">
        <v>42.08</v>
      </c>
      <c r="AV687">
        <v>21.96</v>
      </c>
      <c r="AW687">
        <v>21.36</v>
      </c>
      <c r="AX687">
        <v>21.66</v>
      </c>
      <c r="AY687">
        <v>4.8499999999999996</v>
      </c>
      <c r="AZ687">
        <v>4.6899999999999995</v>
      </c>
      <c r="BA687">
        <v>4.7699999999999996</v>
      </c>
      <c r="BB687">
        <v>1.91</v>
      </c>
      <c r="BC687">
        <v>1.6099999999999999</v>
      </c>
      <c r="BD687">
        <v>1.7599999999999998</v>
      </c>
      <c r="BE687">
        <v>0.71</v>
      </c>
      <c r="BF687">
        <v>0.41</v>
      </c>
      <c r="BG687">
        <v>0.55999999999999994</v>
      </c>
      <c r="BH687">
        <v>511.36</v>
      </c>
      <c r="BI687">
        <v>495.36</v>
      </c>
      <c r="BJ687">
        <v>503.36</v>
      </c>
      <c r="BK687">
        <v>43.1</v>
      </c>
      <c r="BL687">
        <v>41.74</v>
      </c>
      <c r="BM687">
        <v>42.42</v>
      </c>
      <c r="BN687">
        <v>1.05</v>
      </c>
      <c r="BO687">
        <v>0.81</v>
      </c>
      <c r="BP687">
        <v>0.93</v>
      </c>
      <c r="BQ687">
        <v>9.42</v>
      </c>
      <c r="BR687">
        <v>7.42</v>
      </c>
      <c r="BS687">
        <v>8.42</v>
      </c>
      <c r="BT687">
        <v>10.75</v>
      </c>
      <c r="BU687">
        <v>10.35</v>
      </c>
      <c r="BV687">
        <v>10.55</v>
      </c>
      <c r="BW687">
        <v>2.77</v>
      </c>
      <c r="BX687">
        <v>2.4900000000000002</v>
      </c>
      <c r="BY687">
        <v>2.63</v>
      </c>
      <c r="BZ687">
        <v>10.5</v>
      </c>
      <c r="CA687">
        <v>7.5</v>
      </c>
      <c r="CB687">
        <v>9</v>
      </c>
      <c r="CC687">
        <v>7.49</v>
      </c>
      <c r="CD687">
        <v>7.25</v>
      </c>
      <c r="CE687">
        <v>7.37</v>
      </c>
      <c r="CF687">
        <v>2.16</v>
      </c>
      <c r="CG687">
        <v>1.6600000000000001</v>
      </c>
      <c r="CH687">
        <v>1.9100000000000001</v>
      </c>
      <c r="CI687">
        <v>0.48</v>
      </c>
      <c r="CJ687">
        <v>0.44</v>
      </c>
      <c r="CK687">
        <v>0.45999999999999996</v>
      </c>
      <c r="CL687">
        <v>43.44</v>
      </c>
      <c r="CM687">
        <v>41.04</v>
      </c>
      <c r="CN687">
        <v>42.239999999999995</v>
      </c>
      <c r="CO687">
        <v>6.16</v>
      </c>
      <c r="CP687">
        <v>1.1600000000000001</v>
      </c>
      <c r="CQ687">
        <v>3.66</v>
      </c>
    </row>
    <row r="688" spans="1:95">
      <c r="A688" s="228">
        <v>45974</v>
      </c>
      <c r="B688" t="s">
        <v>99</v>
      </c>
      <c r="C688">
        <v>156.03</v>
      </c>
      <c r="D688">
        <v>154.03</v>
      </c>
      <c r="E688">
        <v>155.03</v>
      </c>
      <c r="F688">
        <v>181.02</v>
      </c>
      <c r="G688">
        <v>178.02</v>
      </c>
      <c r="H688">
        <v>179.52</v>
      </c>
      <c r="I688">
        <v>112.26</v>
      </c>
      <c r="J688">
        <v>109.06</v>
      </c>
      <c r="K688">
        <v>110.66</v>
      </c>
      <c r="L688">
        <v>207.34</v>
      </c>
      <c r="M688">
        <v>199.34</v>
      </c>
      <c r="N688">
        <v>203.34</v>
      </c>
      <c r="O688">
        <v>195.03</v>
      </c>
      <c r="P688">
        <v>193.23</v>
      </c>
      <c r="Q688">
        <v>194.13</v>
      </c>
      <c r="R688">
        <v>24.34</v>
      </c>
      <c r="S688">
        <v>23.74</v>
      </c>
      <c r="T688">
        <v>24.04</v>
      </c>
      <c r="U688">
        <v>15.67</v>
      </c>
      <c r="V688">
        <v>15.07</v>
      </c>
      <c r="W688">
        <v>15.370000000000001</v>
      </c>
      <c r="X688">
        <v>16.8</v>
      </c>
      <c r="Y688">
        <v>16</v>
      </c>
      <c r="Z688">
        <v>16.399999999999999</v>
      </c>
      <c r="AA688">
        <v>103.56</v>
      </c>
      <c r="AB688">
        <v>99.56</v>
      </c>
      <c r="AC688">
        <v>101.56</v>
      </c>
      <c r="AD688">
        <v>89.56</v>
      </c>
      <c r="AE688">
        <v>85.56</v>
      </c>
      <c r="AF688">
        <v>87.56</v>
      </c>
      <c r="AG688">
        <v>20.38</v>
      </c>
      <c r="AH688">
        <v>19.52</v>
      </c>
      <c r="AI688">
        <v>19.95</v>
      </c>
      <c r="AM688">
        <v>119.85</v>
      </c>
      <c r="AN688">
        <v>118.19</v>
      </c>
      <c r="AO688">
        <v>119.02</v>
      </c>
      <c r="AP688">
        <v>42.22</v>
      </c>
      <c r="AQ688">
        <v>40.619999999999997</v>
      </c>
      <c r="AR688">
        <v>41.42</v>
      </c>
      <c r="AS688">
        <v>42.98</v>
      </c>
      <c r="AT688">
        <v>41.62</v>
      </c>
      <c r="AU688">
        <v>42.3</v>
      </c>
      <c r="AV688">
        <v>22.09</v>
      </c>
      <c r="AW688">
        <v>21.49</v>
      </c>
      <c r="AX688">
        <v>21.79</v>
      </c>
      <c r="AY688">
        <v>4.87</v>
      </c>
      <c r="AZ688">
        <v>4.71</v>
      </c>
      <c r="BA688">
        <v>4.79</v>
      </c>
      <c r="BB688">
        <v>1.91</v>
      </c>
      <c r="BC688">
        <v>1.6099999999999999</v>
      </c>
      <c r="BD688">
        <v>1.7599999999999998</v>
      </c>
      <c r="BE688">
        <v>0.71</v>
      </c>
      <c r="BF688">
        <v>0.41</v>
      </c>
      <c r="BG688">
        <v>0.55999999999999994</v>
      </c>
      <c r="BH688">
        <v>513.64</v>
      </c>
      <c r="BI688">
        <v>497.64</v>
      </c>
      <c r="BJ688">
        <v>505.64</v>
      </c>
      <c r="BK688">
        <v>43.29</v>
      </c>
      <c r="BL688">
        <v>41.93</v>
      </c>
      <c r="BM688">
        <v>42.61</v>
      </c>
      <c r="BN688">
        <v>1.05</v>
      </c>
      <c r="BO688">
        <v>0.81</v>
      </c>
      <c r="BP688">
        <v>0.93</v>
      </c>
      <c r="BQ688">
        <v>9.48</v>
      </c>
      <c r="BR688">
        <v>7.48</v>
      </c>
      <c r="BS688">
        <v>8.48</v>
      </c>
      <c r="BT688">
        <v>10.76</v>
      </c>
      <c r="BU688">
        <v>10.36</v>
      </c>
      <c r="BV688">
        <v>10.559999999999999</v>
      </c>
      <c r="BW688">
        <v>2.77</v>
      </c>
      <c r="BX688">
        <v>2.4900000000000002</v>
      </c>
      <c r="BY688">
        <v>2.63</v>
      </c>
      <c r="BZ688">
        <v>10.58</v>
      </c>
      <c r="CA688">
        <v>7.58</v>
      </c>
      <c r="CB688">
        <v>9.08</v>
      </c>
      <c r="CC688">
        <v>7.53</v>
      </c>
      <c r="CD688">
        <v>7.29</v>
      </c>
      <c r="CE688">
        <v>7.41</v>
      </c>
      <c r="CF688">
        <v>2.16</v>
      </c>
      <c r="CG688">
        <v>1.6600000000000001</v>
      </c>
      <c r="CH688">
        <v>1.9100000000000001</v>
      </c>
      <c r="CI688">
        <v>0.49</v>
      </c>
      <c r="CJ688">
        <v>0.45</v>
      </c>
      <c r="CK688">
        <v>0.47</v>
      </c>
      <c r="CL688">
        <v>43.63</v>
      </c>
      <c r="CM688">
        <v>41.230000000000004</v>
      </c>
      <c r="CN688">
        <v>42.430000000000007</v>
      </c>
      <c r="CO688">
        <v>6.17</v>
      </c>
      <c r="CP688">
        <v>1.17</v>
      </c>
      <c r="CQ688">
        <v>3.67</v>
      </c>
    </row>
    <row r="689" spans="1:95">
      <c r="A689" s="228">
        <v>45975</v>
      </c>
      <c r="B689" t="s">
        <v>100</v>
      </c>
      <c r="C689">
        <v>155.74</v>
      </c>
      <c r="D689">
        <v>153.74</v>
      </c>
      <c r="E689">
        <v>154.74</v>
      </c>
      <c r="F689">
        <v>181.42</v>
      </c>
      <c r="G689">
        <v>178.42</v>
      </c>
      <c r="H689">
        <v>179.92</v>
      </c>
      <c r="I689">
        <v>111.82</v>
      </c>
      <c r="J689">
        <v>108.61999999999999</v>
      </c>
      <c r="K689">
        <v>110.22</v>
      </c>
      <c r="L689">
        <v>207.34</v>
      </c>
      <c r="M689">
        <v>199.34</v>
      </c>
      <c r="N689">
        <v>203.34</v>
      </c>
      <c r="O689">
        <v>195.91</v>
      </c>
      <c r="P689">
        <v>194.10999999999999</v>
      </c>
      <c r="Q689">
        <v>195.01</v>
      </c>
      <c r="R689">
        <v>24.39</v>
      </c>
      <c r="S689">
        <v>23.79</v>
      </c>
      <c r="T689">
        <v>24.09</v>
      </c>
      <c r="U689">
        <v>15.75</v>
      </c>
      <c r="V689">
        <v>15.15</v>
      </c>
      <c r="W689">
        <v>15.45</v>
      </c>
      <c r="X689">
        <v>16.850000000000001</v>
      </c>
      <c r="Y689">
        <v>16.05</v>
      </c>
      <c r="Z689">
        <v>16.450000000000003</v>
      </c>
      <c r="AA689">
        <v>103.09</v>
      </c>
      <c r="AB689">
        <v>99.09</v>
      </c>
      <c r="AC689">
        <v>101.09</v>
      </c>
      <c r="AD689">
        <v>89.58</v>
      </c>
      <c r="AE689">
        <v>85.58</v>
      </c>
      <c r="AF689">
        <v>87.58</v>
      </c>
      <c r="AG689">
        <v>20.34</v>
      </c>
      <c r="AH689">
        <v>19.48</v>
      </c>
      <c r="AI689">
        <v>19.91</v>
      </c>
      <c r="AM689">
        <v>119.79</v>
      </c>
      <c r="AN689">
        <v>118.13000000000001</v>
      </c>
      <c r="AO689">
        <v>118.96000000000001</v>
      </c>
      <c r="AP689">
        <v>42.14</v>
      </c>
      <c r="AQ689">
        <v>40.54</v>
      </c>
      <c r="AR689">
        <v>41.34</v>
      </c>
      <c r="AS689">
        <v>42.9</v>
      </c>
      <c r="AT689">
        <v>41.54</v>
      </c>
      <c r="AU689">
        <v>42.22</v>
      </c>
      <c r="AV689">
        <v>22.1</v>
      </c>
      <c r="AW689">
        <v>21.5</v>
      </c>
      <c r="AX689">
        <v>21.8</v>
      </c>
      <c r="AY689">
        <v>4.8600000000000003</v>
      </c>
      <c r="AZ689">
        <v>4.7</v>
      </c>
      <c r="BA689">
        <v>4.78</v>
      </c>
      <c r="BB689">
        <v>1.91</v>
      </c>
      <c r="BC689">
        <v>1.6099999999999999</v>
      </c>
      <c r="BD689">
        <v>1.7599999999999998</v>
      </c>
      <c r="BE689">
        <v>0.71</v>
      </c>
      <c r="BF689">
        <v>0.41</v>
      </c>
      <c r="BG689">
        <v>0.55999999999999994</v>
      </c>
      <c r="BH689">
        <v>513.52</v>
      </c>
      <c r="BI689">
        <v>497.52</v>
      </c>
      <c r="BJ689">
        <v>505.52</v>
      </c>
      <c r="BK689">
        <v>43.21</v>
      </c>
      <c r="BL689">
        <v>41.85</v>
      </c>
      <c r="BM689">
        <v>42.53</v>
      </c>
      <c r="BN689">
        <v>1.05</v>
      </c>
      <c r="BO689">
        <v>0.81</v>
      </c>
      <c r="BP689">
        <v>0.93</v>
      </c>
      <c r="BQ689">
        <v>9.4600000000000009</v>
      </c>
      <c r="BR689">
        <v>7.4600000000000009</v>
      </c>
      <c r="BS689">
        <v>8.4600000000000009</v>
      </c>
      <c r="BT689">
        <v>10.82</v>
      </c>
      <c r="BU689">
        <v>10.42</v>
      </c>
      <c r="BV689">
        <v>10.620000000000001</v>
      </c>
      <c r="BW689">
        <v>2.78</v>
      </c>
      <c r="BX689">
        <v>2.5</v>
      </c>
      <c r="BY689">
        <v>2.6399999999999997</v>
      </c>
      <c r="BZ689">
        <v>10.59</v>
      </c>
      <c r="CA689">
        <v>7.59</v>
      </c>
      <c r="CB689">
        <v>9.09</v>
      </c>
      <c r="CC689">
        <v>7.56</v>
      </c>
      <c r="CD689">
        <v>7.3199999999999994</v>
      </c>
      <c r="CE689">
        <v>7.4399999999999995</v>
      </c>
      <c r="CF689">
        <v>2.17</v>
      </c>
      <c r="CG689">
        <v>1.67</v>
      </c>
      <c r="CH689">
        <v>1.92</v>
      </c>
      <c r="CI689">
        <v>0.49</v>
      </c>
      <c r="CJ689">
        <v>0.45</v>
      </c>
      <c r="CK689">
        <v>0.47</v>
      </c>
      <c r="CL689">
        <v>43.76</v>
      </c>
      <c r="CM689">
        <v>41.36</v>
      </c>
      <c r="CN689">
        <v>42.56</v>
      </c>
      <c r="CO689">
        <v>6.17</v>
      </c>
      <c r="CP689">
        <v>1.17</v>
      </c>
      <c r="CQ689">
        <v>3.67</v>
      </c>
    </row>
    <row r="690" spans="1:95">
      <c r="A690" s="228">
        <v>45976</v>
      </c>
      <c r="B690" t="s">
        <v>307</v>
      </c>
    </row>
    <row r="691" spans="1:95">
      <c r="A691" s="228">
        <v>45977</v>
      </c>
      <c r="B691" t="s">
        <v>308</v>
      </c>
    </row>
    <row r="692" spans="1:95">
      <c r="A692" s="228">
        <v>45978</v>
      </c>
      <c r="B692" t="s">
        <v>96</v>
      </c>
      <c r="C692">
        <v>155.69999999999999</v>
      </c>
      <c r="D692">
        <v>153.69999999999999</v>
      </c>
      <c r="E692">
        <v>154.69999999999999</v>
      </c>
      <c r="F692">
        <v>181.01</v>
      </c>
      <c r="G692">
        <v>178.01</v>
      </c>
      <c r="H692">
        <v>179.51</v>
      </c>
      <c r="I692">
        <v>111.88</v>
      </c>
      <c r="J692">
        <v>108.67999999999999</v>
      </c>
      <c r="K692">
        <v>110.28</v>
      </c>
      <c r="L692">
        <v>207.55</v>
      </c>
      <c r="M692">
        <v>199.55</v>
      </c>
      <c r="N692">
        <v>203.55</v>
      </c>
      <c r="O692">
        <v>195.59</v>
      </c>
      <c r="P692">
        <v>193.79</v>
      </c>
      <c r="Q692">
        <v>194.69</v>
      </c>
      <c r="R692">
        <v>24.34</v>
      </c>
      <c r="S692">
        <v>23.74</v>
      </c>
      <c r="T692">
        <v>24.04</v>
      </c>
      <c r="U692">
        <v>15.59</v>
      </c>
      <c r="V692">
        <v>14.99</v>
      </c>
      <c r="W692">
        <v>15.29</v>
      </c>
      <c r="X692">
        <v>16.739999999999998</v>
      </c>
      <c r="Y692">
        <v>15.939999999999998</v>
      </c>
      <c r="Z692">
        <v>16.339999999999996</v>
      </c>
      <c r="AA692">
        <v>102.99</v>
      </c>
      <c r="AB692">
        <v>98.99</v>
      </c>
      <c r="AC692">
        <v>100.99</v>
      </c>
      <c r="AD692">
        <v>89.7</v>
      </c>
      <c r="AE692">
        <v>85.7</v>
      </c>
      <c r="AF692">
        <v>87.7</v>
      </c>
      <c r="AG692">
        <v>20.34</v>
      </c>
      <c r="AH692">
        <v>19.48</v>
      </c>
      <c r="AI692">
        <v>19.91</v>
      </c>
      <c r="AM692">
        <v>119.88</v>
      </c>
      <c r="AN692">
        <v>118.22</v>
      </c>
      <c r="AO692">
        <v>119.05</v>
      </c>
      <c r="AP692">
        <v>42.13</v>
      </c>
      <c r="AQ692">
        <v>40.53</v>
      </c>
      <c r="AR692">
        <v>41.33</v>
      </c>
      <c r="AS692">
        <v>42.89</v>
      </c>
      <c r="AT692">
        <v>41.53</v>
      </c>
      <c r="AU692">
        <v>42.21</v>
      </c>
      <c r="AV692">
        <v>22.09</v>
      </c>
      <c r="AW692">
        <v>21.49</v>
      </c>
      <c r="AX692">
        <v>21.79</v>
      </c>
      <c r="AY692">
        <v>4.8499999999999996</v>
      </c>
      <c r="AZ692">
        <v>4.6899999999999995</v>
      </c>
      <c r="BA692">
        <v>4.7699999999999996</v>
      </c>
      <c r="BB692">
        <v>1.91</v>
      </c>
      <c r="BC692">
        <v>1.6099999999999999</v>
      </c>
      <c r="BD692">
        <v>1.7599999999999998</v>
      </c>
      <c r="BE692">
        <v>0.71</v>
      </c>
      <c r="BF692">
        <v>0.41</v>
      </c>
      <c r="BG692">
        <v>0.55999999999999994</v>
      </c>
      <c r="BH692">
        <v>512.9</v>
      </c>
      <c r="BI692">
        <v>496.9</v>
      </c>
      <c r="BJ692">
        <v>504.9</v>
      </c>
      <c r="BK692">
        <v>43.2</v>
      </c>
      <c r="BL692">
        <v>41.84</v>
      </c>
      <c r="BM692">
        <v>42.52</v>
      </c>
      <c r="BN692">
        <v>1.05</v>
      </c>
      <c r="BO692">
        <v>0.81</v>
      </c>
      <c r="BP692">
        <v>0.93</v>
      </c>
      <c r="BQ692">
        <v>9.4499999999999993</v>
      </c>
      <c r="BR692">
        <v>7.4499999999999993</v>
      </c>
      <c r="BS692">
        <v>8.4499999999999993</v>
      </c>
      <c r="BT692">
        <v>10.84</v>
      </c>
      <c r="BU692">
        <v>10.44</v>
      </c>
      <c r="BV692">
        <v>10.64</v>
      </c>
      <c r="BW692">
        <v>2.77</v>
      </c>
      <c r="BX692">
        <v>2.4900000000000002</v>
      </c>
      <c r="BY692">
        <v>2.63</v>
      </c>
      <c r="BZ692">
        <v>10.55</v>
      </c>
      <c r="CA692">
        <v>7.5500000000000007</v>
      </c>
      <c r="CB692">
        <v>9.0500000000000007</v>
      </c>
      <c r="CC692">
        <v>7.55</v>
      </c>
      <c r="CD692">
        <v>7.31</v>
      </c>
      <c r="CE692">
        <v>7.43</v>
      </c>
      <c r="CF692">
        <v>2.17</v>
      </c>
      <c r="CG692">
        <v>1.67</v>
      </c>
      <c r="CH692">
        <v>1.92</v>
      </c>
      <c r="CI692">
        <v>0.49</v>
      </c>
      <c r="CJ692">
        <v>0.45</v>
      </c>
      <c r="CK692">
        <v>0.47</v>
      </c>
      <c r="CL692">
        <v>43.7</v>
      </c>
      <c r="CM692">
        <v>41.300000000000004</v>
      </c>
      <c r="CN692">
        <v>42.5</v>
      </c>
      <c r="CO692">
        <v>6.16</v>
      </c>
      <c r="CP692">
        <v>1.1600000000000001</v>
      </c>
      <c r="CQ692">
        <v>3.66</v>
      </c>
    </row>
    <row r="693" spans="1:95">
      <c r="A693" s="228">
        <v>45979</v>
      </c>
      <c r="B693" t="s">
        <v>97</v>
      </c>
      <c r="C693">
        <v>156.34</v>
      </c>
      <c r="D693">
        <v>154.34</v>
      </c>
      <c r="E693">
        <v>155.34</v>
      </c>
      <c r="F693">
        <v>181.48</v>
      </c>
      <c r="G693">
        <v>178.48</v>
      </c>
      <c r="H693">
        <v>179.98</v>
      </c>
      <c r="I693">
        <v>112.15</v>
      </c>
      <c r="J693">
        <v>108.95</v>
      </c>
      <c r="K693">
        <v>110.55000000000001</v>
      </c>
      <c r="L693">
        <v>208.29</v>
      </c>
      <c r="M693">
        <v>200.29</v>
      </c>
      <c r="N693">
        <v>204.29</v>
      </c>
      <c r="O693">
        <v>196</v>
      </c>
      <c r="P693">
        <v>194.2</v>
      </c>
      <c r="Q693">
        <v>195.1</v>
      </c>
      <c r="R693">
        <v>24.4</v>
      </c>
      <c r="S693">
        <v>23.799999999999997</v>
      </c>
      <c r="T693">
        <v>24.099999999999998</v>
      </c>
      <c r="U693">
        <v>15.65</v>
      </c>
      <c r="V693">
        <v>15.05</v>
      </c>
      <c r="W693">
        <v>15.350000000000001</v>
      </c>
      <c r="X693">
        <v>16.79</v>
      </c>
      <c r="Y693">
        <v>15.989999999999998</v>
      </c>
      <c r="Z693">
        <v>16.39</v>
      </c>
      <c r="AA693">
        <v>102.72</v>
      </c>
      <c r="AB693">
        <v>98.72</v>
      </c>
      <c r="AC693">
        <v>100.72</v>
      </c>
      <c r="AD693">
        <v>89.81</v>
      </c>
      <c r="AE693">
        <v>85.81</v>
      </c>
      <c r="AF693">
        <v>87.81</v>
      </c>
      <c r="AG693">
        <v>20.41</v>
      </c>
      <c r="AH693">
        <v>19.55</v>
      </c>
      <c r="AI693">
        <v>19.98</v>
      </c>
      <c r="AM693">
        <v>119.97</v>
      </c>
      <c r="AN693">
        <v>118.31</v>
      </c>
      <c r="AO693">
        <v>119.14</v>
      </c>
      <c r="AP693">
        <v>42.3</v>
      </c>
      <c r="AQ693">
        <v>40.699999999999996</v>
      </c>
      <c r="AR693">
        <v>41.5</v>
      </c>
      <c r="AS693">
        <v>43.06</v>
      </c>
      <c r="AT693">
        <v>41.7</v>
      </c>
      <c r="AU693">
        <v>42.38</v>
      </c>
      <c r="AV693">
        <v>22.15</v>
      </c>
      <c r="AW693">
        <v>21.549999999999997</v>
      </c>
      <c r="AX693">
        <v>21.849999999999998</v>
      </c>
      <c r="AY693">
        <v>4.8600000000000003</v>
      </c>
      <c r="AZ693">
        <v>4.7</v>
      </c>
      <c r="BA693">
        <v>4.78</v>
      </c>
      <c r="BB693">
        <v>1.92</v>
      </c>
      <c r="BC693">
        <v>1.6199999999999999</v>
      </c>
      <c r="BD693">
        <v>1.77</v>
      </c>
      <c r="BE693">
        <v>0.71</v>
      </c>
      <c r="BF693">
        <v>0.41</v>
      </c>
      <c r="BG693">
        <v>0.55999999999999994</v>
      </c>
      <c r="BH693">
        <v>515.15</v>
      </c>
      <c r="BI693">
        <v>499.15</v>
      </c>
      <c r="BJ693">
        <v>507.15</v>
      </c>
      <c r="BK693">
        <v>43.38</v>
      </c>
      <c r="BL693">
        <v>42.02</v>
      </c>
      <c r="BM693">
        <v>42.7</v>
      </c>
      <c r="BN693">
        <v>1.05</v>
      </c>
      <c r="BO693">
        <v>0.81</v>
      </c>
      <c r="BP693">
        <v>0.93</v>
      </c>
      <c r="BQ693">
        <v>9.43</v>
      </c>
      <c r="BR693">
        <v>7.43</v>
      </c>
      <c r="BS693">
        <v>8.43</v>
      </c>
      <c r="BT693">
        <v>10.81</v>
      </c>
      <c r="BU693">
        <v>10.41</v>
      </c>
      <c r="BV693">
        <v>10.61</v>
      </c>
      <c r="BW693">
        <v>2.79</v>
      </c>
      <c r="BX693">
        <v>2.5099999999999998</v>
      </c>
      <c r="BY693">
        <v>2.65</v>
      </c>
      <c r="BZ693">
        <v>10.55</v>
      </c>
      <c r="CA693">
        <v>7.5500000000000007</v>
      </c>
      <c r="CB693">
        <v>9.0500000000000007</v>
      </c>
      <c r="CC693">
        <v>7.57</v>
      </c>
      <c r="CD693">
        <v>7.33</v>
      </c>
      <c r="CE693">
        <v>7.45</v>
      </c>
      <c r="CF693">
        <v>2.17</v>
      </c>
      <c r="CG693">
        <v>1.67</v>
      </c>
      <c r="CH693">
        <v>1.92</v>
      </c>
      <c r="CI693">
        <v>0.49</v>
      </c>
      <c r="CJ693">
        <v>0.45</v>
      </c>
      <c r="CK693">
        <v>0.47</v>
      </c>
      <c r="CL693">
        <v>43.72</v>
      </c>
      <c r="CM693">
        <v>41.32</v>
      </c>
      <c r="CN693">
        <v>42.519999999999996</v>
      </c>
      <c r="CO693">
        <v>6.18</v>
      </c>
      <c r="CP693">
        <v>1.1799999999999997</v>
      </c>
      <c r="CQ693">
        <v>3.6799999999999997</v>
      </c>
    </row>
    <row r="694" spans="1:95">
      <c r="A694" s="228">
        <v>45980</v>
      </c>
      <c r="B694" t="s">
        <v>98</v>
      </c>
      <c r="C694">
        <v>156.54</v>
      </c>
      <c r="D694">
        <v>154.54</v>
      </c>
      <c r="E694">
        <v>155.54</v>
      </c>
      <c r="F694">
        <v>181.65</v>
      </c>
      <c r="G694">
        <v>178.65</v>
      </c>
      <c r="H694">
        <v>180.15</v>
      </c>
      <c r="I694">
        <v>112.76</v>
      </c>
      <c r="J694">
        <v>109.56</v>
      </c>
      <c r="K694">
        <v>111.16</v>
      </c>
      <c r="L694">
        <v>208.43</v>
      </c>
      <c r="M694">
        <v>200.43</v>
      </c>
      <c r="N694">
        <v>204.43</v>
      </c>
      <c r="O694">
        <v>195.35</v>
      </c>
      <c r="P694">
        <v>193.54999999999998</v>
      </c>
      <c r="Q694">
        <v>194.45</v>
      </c>
      <c r="R694">
        <v>24.42</v>
      </c>
      <c r="S694">
        <v>23.82</v>
      </c>
      <c r="T694">
        <v>24.12</v>
      </c>
      <c r="U694">
        <v>15.66</v>
      </c>
      <c r="V694">
        <v>15.06</v>
      </c>
      <c r="W694">
        <v>15.36</v>
      </c>
      <c r="X694">
        <v>16.809999999999999</v>
      </c>
      <c r="Y694">
        <v>16.009999999999998</v>
      </c>
      <c r="Z694">
        <v>16.409999999999997</v>
      </c>
      <c r="AA694">
        <v>103.12</v>
      </c>
      <c r="AB694">
        <v>99.12</v>
      </c>
      <c r="AC694">
        <v>101.12</v>
      </c>
      <c r="AD694">
        <v>89.83</v>
      </c>
      <c r="AE694">
        <v>85.83</v>
      </c>
      <c r="AF694">
        <v>87.83</v>
      </c>
      <c r="AG694">
        <v>20.41</v>
      </c>
      <c r="AH694">
        <v>19.55</v>
      </c>
      <c r="AI694">
        <v>19.98</v>
      </c>
      <c r="AM694">
        <v>120.31</v>
      </c>
      <c r="AN694">
        <v>118.65</v>
      </c>
      <c r="AO694">
        <v>119.48</v>
      </c>
      <c r="AP694">
        <v>42.35</v>
      </c>
      <c r="AQ694">
        <v>40.75</v>
      </c>
      <c r="AR694">
        <v>41.55</v>
      </c>
      <c r="AS694">
        <v>42.98</v>
      </c>
      <c r="AT694">
        <v>41.62</v>
      </c>
      <c r="AU694">
        <v>42.3</v>
      </c>
      <c r="AV694">
        <v>22.17</v>
      </c>
      <c r="AW694">
        <v>21.57</v>
      </c>
      <c r="AX694">
        <v>21.87</v>
      </c>
      <c r="AY694">
        <v>4.8899999999999997</v>
      </c>
      <c r="AZ694">
        <v>4.7299999999999995</v>
      </c>
      <c r="BA694">
        <v>4.8099999999999996</v>
      </c>
      <c r="BB694">
        <v>1.92</v>
      </c>
      <c r="BC694">
        <v>1.6199999999999999</v>
      </c>
      <c r="BD694">
        <v>1.77</v>
      </c>
      <c r="BE694">
        <v>0.71</v>
      </c>
      <c r="BF694">
        <v>0.41</v>
      </c>
      <c r="BG694">
        <v>0.55999999999999994</v>
      </c>
      <c r="BH694">
        <v>514.15</v>
      </c>
      <c r="BI694">
        <v>498.15</v>
      </c>
      <c r="BJ694">
        <v>506.15</v>
      </c>
      <c r="BK694">
        <v>43.43</v>
      </c>
      <c r="BL694">
        <v>42.07</v>
      </c>
      <c r="BM694">
        <v>42.75</v>
      </c>
      <c r="BN694">
        <v>1.05</v>
      </c>
      <c r="BO694">
        <v>0.81</v>
      </c>
      <c r="BP694">
        <v>0.93</v>
      </c>
      <c r="BQ694">
        <v>9.48</v>
      </c>
      <c r="BR694">
        <v>7.48</v>
      </c>
      <c r="BS694">
        <v>8.48</v>
      </c>
      <c r="BT694">
        <v>10.83</v>
      </c>
      <c r="BU694">
        <v>10.43</v>
      </c>
      <c r="BV694">
        <v>10.629999999999999</v>
      </c>
      <c r="BW694">
        <v>2.79</v>
      </c>
      <c r="BX694">
        <v>2.5099999999999998</v>
      </c>
      <c r="BY694">
        <v>2.65</v>
      </c>
      <c r="BZ694">
        <v>10.55</v>
      </c>
      <c r="CA694">
        <v>7.5500000000000007</v>
      </c>
      <c r="CB694">
        <v>9.0500000000000007</v>
      </c>
      <c r="CC694">
        <v>7.58</v>
      </c>
      <c r="CD694">
        <v>7.34</v>
      </c>
      <c r="CE694">
        <v>7.46</v>
      </c>
      <c r="CF694">
        <v>2.1800000000000002</v>
      </c>
      <c r="CG694">
        <v>1.6800000000000002</v>
      </c>
      <c r="CH694">
        <v>1.9300000000000002</v>
      </c>
      <c r="CI694">
        <v>0.49</v>
      </c>
      <c r="CJ694">
        <v>0.45</v>
      </c>
      <c r="CK694">
        <v>0.47</v>
      </c>
      <c r="CL694">
        <v>43.66</v>
      </c>
      <c r="CM694">
        <v>41.26</v>
      </c>
      <c r="CN694">
        <v>42.459999999999994</v>
      </c>
      <c r="CO694">
        <v>6.18</v>
      </c>
      <c r="CP694">
        <v>1.1799999999999997</v>
      </c>
      <c r="CQ694">
        <v>3.6799999999999997</v>
      </c>
    </row>
    <row r="695" spans="1:95">
      <c r="A695" s="228">
        <v>45981</v>
      </c>
      <c r="B695" t="s">
        <v>99</v>
      </c>
      <c r="C695">
        <v>158.29</v>
      </c>
      <c r="D695">
        <v>156.29</v>
      </c>
      <c r="E695">
        <v>157.29</v>
      </c>
      <c r="F695">
        <v>182.84</v>
      </c>
      <c r="G695">
        <v>179.84</v>
      </c>
      <c r="H695">
        <v>181.34</v>
      </c>
      <c r="I695">
        <v>113.56</v>
      </c>
      <c r="J695">
        <v>110.36</v>
      </c>
      <c r="K695">
        <v>111.96000000000001</v>
      </c>
      <c r="L695">
        <v>209.31</v>
      </c>
      <c r="M695">
        <v>201.31</v>
      </c>
      <c r="N695">
        <v>205.31</v>
      </c>
      <c r="O695">
        <v>196.1</v>
      </c>
      <c r="P695">
        <v>194.29999999999998</v>
      </c>
      <c r="Q695">
        <v>195.2</v>
      </c>
      <c r="R695">
        <v>24.58</v>
      </c>
      <c r="S695">
        <v>23.979999999999997</v>
      </c>
      <c r="T695">
        <v>24.279999999999998</v>
      </c>
      <c r="U695">
        <v>15.76</v>
      </c>
      <c r="V695">
        <v>15.16</v>
      </c>
      <c r="W695">
        <v>15.46</v>
      </c>
      <c r="X695">
        <v>16.87</v>
      </c>
      <c r="Y695">
        <v>16.07</v>
      </c>
      <c r="Z695">
        <v>16.47</v>
      </c>
      <c r="AA695">
        <v>103.96</v>
      </c>
      <c r="AB695">
        <v>99.96</v>
      </c>
      <c r="AC695">
        <v>101.96</v>
      </c>
      <c r="AD695">
        <v>90.22</v>
      </c>
      <c r="AE695">
        <v>86.22</v>
      </c>
      <c r="AF695">
        <v>88.22</v>
      </c>
      <c r="AG695">
        <v>20.62</v>
      </c>
      <c r="AH695">
        <v>19.760000000000002</v>
      </c>
      <c r="AI695">
        <v>20.190000000000001</v>
      </c>
      <c r="AM695">
        <v>121.19</v>
      </c>
      <c r="AN695">
        <v>119.53</v>
      </c>
      <c r="AO695">
        <v>120.36</v>
      </c>
      <c r="AP695">
        <v>42.69</v>
      </c>
      <c r="AQ695">
        <v>41.089999999999996</v>
      </c>
      <c r="AR695">
        <v>41.89</v>
      </c>
      <c r="AS695">
        <v>43.6</v>
      </c>
      <c r="AT695">
        <v>42.24</v>
      </c>
      <c r="AU695">
        <v>42.92</v>
      </c>
      <c r="AV695">
        <v>22.4</v>
      </c>
      <c r="AW695">
        <v>21.799999999999997</v>
      </c>
      <c r="AX695">
        <v>22.099999999999998</v>
      </c>
      <c r="AY695">
        <v>4.93</v>
      </c>
      <c r="AZ695">
        <v>4.7699999999999996</v>
      </c>
      <c r="BA695">
        <v>4.8499999999999996</v>
      </c>
      <c r="BB695">
        <v>1.94</v>
      </c>
      <c r="BC695">
        <v>1.64</v>
      </c>
      <c r="BD695">
        <v>1.79</v>
      </c>
      <c r="BE695">
        <v>0.72</v>
      </c>
      <c r="BF695">
        <v>0.42</v>
      </c>
      <c r="BG695">
        <v>0.56999999999999995</v>
      </c>
      <c r="BH695">
        <v>520.51</v>
      </c>
      <c r="BI695">
        <v>504.51</v>
      </c>
      <c r="BJ695">
        <v>512.51</v>
      </c>
      <c r="BK695">
        <v>43.92</v>
      </c>
      <c r="BL695">
        <v>42.56</v>
      </c>
      <c r="BM695">
        <v>43.24</v>
      </c>
      <c r="BN695">
        <v>1.07</v>
      </c>
      <c r="BO695">
        <v>0.83000000000000007</v>
      </c>
      <c r="BP695">
        <v>0.95000000000000007</v>
      </c>
      <c r="BQ695">
        <v>9.58</v>
      </c>
      <c r="BR695">
        <v>7.58</v>
      </c>
      <c r="BS695">
        <v>8.58</v>
      </c>
      <c r="BT695">
        <v>10.94</v>
      </c>
      <c r="BU695">
        <v>10.54</v>
      </c>
      <c r="BV695">
        <v>10.739999999999998</v>
      </c>
      <c r="BW695">
        <v>2.82</v>
      </c>
      <c r="BX695">
        <v>2.54</v>
      </c>
      <c r="BY695">
        <v>2.6799999999999997</v>
      </c>
      <c r="BZ695">
        <v>10.66</v>
      </c>
      <c r="CA695">
        <v>7.66</v>
      </c>
      <c r="CB695">
        <v>9.16</v>
      </c>
      <c r="CC695">
        <v>7.63</v>
      </c>
      <c r="CD695">
        <v>7.39</v>
      </c>
      <c r="CE695">
        <v>7.51</v>
      </c>
      <c r="CF695">
        <v>2.21</v>
      </c>
      <c r="CG695">
        <v>1.71</v>
      </c>
      <c r="CH695">
        <v>1.96</v>
      </c>
      <c r="CI695">
        <v>0.5</v>
      </c>
      <c r="CJ695">
        <v>0.46</v>
      </c>
      <c r="CK695">
        <v>0.48</v>
      </c>
      <c r="CL695">
        <v>44.11</v>
      </c>
      <c r="CM695">
        <v>41.71</v>
      </c>
      <c r="CN695">
        <v>42.91</v>
      </c>
      <c r="CO695">
        <v>6.22</v>
      </c>
      <c r="CP695">
        <v>1.2199999999999998</v>
      </c>
      <c r="CQ695">
        <v>3.7199999999999998</v>
      </c>
    </row>
    <row r="696" spans="1:95">
      <c r="A696" s="228">
        <v>45982</v>
      </c>
      <c r="B696" t="s">
        <v>100</v>
      </c>
      <c r="C696">
        <v>158.49</v>
      </c>
      <c r="D696">
        <v>156.49</v>
      </c>
      <c r="E696">
        <v>157.49</v>
      </c>
      <c r="F696">
        <v>183.12</v>
      </c>
      <c r="G696">
        <v>180.12</v>
      </c>
      <c r="H696">
        <v>181.62</v>
      </c>
      <c r="I696">
        <v>113.36</v>
      </c>
      <c r="J696">
        <v>110.16</v>
      </c>
      <c r="K696">
        <v>111.75999999999999</v>
      </c>
      <c r="L696">
        <v>210.08</v>
      </c>
      <c r="M696">
        <v>202.08</v>
      </c>
      <c r="N696">
        <v>206.08</v>
      </c>
      <c r="O696">
        <v>196.37</v>
      </c>
      <c r="P696">
        <v>194.57</v>
      </c>
      <c r="Q696">
        <v>195.47</v>
      </c>
      <c r="R696">
        <v>24.62</v>
      </c>
      <c r="S696">
        <v>24.02</v>
      </c>
      <c r="T696">
        <v>24.32</v>
      </c>
      <c r="U696">
        <v>15.73</v>
      </c>
      <c r="V696">
        <v>15.13</v>
      </c>
      <c r="W696">
        <v>15.43</v>
      </c>
      <c r="X696">
        <v>16.91</v>
      </c>
      <c r="Y696">
        <v>16.11</v>
      </c>
      <c r="Z696">
        <v>16.509999999999998</v>
      </c>
      <c r="AA696">
        <v>103.68</v>
      </c>
      <c r="AB696">
        <v>99.68</v>
      </c>
      <c r="AC696">
        <v>101.68</v>
      </c>
      <c r="AD696">
        <v>90.1</v>
      </c>
      <c r="AE696">
        <v>86.1</v>
      </c>
      <c r="AF696">
        <v>88.1</v>
      </c>
      <c r="AG696">
        <v>20.66</v>
      </c>
      <c r="AH696">
        <v>19.8</v>
      </c>
      <c r="AI696">
        <v>20.23</v>
      </c>
      <c r="AM696">
        <v>121.3</v>
      </c>
      <c r="AN696">
        <v>119.64</v>
      </c>
      <c r="AO696">
        <v>120.47</v>
      </c>
      <c r="AP696">
        <v>42.88</v>
      </c>
      <c r="AQ696">
        <v>41.28</v>
      </c>
      <c r="AR696">
        <v>42.08</v>
      </c>
      <c r="AS696">
        <v>43.64</v>
      </c>
      <c r="AT696">
        <v>42.28</v>
      </c>
      <c r="AU696">
        <v>42.96</v>
      </c>
      <c r="AV696">
        <v>22.42</v>
      </c>
      <c r="AW696">
        <v>21.82</v>
      </c>
      <c r="AX696">
        <v>22.12</v>
      </c>
      <c r="AY696">
        <v>4.9400000000000004</v>
      </c>
      <c r="AZ696">
        <v>4.78</v>
      </c>
      <c r="BA696">
        <v>4.8600000000000003</v>
      </c>
      <c r="BB696">
        <v>1.94</v>
      </c>
      <c r="BC696">
        <v>1.64</v>
      </c>
      <c r="BD696">
        <v>1.79</v>
      </c>
      <c r="BE696">
        <v>0.72</v>
      </c>
      <c r="BF696">
        <v>0.42</v>
      </c>
      <c r="BG696">
        <v>0.56999999999999995</v>
      </c>
      <c r="BH696">
        <v>521.5</v>
      </c>
      <c r="BI696">
        <v>505.5</v>
      </c>
      <c r="BJ696">
        <v>513.5</v>
      </c>
      <c r="BK696">
        <v>43.98</v>
      </c>
      <c r="BL696">
        <v>42.62</v>
      </c>
      <c r="BM696">
        <v>43.3</v>
      </c>
      <c r="BN696">
        <v>1.07</v>
      </c>
      <c r="BO696">
        <v>0.83000000000000007</v>
      </c>
      <c r="BP696">
        <v>0.95000000000000007</v>
      </c>
      <c r="BQ696">
        <v>9.58</v>
      </c>
      <c r="BR696">
        <v>7.58</v>
      </c>
      <c r="BS696">
        <v>8.58</v>
      </c>
      <c r="BT696">
        <v>10.91</v>
      </c>
      <c r="BU696">
        <v>10.51</v>
      </c>
      <c r="BV696">
        <v>10.71</v>
      </c>
      <c r="BW696">
        <v>2.82</v>
      </c>
      <c r="BX696">
        <v>2.54</v>
      </c>
      <c r="BY696">
        <v>2.6799999999999997</v>
      </c>
      <c r="BZ696">
        <v>10.64</v>
      </c>
      <c r="CA696">
        <v>7.6400000000000006</v>
      </c>
      <c r="CB696">
        <v>9.14</v>
      </c>
      <c r="CC696">
        <v>7.63</v>
      </c>
      <c r="CD696">
        <v>7.39</v>
      </c>
      <c r="CE696">
        <v>7.51</v>
      </c>
      <c r="CF696">
        <v>2.2200000000000002</v>
      </c>
      <c r="CG696">
        <v>1.7200000000000002</v>
      </c>
      <c r="CH696">
        <v>1.9700000000000002</v>
      </c>
      <c r="CI696">
        <v>0.5</v>
      </c>
      <c r="CJ696">
        <v>0.46</v>
      </c>
      <c r="CK696">
        <v>0.48</v>
      </c>
      <c r="CL696">
        <v>44.11</v>
      </c>
      <c r="CM696">
        <v>41.71</v>
      </c>
      <c r="CN696">
        <v>42.91</v>
      </c>
      <c r="CO696">
        <v>6.22</v>
      </c>
      <c r="CP696">
        <v>1.2199999999999998</v>
      </c>
      <c r="CQ696">
        <v>3.7199999999999998</v>
      </c>
    </row>
    <row r="697" spans="1:95">
      <c r="A697" s="228">
        <v>45983</v>
      </c>
      <c r="B697" t="s">
        <v>307</v>
      </c>
    </row>
    <row r="698" spans="1:95">
      <c r="A698" s="228">
        <v>45984</v>
      </c>
      <c r="B698" t="s">
        <v>308</v>
      </c>
    </row>
    <row r="699" spans="1:95">
      <c r="A699" s="228">
        <v>45985</v>
      </c>
      <c r="B699" t="s">
        <v>96</v>
      </c>
    </row>
    <row r="700" spans="1:95">
      <c r="A700" s="228">
        <v>45986</v>
      </c>
      <c r="B700" t="s">
        <v>97</v>
      </c>
      <c r="C700">
        <v>157.87</v>
      </c>
      <c r="D700">
        <v>155.87</v>
      </c>
      <c r="E700">
        <v>156.87</v>
      </c>
      <c r="F700">
        <v>182.23</v>
      </c>
      <c r="G700">
        <v>179.23</v>
      </c>
      <c r="H700">
        <v>180.73</v>
      </c>
      <c r="I700">
        <v>112.74</v>
      </c>
      <c r="J700">
        <v>109.53999999999999</v>
      </c>
      <c r="K700">
        <v>111.13999999999999</v>
      </c>
      <c r="L700">
        <v>209.61</v>
      </c>
      <c r="M700">
        <v>201.61</v>
      </c>
      <c r="N700">
        <v>205.61</v>
      </c>
      <c r="O700">
        <v>194.85</v>
      </c>
      <c r="P700">
        <v>193.04999999999998</v>
      </c>
      <c r="Q700">
        <v>193.95</v>
      </c>
      <c r="R700">
        <v>24.5</v>
      </c>
      <c r="S700">
        <v>23.9</v>
      </c>
      <c r="T700">
        <v>24.2</v>
      </c>
      <c r="U700">
        <v>15.64</v>
      </c>
      <c r="V700">
        <v>15.040000000000001</v>
      </c>
      <c r="W700">
        <v>15.34</v>
      </c>
      <c r="X700">
        <v>16.829999999999998</v>
      </c>
      <c r="Y700">
        <v>16.029999999999998</v>
      </c>
      <c r="Z700">
        <v>16.43</v>
      </c>
      <c r="AA700">
        <v>103.34</v>
      </c>
      <c r="AB700">
        <v>99.34</v>
      </c>
      <c r="AC700">
        <v>101.34</v>
      </c>
      <c r="AD700">
        <v>90</v>
      </c>
      <c r="AE700">
        <v>86</v>
      </c>
      <c r="AF700">
        <v>88</v>
      </c>
      <c r="AG700">
        <v>20.59</v>
      </c>
      <c r="AH700">
        <v>19.73</v>
      </c>
      <c r="AI700">
        <v>20.16</v>
      </c>
      <c r="AM700">
        <v>121.04</v>
      </c>
      <c r="AN700">
        <v>119.38000000000001</v>
      </c>
      <c r="AO700">
        <v>120.21000000000001</v>
      </c>
      <c r="AP700">
        <v>42.71</v>
      </c>
      <c r="AQ700">
        <v>41.11</v>
      </c>
      <c r="AR700">
        <v>41.91</v>
      </c>
      <c r="AS700">
        <v>43.48</v>
      </c>
      <c r="AT700">
        <v>42.12</v>
      </c>
      <c r="AU700">
        <v>42.8</v>
      </c>
      <c r="AV700">
        <v>22.38</v>
      </c>
      <c r="AW700">
        <v>21.779999999999998</v>
      </c>
      <c r="AX700">
        <v>22.08</v>
      </c>
      <c r="AY700">
        <v>4.9400000000000004</v>
      </c>
      <c r="AZ700">
        <v>4.78</v>
      </c>
      <c r="BA700">
        <v>4.8600000000000003</v>
      </c>
      <c r="BB700">
        <v>1.92</v>
      </c>
      <c r="BC700">
        <v>1.6199999999999999</v>
      </c>
      <c r="BD700">
        <v>1.77</v>
      </c>
      <c r="BE700">
        <v>0.72</v>
      </c>
      <c r="BF700">
        <v>0.42</v>
      </c>
      <c r="BG700">
        <v>0.56999999999999995</v>
      </c>
      <c r="BH700">
        <v>517.48</v>
      </c>
      <c r="BI700">
        <v>501.48</v>
      </c>
      <c r="BJ700">
        <v>509.48</v>
      </c>
      <c r="BK700">
        <v>43.81</v>
      </c>
      <c r="BL700">
        <v>42.45</v>
      </c>
      <c r="BM700">
        <v>43.13</v>
      </c>
      <c r="BN700">
        <v>1.06</v>
      </c>
      <c r="BO700">
        <v>0.82000000000000006</v>
      </c>
      <c r="BP700">
        <v>0.94000000000000006</v>
      </c>
      <c r="BQ700">
        <v>9.48</v>
      </c>
      <c r="BR700">
        <v>7.48</v>
      </c>
      <c r="BS700">
        <v>8.48</v>
      </c>
      <c r="BT700">
        <v>10.85</v>
      </c>
      <c r="BU700">
        <v>10.45</v>
      </c>
      <c r="BV700">
        <v>10.649999999999999</v>
      </c>
      <c r="BW700">
        <v>2.82</v>
      </c>
      <c r="BX700">
        <v>2.54</v>
      </c>
      <c r="BY700">
        <v>2.6799999999999997</v>
      </c>
      <c r="BZ700">
        <v>10.57</v>
      </c>
      <c r="CA700">
        <v>7.57</v>
      </c>
      <c r="CB700">
        <v>9.07</v>
      </c>
      <c r="CC700">
        <v>7.59</v>
      </c>
      <c r="CD700">
        <v>7.35</v>
      </c>
      <c r="CE700">
        <v>7.47</v>
      </c>
      <c r="CF700">
        <v>2.25</v>
      </c>
      <c r="CG700">
        <v>1.75</v>
      </c>
      <c r="CH700">
        <v>2</v>
      </c>
      <c r="CI700">
        <v>0.49</v>
      </c>
      <c r="CJ700">
        <v>0.45</v>
      </c>
      <c r="CK700">
        <v>0.47</v>
      </c>
      <c r="CL700">
        <v>43.89</v>
      </c>
      <c r="CM700">
        <v>41.49</v>
      </c>
      <c r="CN700">
        <v>42.69</v>
      </c>
      <c r="CO700">
        <v>6.2</v>
      </c>
      <c r="CP700">
        <v>1.2000000000000002</v>
      </c>
      <c r="CQ700">
        <v>3.7</v>
      </c>
    </row>
    <row r="701" spans="1:95">
      <c r="A701" s="228">
        <v>45987</v>
      </c>
      <c r="B701" t="s">
        <v>98</v>
      </c>
      <c r="C701">
        <v>157.38</v>
      </c>
      <c r="D701">
        <v>155.38</v>
      </c>
      <c r="E701">
        <v>156.38</v>
      </c>
      <c r="F701">
        <v>182.29</v>
      </c>
      <c r="G701">
        <v>179.29</v>
      </c>
      <c r="H701">
        <v>180.79</v>
      </c>
      <c r="I701">
        <v>112.46</v>
      </c>
      <c r="J701">
        <v>109.25999999999999</v>
      </c>
      <c r="K701">
        <v>110.85999999999999</v>
      </c>
      <c r="L701">
        <v>209.83</v>
      </c>
      <c r="M701">
        <v>201.83</v>
      </c>
      <c r="N701">
        <v>205.83</v>
      </c>
      <c r="O701">
        <v>194.44</v>
      </c>
      <c r="P701">
        <v>192.64</v>
      </c>
      <c r="Q701">
        <v>193.54</v>
      </c>
      <c r="R701">
        <v>24.51</v>
      </c>
      <c r="S701">
        <v>23.91</v>
      </c>
      <c r="T701">
        <v>24.21</v>
      </c>
      <c r="U701">
        <v>15.58</v>
      </c>
      <c r="V701">
        <v>14.98</v>
      </c>
      <c r="W701">
        <v>15.280000000000001</v>
      </c>
      <c r="X701">
        <v>16.809999999999999</v>
      </c>
      <c r="Y701">
        <v>16.009999999999998</v>
      </c>
      <c r="Z701">
        <v>16.409999999999997</v>
      </c>
      <c r="AA701">
        <v>103.27</v>
      </c>
      <c r="AB701">
        <v>99.27</v>
      </c>
      <c r="AC701">
        <v>101.27</v>
      </c>
      <c r="AD701">
        <v>89.96</v>
      </c>
      <c r="AE701">
        <v>85.96</v>
      </c>
      <c r="AF701">
        <v>87.96</v>
      </c>
      <c r="AG701">
        <v>20.54</v>
      </c>
      <c r="AH701">
        <v>19.68</v>
      </c>
      <c r="AI701">
        <v>20.11</v>
      </c>
      <c r="AM701">
        <v>120.94</v>
      </c>
      <c r="AN701">
        <v>119.28</v>
      </c>
      <c r="AO701">
        <v>120.11</v>
      </c>
      <c r="AP701">
        <v>42.59</v>
      </c>
      <c r="AQ701">
        <v>40.99</v>
      </c>
      <c r="AR701">
        <v>41.790000000000006</v>
      </c>
      <c r="AS701">
        <v>43.35</v>
      </c>
      <c r="AT701">
        <v>41.99</v>
      </c>
      <c r="AU701">
        <v>42.67</v>
      </c>
      <c r="AV701">
        <v>22.37</v>
      </c>
      <c r="AW701">
        <v>21.77</v>
      </c>
      <c r="AX701">
        <v>22.07</v>
      </c>
      <c r="AY701">
        <v>4.93</v>
      </c>
      <c r="AZ701">
        <v>4.7699999999999996</v>
      </c>
      <c r="BA701">
        <v>4.8499999999999996</v>
      </c>
      <c r="BB701">
        <v>1.92</v>
      </c>
      <c r="BC701">
        <v>1.6199999999999999</v>
      </c>
      <c r="BD701">
        <v>1.77</v>
      </c>
      <c r="BE701">
        <v>0.71</v>
      </c>
      <c r="BF701">
        <v>0.41</v>
      </c>
      <c r="BG701">
        <v>0.55999999999999994</v>
      </c>
      <c r="BH701">
        <v>518.21</v>
      </c>
      <c r="BI701">
        <v>502.21000000000004</v>
      </c>
      <c r="BJ701">
        <v>510.21000000000004</v>
      </c>
      <c r="BK701">
        <v>43.68</v>
      </c>
      <c r="BL701">
        <v>42.32</v>
      </c>
      <c r="BM701">
        <v>43</v>
      </c>
      <c r="BN701">
        <v>1.06</v>
      </c>
      <c r="BO701">
        <v>0.82000000000000006</v>
      </c>
      <c r="BP701">
        <v>0.94000000000000006</v>
      </c>
      <c r="BQ701">
        <v>9.51</v>
      </c>
      <c r="BR701">
        <v>7.51</v>
      </c>
      <c r="BS701">
        <v>8.51</v>
      </c>
      <c r="BT701">
        <v>10.91</v>
      </c>
      <c r="BU701">
        <v>10.51</v>
      </c>
      <c r="BV701">
        <v>10.71</v>
      </c>
      <c r="BW701">
        <v>2.81</v>
      </c>
      <c r="BX701">
        <v>2.5300000000000002</v>
      </c>
      <c r="BY701">
        <v>2.67</v>
      </c>
      <c r="BZ701">
        <v>10.59</v>
      </c>
      <c r="CA701">
        <v>7.59</v>
      </c>
      <c r="CB701">
        <v>9.09</v>
      </c>
      <c r="CC701">
        <v>7.61</v>
      </c>
      <c r="CD701">
        <v>7.37</v>
      </c>
      <c r="CE701">
        <v>7.49</v>
      </c>
      <c r="CF701">
        <v>2.2400000000000002</v>
      </c>
      <c r="CG701">
        <v>1.7400000000000002</v>
      </c>
      <c r="CH701">
        <v>1.9900000000000002</v>
      </c>
      <c r="CI701">
        <v>0.49</v>
      </c>
      <c r="CJ701">
        <v>0.45</v>
      </c>
      <c r="CK701">
        <v>0.47</v>
      </c>
      <c r="CL701">
        <v>44.05</v>
      </c>
      <c r="CM701">
        <v>41.65</v>
      </c>
      <c r="CN701">
        <v>42.849999999999994</v>
      </c>
      <c r="CO701">
        <v>6.19</v>
      </c>
      <c r="CP701">
        <v>1.1900000000000004</v>
      </c>
      <c r="CQ701">
        <v>3.6900000000000004</v>
      </c>
    </row>
    <row r="702" spans="1:95">
      <c r="A702" s="228">
        <v>45988</v>
      </c>
      <c r="B702" t="s">
        <v>99</v>
      </c>
      <c r="C702">
        <v>156.91</v>
      </c>
      <c r="D702">
        <v>154.91</v>
      </c>
      <c r="E702">
        <v>155.91</v>
      </c>
      <c r="F702">
        <v>182.37</v>
      </c>
      <c r="G702">
        <v>179.37</v>
      </c>
      <c r="H702">
        <v>180.87</v>
      </c>
      <c r="I702">
        <v>112.65</v>
      </c>
      <c r="J702">
        <v>109.45</v>
      </c>
      <c r="K702">
        <v>111.05000000000001</v>
      </c>
      <c r="L702">
        <v>210.58</v>
      </c>
      <c r="M702">
        <v>202.58</v>
      </c>
      <c r="N702">
        <v>206.58</v>
      </c>
      <c r="O702">
        <v>194.94</v>
      </c>
      <c r="P702">
        <v>193.14</v>
      </c>
      <c r="Q702">
        <v>194.04</v>
      </c>
      <c r="R702">
        <v>24.52</v>
      </c>
      <c r="S702">
        <v>23.919999999999998</v>
      </c>
      <c r="T702">
        <v>24.22</v>
      </c>
      <c r="U702">
        <v>15.59</v>
      </c>
      <c r="V702">
        <v>14.99</v>
      </c>
      <c r="W702">
        <v>15.29</v>
      </c>
      <c r="X702">
        <v>16.84</v>
      </c>
      <c r="Y702">
        <v>16.04</v>
      </c>
      <c r="Z702">
        <v>16.439999999999998</v>
      </c>
      <c r="AA702">
        <v>103.75</v>
      </c>
      <c r="AB702">
        <v>99.75</v>
      </c>
      <c r="AC702">
        <v>101.75</v>
      </c>
      <c r="AD702">
        <v>91.04</v>
      </c>
      <c r="AE702">
        <v>87.04</v>
      </c>
      <c r="AF702">
        <v>89.04</v>
      </c>
      <c r="AG702">
        <v>20.47</v>
      </c>
      <c r="AH702">
        <v>19.61</v>
      </c>
      <c r="AI702">
        <v>20.04</v>
      </c>
      <c r="AM702">
        <v>121.12</v>
      </c>
      <c r="AN702">
        <v>119.46000000000001</v>
      </c>
      <c r="AO702">
        <v>120.29</v>
      </c>
      <c r="AP702">
        <v>42.45</v>
      </c>
      <c r="AQ702">
        <v>40.85</v>
      </c>
      <c r="AR702">
        <v>41.650000000000006</v>
      </c>
      <c r="AS702">
        <v>43.22</v>
      </c>
      <c r="AT702">
        <v>41.86</v>
      </c>
      <c r="AU702">
        <v>42.54</v>
      </c>
      <c r="AV702">
        <v>22.35</v>
      </c>
      <c r="AW702">
        <v>21.75</v>
      </c>
      <c r="AX702">
        <v>22.05</v>
      </c>
      <c r="AY702">
        <v>4.92</v>
      </c>
      <c r="AZ702">
        <v>4.76</v>
      </c>
      <c r="BA702">
        <v>4.84</v>
      </c>
      <c r="BB702">
        <v>1.91</v>
      </c>
      <c r="BC702">
        <v>1.6099999999999999</v>
      </c>
      <c r="BD702">
        <v>1.7599999999999998</v>
      </c>
      <c r="BE702">
        <v>0.71</v>
      </c>
      <c r="BF702">
        <v>0.41</v>
      </c>
      <c r="BG702">
        <v>0.55999999999999994</v>
      </c>
      <c r="BH702">
        <v>517.17999999999995</v>
      </c>
      <c r="BI702">
        <v>501.17999999999995</v>
      </c>
      <c r="BJ702">
        <v>509.17999999999995</v>
      </c>
      <c r="BK702">
        <v>43.55</v>
      </c>
      <c r="BL702">
        <v>42.19</v>
      </c>
      <c r="BM702">
        <v>42.87</v>
      </c>
      <c r="BN702">
        <v>1.06</v>
      </c>
      <c r="BO702">
        <v>0.82000000000000006</v>
      </c>
      <c r="BP702">
        <v>0.94000000000000006</v>
      </c>
      <c r="BQ702">
        <v>9.51</v>
      </c>
      <c r="BR702">
        <v>7.51</v>
      </c>
      <c r="BS702">
        <v>8.51</v>
      </c>
      <c r="BT702">
        <v>10.86</v>
      </c>
      <c r="BU702">
        <v>10.459999999999999</v>
      </c>
      <c r="BV702">
        <v>10.66</v>
      </c>
      <c r="BW702">
        <v>2.8</v>
      </c>
      <c r="BX702">
        <v>2.5199999999999996</v>
      </c>
      <c r="BY702">
        <v>2.6599999999999997</v>
      </c>
      <c r="BZ702">
        <v>10.6</v>
      </c>
      <c r="CA702">
        <v>7.6</v>
      </c>
      <c r="CB702">
        <v>9.1</v>
      </c>
      <c r="CC702">
        <v>7.61</v>
      </c>
      <c r="CD702">
        <v>7.37</v>
      </c>
      <c r="CE702">
        <v>7.49</v>
      </c>
      <c r="CF702">
        <v>2.2400000000000002</v>
      </c>
      <c r="CG702">
        <v>1.7400000000000002</v>
      </c>
      <c r="CH702">
        <v>1.9900000000000002</v>
      </c>
      <c r="CI702">
        <v>0.49</v>
      </c>
      <c r="CJ702">
        <v>0.45</v>
      </c>
      <c r="CK702">
        <v>0.47</v>
      </c>
      <c r="CL702">
        <v>43.95</v>
      </c>
      <c r="CM702">
        <v>41.550000000000004</v>
      </c>
      <c r="CN702">
        <v>42.75</v>
      </c>
      <c r="CO702">
        <v>6.18</v>
      </c>
      <c r="CP702">
        <v>1.1799999999999997</v>
      </c>
      <c r="CQ702">
        <v>3.6799999999999997</v>
      </c>
    </row>
    <row r="703" spans="1:95">
      <c r="A703" s="228">
        <v>45989</v>
      </c>
      <c r="B703" t="s">
        <v>100</v>
      </c>
      <c r="C703">
        <v>157.63</v>
      </c>
      <c r="D703">
        <v>155.63</v>
      </c>
      <c r="E703">
        <v>156.63</v>
      </c>
      <c r="F703">
        <v>183.1</v>
      </c>
      <c r="G703">
        <v>180.1</v>
      </c>
      <c r="H703">
        <v>181.6</v>
      </c>
      <c r="I703">
        <v>113.18</v>
      </c>
      <c r="J703">
        <v>109.98</v>
      </c>
      <c r="K703">
        <v>111.58000000000001</v>
      </c>
      <c r="L703">
        <v>211.33</v>
      </c>
      <c r="M703">
        <v>203.33</v>
      </c>
      <c r="N703">
        <v>207.33</v>
      </c>
      <c r="O703">
        <v>195.45</v>
      </c>
      <c r="P703">
        <v>193.64999999999998</v>
      </c>
      <c r="Q703">
        <v>194.54999999999998</v>
      </c>
      <c r="R703">
        <v>24.61</v>
      </c>
      <c r="S703">
        <v>24.009999999999998</v>
      </c>
      <c r="T703">
        <v>24.31</v>
      </c>
      <c r="U703">
        <v>15.72</v>
      </c>
      <c r="V703">
        <v>15.120000000000001</v>
      </c>
      <c r="W703">
        <v>15.420000000000002</v>
      </c>
      <c r="X703">
        <v>16.940000000000001</v>
      </c>
      <c r="Y703">
        <v>16.14</v>
      </c>
      <c r="Z703">
        <v>16.54</v>
      </c>
      <c r="AA703">
        <v>104.36</v>
      </c>
      <c r="AB703">
        <v>100.36</v>
      </c>
      <c r="AC703">
        <v>102.36</v>
      </c>
      <c r="AD703">
        <v>91.64</v>
      </c>
      <c r="AE703">
        <v>87.64</v>
      </c>
      <c r="AF703">
        <v>89.64</v>
      </c>
      <c r="AG703">
        <v>20.56</v>
      </c>
      <c r="AH703">
        <v>19.7</v>
      </c>
      <c r="AI703">
        <v>20.13</v>
      </c>
      <c r="AM703">
        <v>121.6</v>
      </c>
      <c r="AN703">
        <v>119.94</v>
      </c>
      <c r="AO703">
        <v>120.77</v>
      </c>
      <c r="AP703">
        <v>42.63</v>
      </c>
      <c r="AQ703">
        <v>41.03</v>
      </c>
      <c r="AR703">
        <v>41.83</v>
      </c>
      <c r="AS703">
        <v>43.42</v>
      </c>
      <c r="AT703">
        <v>42.06</v>
      </c>
      <c r="AU703">
        <v>42.74</v>
      </c>
      <c r="AV703">
        <v>22.43</v>
      </c>
      <c r="AW703">
        <v>21.83</v>
      </c>
      <c r="AX703">
        <v>22.13</v>
      </c>
      <c r="AY703">
        <v>4.93</v>
      </c>
      <c r="AZ703">
        <v>4.7699999999999996</v>
      </c>
      <c r="BA703">
        <v>4.8499999999999996</v>
      </c>
      <c r="BB703">
        <v>1.92</v>
      </c>
      <c r="BC703">
        <v>1.6199999999999999</v>
      </c>
      <c r="BD703">
        <v>1.77</v>
      </c>
      <c r="BE703">
        <v>0.72</v>
      </c>
      <c r="BF703">
        <v>0.42</v>
      </c>
      <c r="BG703">
        <v>0.56999999999999995</v>
      </c>
      <c r="BH703">
        <v>519.19000000000005</v>
      </c>
      <c r="BI703">
        <v>503.19000000000005</v>
      </c>
      <c r="BJ703">
        <v>511.19000000000005</v>
      </c>
      <c r="BK703">
        <v>43.75</v>
      </c>
      <c r="BL703">
        <v>42.39</v>
      </c>
      <c r="BM703">
        <v>43.07</v>
      </c>
      <c r="BN703">
        <v>1.06</v>
      </c>
      <c r="BO703">
        <v>0.82000000000000006</v>
      </c>
      <c r="BP703">
        <v>0.94000000000000006</v>
      </c>
      <c r="BQ703">
        <v>9.5299999999999994</v>
      </c>
      <c r="BR703">
        <v>7.5299999999999994</v>
      </c>
      <c r="BS703">
        <v>8.5299999999999994</v>
      </c>
      <c r="BT703">
        <v>10.9</v>
      </c>
      <c r="BU703">
        <v>10.5</v>
      </c>
      <c r="BV703">
        <v>10.7</v>
      </c>
      <c r="BW703">
        <v>2.82</v>
      </c>
      <c r="BX703">
        <v>2.54</v>
      </c>
      <c r="BY703">
        <v>2.6799999999999997</v>
      </c>
      <c r="BZ703">
        <v>10.63</v>
      </c>
      <c r="CA703">
        <v>7.6300000000000008</v>
      </c>
      <c r="CB703">
        <v>9.1300000000000008</v>
      </c>
      <c r="CC703">
        <v>7.64</v>
      </c>
      <c r="CD703">
        <v>7.3999999999999995</v>
      </c>
      <c r="CE703">
        <v>7.52</v>
      </c>
      <c r="CF703">
        <v>2.27</v>
      </c>
      <c r="CG703">
        <v>1.77</v>
      </c>
      <c r="CH703">
        <v>2.02</v>
      </c>
      <c r="CI703">
        <v>0.5</v>
      </c>
      <c r="CJ703">
        <v>0.46</v>
      </c>
      <c r="CK703">
        <v>0.48</v>
      </c>
      <c r="CL703">
        <v>44.18</v>
      </c>
      <c r="CM703">
        <v>41.78</v>
      </c>
      <c r="CN703">
        <v>42.980000000000004</v>
      </c>
      <c r="CO703">
        <v>6.19</v>
      </c>
      <c r="CP703">
        <v>1.1900000000000004</v>
      </c>
      <c r="CQ703">
        <v>3.6900000000000004</v>
      </c>
    </row>
    <row r="704" spans="1:95">
      <c r="A704" s="228">
        <v>45990</v>
      </c>
      <c r="B704" t="s">
        <v>307</v>
      </c>
    </row>
    <row r="705" spans="1:95">
      <c r="A705" s="228">
        <v>45991</v>
      </c>
      <c r="B705" t="s">
        <v>308</v>
      </c>
    </row>
    <row r="706" spans="1:95">
      <c r="A706" s="228">
        <v>45992</v>
      </c>
      <c r="B706" t="s">
        <v>96</v>
      </c>
      <c r="C706">
        <v>156.87</v>
      </c>
      <c r="D706">
        <v>154.87</v>
      </c>
      <c r="E706">
        <v>155.87</v>
      </c>
      <c r="F706">
        <v>182.37</v>
      </c>
      <c r="G706">
        <v>179.37</v>
      </c>
      <c r="H706">
        <v>180.87</v>
      </c>
      <c r="I706">
        <v>113.14</v>
      </c>
      <c r="J706">
        <v>109.94</v>
      </c>
      <c r="K706">
        <v>111.53999999999999</v>
      </c>
      <c r="L706">
        <v>210.42</v>
      </c>
      <c r="M706">
        <v>202.42</v>
      </c>
      <c r="N706">
        <v>206.42</v>
      </c>
      <c r="O706">
        <v>194.94</v>
      </c>
      <c r="P706">
        <v>193.14</v>
      </c>
      <c r="Q706">
        <v>194.04</v>
      </c>
      <c r="R706">
        <v>24.52</v>
      </c>
      <c r="S706">
        <v>23.919999999999998</v>
      </c>
      <c r="T706">
        <v>24.22</v>
      </c>
      <c r="U706">
        <v>15.7</v>
      </c>
      <c r="V706">
        <v>15.1</v>
      </c>
      <c r="W706">
        <v>15.399999999999999</v>
      </c>
      <c r="X706">
        <v>16.89</v>
      </c>
      <c r="Y706">
        <v>16.09</v>
      </c>
      <c r="Z706">
        <v>16.490000000000002</v>
      </c>
      <c r="AA706">
        <v>103.95</v>
      </c>
      <c r="AB706">
        <v>99.95</v>
      </c>
      <c r="AC706">
        <v>101.95</v>
      </c>
      <c r="AD706">
        <v>91.31</v>
      </c>
      <c r="AE706">
        <v>87.31</v>
      </c>
      <c r="AF706">
        <v>89.31</v>
      </c>
      <c r="AG706">
        <v>20.440000000000001</v>
      </c>
      <c r="AH706">
        <v>19.580000000000002</v>
      </c>
      <c r="AI706">
        <v>20.010000000000002</v>
      </c>
      <c r="AM706">
        <v>121.1</v>
      </c>
      <c r="AN706">
        <v>119.44</v>
      </c>
      <c r="AO706">
        <v>120.27</v>
      </c>
      <c r="AP706">
        <v>42.43</v>
      </c>
      <c r="AQ706">
        <v>40.83</v>
      </c>
      <c r="AR706">
        <v>41.629999999999995</v>
      </c>
      <c r="AS706">
        <v>43.21</v>
      </c>
      <c r="AT706">
        <v>41.85</v>
      </c>
      <c r="AU706">
        <v>42.53</v>
      </c>
      <c r="AV706">
        <v>22.35</v>
      </c>
      <c r="AW706">
        <v>21.75</v>
      </c>
      <c r="AX706">
        <v>22.05</v>
      </c>
      <c r="AY706">
        <v>4.93</v>
      </c>
      <c r="AZ706">
        <v>4.7699999999999996</v>
      </c>
      <c r="BA706">
        <v>4.8499999999999996</v>
      </c>
      <c r="BB706">
        <v>1.91</v>
      </c>
      <c r="BC706">
        <v>1.6099999999999999</v>
      </c>
      <c r="BD706">
        <v>1.7599999999999998</v>
      </c>
      <c r="BE706">
        <v>0.71</v>
      </c>
      <c r="BF706">
        <v>0.41</v>
      </c>
      <c r="BG706">
        <v>0.55999999999999994</v>
      </c>
      <c r="BH706">
        <v>516.88</v>
      </c>
      <c r="BI706">
        <v>500.88</v>
      </c>
      <c r="BJ706">
        <v>508.88</v>
      </c>
      <c r="BK706">
        <v>43.54</v>
      </c>
      <c r="BL706">
        <v>42.18</v>
      </c>
      <c r="BM706">
        <v>42.86</v>
      </c>
      <c r="BN706">
        <v>1.06</v>
      </c>
      <c r="BO706">
        <v>0.82000000000000006</v>
      </c>
      <c r="BP706">
        <v>0.94000000000000006</v>
      </c>
      <c r="BQ706">
        <v>9.52</v>
      </c>
      <c r="BR706">
        <v>7.52</v>
      </c>
      <c r="BS706">
        <v>8.52</v>
      </c>
      <c r="BT706">
        <v>10.82</v>
      </c>
      <c r="BU706">
        <v>10.42</v>
      </c>
      <c r="BV706">
        <v>10.620000000000001</v>
      </c>
      <c r="BW706">
        <v>2.81</v>
      </c>
      <c r="BX706">
        <v>2.5300000000000002</v>
      </c>
      <c r="BY706">
        <v>2.67</v>
      </c>
      <c r="BZ706">
        <v>10.6</v>
      </c>
      <c r="CA706">
        <v>7.6</v>
      </c>
      <c r="CB706">
        <v>9.1</v>
      </c>
      <c r="CC706">
        <v>7.61</v>
      </c>
      <c r="CD706">
        <v>7.37</v>
      </c>
      <c r="CE706">
        <v>7.49</v>
      </c>
      <c r="CF706">
        <v>2.27</v>
      </c>
      <c r="CG706">
        <v>1.77</v>
      </c>
      <c r="CH706">
        <v>2.02</v>
      </c>
      <c r="CI706">
        <v>0.49</v>
      </c>
      <c r="CJ706">
        <v>0.45</v>
      </c>
      <c r="CK706">
        <v>0.47</v>
      </c>
      <c r="CL706">
        <v>43.93</v>
      </c>
      <c r="CM706">
        <v>41.53</v>
      </c>
      <c r="CN706">
        <v>42.730000000000004</v>
      </c>
      <c r="CO706">
        <v>6.17</v>
      </c>
      <c r="CP706">
        <v>1.17</v>
      </c>
      <c r="CQ706">
        <v>3.67</v>
      </c>
    </row>
    <row r="707" spans="1:95">
      <c r="A707" s="228">
        <v>45993</v>
      </c>
      <c r="B707" t="s">
        <v>97</v>
      </c>
      <c r="C707">
        <v>156.69999999999999</v>
      </c>
      <c r="D707">
        <v>154.69999999999999</v>
      </c>
      <c r="E707">
        <v>155.69999999999999</v>
      </c>
      <c r="F707">
        <v>182.16</v>
      </c>
      <c r="G707">
        <v>179.16</v>
      </c>
      <c r="H707">
        <v>180.66</v>
      </c>
      <c r="I707">
        <v>112.8</v>
      </c>
      <c r="J707">
        <v>109.6</v>
      </c>
      <c r="K707">
        <v>111.19999999999999</v>
      </c>
      <c r="L707">
        <v>209.66</v>
      </c>
      <c r="M707">
        <v>201.66</v>
      </c>
      <c r="N707">
        <v>205.66</v>
      </c>
      <c r="O707">
        <v>194.34</v>
      </c>
      <c r="P707">
        <v>192.54</v>
      </c>
      <c r="Q707">
        <v>193.44</v>
      </c>
      <c r="R707">
        <v>24.49</v>
      </c>
      <c r="S707">
        <v>23.889999999999997</v>
      </c>
      <c r="T707">
        <v>24.189999999999998</v>
      </c>
      <c r="U707">
        <v>15.66</v>
      </c>
      <c r="V707">
        <v>15.06</v>
      </c>
      <c r="W707">
        <v>15.36</v>
      </c>
      <c r="X707">
        <v>16.87</v>
      </c>
      <c r="Y707">
        <v>16.07</v>
      </c>
      <c r="Z707">
        <v>16.47</v>
      </c>
      <c r="AA707">
        <v>103.84</v>
      </c>
      <c r="AB707">
        <v>99.84</v>
      </c>
      <c r="AC707">
        <v>101.84</v>
      </c>
      <c r="AD707">
        <v>91.08</v>
      </c>
      <c r="AE707">
        <v>87.08</v>
      </c>
      <c r="AF707">
        <v>89.08</v>
      </c>
      <c r="AG707">
        <v>20.420000000000002</v>
      </c>
      <c r="AH707">
        <v>19.560000000000002</v>
      </c>
      <c r="AI707">
        <v>19.990000000000002</v>
      </c>
      <c r="AM707">
        <v>120.89</v>
      </c>
      <c r="AN707">
        <v>119.23</v>
      </c>
      <c r="AO707">
        <v>120.06</v>
      </c>
      <c r="AP707">
        <v>42.38</v>
      </c>
      <c r="AQ707">
        <v>40.78</v>
      </c>
      <c r="AR707">
        <v>41.58</v>
      </c>
      <c r="AS707">
        <v>43.16</v>
      </c>
      <c r="AT707">
        <v>41.8</v>
      </c>
      <c r="AU707">
        <v>42.48</v>
      </c>
      <c r="AV707">
        <v>22.31</v>
      </c>
      <c r="AW707">
        <v>21.709999999999997</v>
      </c>
      <c r="AX707">
        <v>22.009999999999998</v>
      </c>
      <c r="AY707">
        <v>4.9400000000000004</v>
      </c>
      <c r="AZ707">
        <v>4.78</v>
      </c>
      <c r="BA707">
        <v>4.8600000000000003</v>
      </c>
      <c r="BB707">
        <v>1.9</v>
      </c>
      <c r="BC707">
        <v>1.5999999999999999</v>
      </c>
      <c r="BD707">
        <v>1.75</v>
      </c>
      <c r="BE707">
        <v>0.71</v>
      </c>
      <c r="BF707">
        <v>0.41</v>
      </c>
      <c r="BG707">
        <v>0.55999999999999994</v>
      </c>
      <c r="BH707">
        <v>516.16</v>
      </c>
      <c r="BI707">
        <v>500.15999999999997</v>
      </c>
      <c r="BJ707">
        <v>508.15999999999997</v>
      </c>
      <c r="BK707">
        <v>43.48</v>
      </c>
      <c r="BL707">
        <v>42.12</v>
      </c>
      <c r="BM707">
        <v>42.8</v>
      </c>
      <c r="BN707">
        <v>1.06</v>
      </c>
      <c r="BO707">
        <v>0.82000000000000006</v>
      </c>
      <c r="BP707">
        <v>0.94000000000000006</v>
      </c>
      <c r="BQ707">
        <v>9.51</v>
      </c>
      <c r="BR707">
        <v>7.51</v>
      </c>
      <c r="BS707">
        <v>8.51</v>
      </c>
      <c r="BT707">
        <v>10.79</v>
      </c>
      <c r="BU707">
        <v>10.389999999999999</v>
      </c>
      <c r="BV707">
        <v>10.59</v>
      </c>
      <c r="BW707">
        <v>2.81</v>
      </c>
      <c r="BX707">
        <v>2.5300000000000002</v>
      </c>
      <c r="BY707">
        <v>2.67</v>
      </c>
      <c r="BZ707">
        <v>10.61</v>
      </c>
      <c r="CA707">
        <v>7.6099999999999994</v>
      </c>
      <c r="CB707">
        <v>9.11</v>
      </c>
      <c r="CC707">
        <v>7.6</v>
      </c>
      <c r="CD707">
        <v>7.3599999999999994</v>
      </c>
      <c r="CE707">
        <v>7.4799999999999995</v>
      </c>
      <c r="CF707">
        <v>2.2599999999999998</v>
      </c>
      <c r="CG707">
        <v>1.7599999999999998</v>
      </c>
      <c r="CH707">
        <v>2.0099999999999998</v>
      </c>
      <c r="CI707">
        <v>0.49</v>
      </c>
      <c r="CJ707">
        <v>0.45</v>
      </c>
      <c r="CK707">
        <v>0.47</v>
      </c>
      <c r="CL707">
        <v>43.93</v>
      </c>
      <c r="CM707">
        <v>41.53</v>
      </c>
      <c r="CN707">
        <v>42.730000000000004</v>
      </c>
      <c r="CO707">
        <v>6.17</v>
      </c>
      <c r="CP707">
        <v>1.17</v>
      </c>
      <c r="CQ707">
        <v>3.67</v>
      </c>
    </row>
    <row r="708" spans="1:95">
      <c r="A708" s="228">
        <v>45994</v>
      </c>
      <c r="B708" t="s">
        <v>98</v>
      </c>
      <c r="C708">
        <v>156.84</v>
      </c>
      <c r="D708">
        <v>154.84</v>
      </c>
      <c r="E708">
        <v>155.84</v>
      </c>
      <c r="F708">
        <v>182.74</v>
      </c>
      <c r="G708">
        <v>179.74</v>
      </c>
      <c r="H708">
        <v>181.24</v>
      </c>
      <c r="I708">
        <v>113.16</v>
      </c>
      <c r="J708">
        <v>109.96</v>
      </c>
      <c r="K708">
        <v>111.56</v>
      </c>
      <c r="L708">
        <v>210.05</v>
      </c>
      <c r="M708">
        <v>202.05</v>
      </c>
      <c r="N708">
        <v>206.05</v>
      </c>
      <c r="O708">
        <v>195.12</v>
      </c>
      <c r="P708">
        <v>193.32</v>
      </c>
      <c r="Q708">
        <v>194.22</v>
      </c>
      <c r="R708">
        <v>24.57</v>
      </c>
      <c r="S708">
        <v>23.97</v>
      </c>
      <c r="T708">
        <v>24.27</v>
      </c>
      <c r="U708">
        <v>15.69</v>
      </c>
      <c r="V708">
        <v>15.09</v>
      </c>
      <c r="W708">
        <v>15.39</v>
      </c>
      <c r="X708">
        <v>16.940000000000001</v>
      </c>
      <c r="Y708">
        <v>16.14</v>
      </c>
      <c r="Z708">
        <v>16.54</v>
      </c>
      <c r="AA708">
        <v>104.36</v>
      </c>
      <c r="AB708">
        <v>100.36</v>
      </c>
      <c r="AC708">
        <v>102.36</v>
      </c>
      <c r="AD708">
        <v>91.45</v>
      </c>
      <c r="AE708">
        <v>87.45</v>
      </c>
      <c r="AF708">
        <v>89.45</v>
      </c>
      <c r="AG708">
        <v>20.45</v>
      </c>
      <c r="AH708">
        <v>19.59</v>
      </c>
      <c r="AI708">
        <v>20.02</v>
      </c>
      <c r="AM708">
        <v>121.06</v>
      </c>
      <c r="AN708">
        <v>119.4</v>
      </c>
      <c r="AO708">
        <v>120.23</v>
      </c>
      <c r="AP708">
        <v>42.4</v>
      </c>
      <c r="AQ708">
        <v>40.799999999999997</v>
      </c>
      <c r="AR708">
        <v>41.599999999999994</v>
      </c>
      <c r="AS708">
        <v>43.2</v>
      </c>
      <c r="AT708">
        <v>41.84</v>
      </c>
      <c r="AU708">
        <v>42.52</v>
      </c>
      <c r="AV708">
        <v>22.36</v>
      </c>
      <c r="AW708">
        <v>21.759999999999998</v>
      </c>
      <c r="AX708">
        <v>22.06</v>
      </c>
      <c r="AY708">
        <v>4.95</v>
      </c>
      <c r="AZ708">
        <v>4.79</v>
      </c>
      <c r="BA708">
        <v>4.87</v>
      </c>
      <c r="BB708">
        <v>1.9</v>
      </c>
      <c r="BC708">
        <v>1.5999999999999999</v>
      </c>
      <c r="BD708">
        <v>1.75</v>
      </c>
      <c r="BE708">
        <v>0.71</v>
      </c>
      <c r="BF708">
        <v>0.41</v>
      </c>
      <c r="BG708">
        <v>0.55999999999999994</v>
      </c>
      <c r="BH708">
        <v>516.78</v>
      </c>
      <c r="BI708">
        <v>500.78</v>
      </c>
      <c r="BJ708">
        <v>508.78</v>
      </c>
      <c r="BK708">
        <v>43.53</v>
      </c>
      <c r="BL708">
        <v>42.17</v>
      </c>
      <c r="BM708">
        <v>42.85</v>
      </c>
      <c r="BN708">
        <v>1.06</v>
      </c>
      <c r="BO708">
        <v>0.82000000000000006</v>
      </c>
      <c r="BP708">
        <v>0.94000000000000006</v>
      </c>
      <c r="BQ708">
        <v>9.5299999999999994</v>
      </c>
      <c r="BR708">
        <v>7.5299999999999994</v>
      </c>
      <c r="BS708">
        <v>8.5299999999999994</v>
      </c>
      <c r="BT708">
        <v>10.82</v>
      </c>
      <c r="BU708">
        <v>10.42</v>
      </c>
      <c r="BV708">
        <v>10.620000000000001</v>
      </c>
      <c r="BW708">
        <v>2.81</v>
      </c>
      <c r="BX708">
        <v>2.5300000000000002</v>
      </c>
      <c r="BY708">
        <v>2.67</v>
      </c>
      <c r="BZ708">
        <v>10.6</v>
      </c>
      <c r="CA708">
        <v>7.6</v>
      </c>
      <c r="CB708">
        <v>9.1</v>
      </c>
      <c r="CC708">
        <v>7.63</v>
      </c>
      <c r="CD708">
        <v>7.39</v>
      </c>
      <c r="CE708">
        <v>7.51</v>
      </c>
      <c r="CF708">
        <v>2.2599999999999998</v>
      </c>
      <c r="CG708">
        <v>1.7599999999999998</v>
      </c>
      <c r="CH708">
        <v>2.0099999999999998</v>
      </c>
      <c r="CI708">
        <v>0.5</v>
      </c>
      <c r="CJ708">
        <v>0.46</v>
      </c>
      <c r="CK708">
        <v>0.48</v>
      </c>
      <c r="CL708">
        <v>44.04</v>
      </c>
      <c r="CM708">
        <v>41.64</v>
      </c>
      <c r="CN708">
        <v>42.84</v>
      </c>
      <c r="CO708">
        <v>6.17</v>
      </c>
      <c r="CP708">
        <v>1.17</v>
      </c>
      <c r="CQ708">
        <v>3.67</v>
      </c>
    </row>
    <row r="709" spans="1:95">
      <c r="A709" s="228">
        <v>45995</v>
      </c>
      <c r="B709" t="s">
        <v>99</v>
      </c>
      <c r="C709">
        <v>156.30000000000001</v>
      </c>
      <c r="D709">
        <v>154.30000000000001</v>
      </c>
      <c r="E709">
        <v>155.30000000000001</v>
      </c>
      <c r="F709">
        <v>182.61</v>
      </c>
      <c r="G709">
        <v>179.61</v>
      </c>
      <c r="H709">
        <v>181.11</v>
      </c>
      <c r="I709">
        <v>112.89</v>
      </c>
      <c r="J709">
        <v>109.69</v>
      </c>
      <c r="K709">
        <v>111.28999999999999</v>
      </c>
      <c r="L709">
        <v>211.19</v>
      </c>
      <c r="M709">
        <v>203.19</v>
      </c>
      <c r="N709">
        <v>207.19</v>
      </c>
      <c r="O709">
        <v>194.95</v>
      </c>
      <c r="P709">
        <v>193.14999999999998</v>
      </c>
      <c r="Q709">
        <v>194.04999999999998</v>
      </c>
      <c r="R709">
        <v>24.55</v>
      </c>
      <c r="S709">
        <v>23.95</v>
      </c>
      <c r="T709">
        <v>24.25</v>
      </c>
      <c r="U709">
        <v>15.74</v>
      </c>
      <c r="V709">
        <v>15.14</v>
      </c>
      <c r="W709">
        <v>15.440000000000001</v>
      </c>
      <c r="X709">
        <v>16.96</v>
      </c>
      <c r="Y709">
        <v>16.16</v>
      </c>
      <c r="Z709">
        <v>16.560000000000002</v>
      </c>
      <c r="AA709">
        <v>104.62</v>
      </c>
      <c r="AB709">
        <v>100.62</v>
      </c>
      <c r="AC709">
        <v>102.62</v>
      </c>
      <c r="AD709">
        <v>91.67</v>
      </c>
      <c r="AE709">
        <v>87.67</v>
      </c>
      <c r="AF709">
        <v>89.67</v>
      </c>
      <c r="AG709">
        <v>20.38</v>
      </c>
      <c r="AH709">
        <v>19.52</v>
      </c>
      <c r="AI709">
        <v>19.95</v>
      </c>
      <c r="AM709">
        <v>120.81</v>
      </c>
      <c r="AN709">
        <v>119.15</v>
      </c>
      <c r="AO709">
        <v>119.98</v>
      </c>
      <c r="AP709">
        <v>42.27</v>
      </c>
      <c r="AQ709">
        <v>40.67</v>
      </c>
      <c r="AR709">
        <v>41.47</v>
      </c>
      <c r="AS709">
        <v>43.05</v>
      </c>
      <c r="AT709">
        <v>41.69</v>
      </c>
      <c r="AU709">
        <v>42.37</v>
      </c>
      <c r="AV709">
        <v>22.3</v>
      </c>
      <c r="AW709">
        <v>21.7</v>
      </c>
      <c r="AX709">
        <v>22</v>
      </c>
      <c r="AY709">
        <v>4.96</v>
      </c>
      <c r="AZ709">
        <v>4.8</v>
      </c>
      <c r="BA709">
        <v>4.88</v>
      </c>
      <c r="BB709">
        <v>1.89</v>
      </c>
      <c r="BC709">
        <v>1.5899999999999999</v>
      </c>
      <c r="BD709">
        <v>1.7399999999999998</v>
      </c>
      <c r="BE709">
        <v>0.71</v>
      </c>
      <c r="BF709">
        <v>0.41</v>
      </c>
      <c r="BG709">
        <v>0.55999999999999994</v>
      </c>
      <c r="BH709">
        <v>515.17999999999995</v>
      </c>
      <c r="BI709">
        <v>499.17999999999995</v>
      </c>
      <c r="BJ709">
        <v>507.17999999999995</v>
      </c>
      <c r="BK709">
        <v>43.38</v>
      </c>
      <c r="BL709">
        <v>42.02</v>
      </c>
      <c r="BM709">
        <v>42.7</v>
      </c>
      <c r="BN709">
        <v>1.05</v>
      </c>
      <c r="BO709">
        <v>0.81</v>
      </c>
      <c r="BP709">
        <v>0.93</v>
      </c>
      <c r="BQ709">
        <v>9.5</v>
      </c>
      <c r="BR709">
        <v>7.5</v>
      </c>
      <c r="BS709">
        <v>8.5</v>
      </c>
      <c r="BT709">
        <v>10.8</v>
      </c>
      <c r="BU709">
        <v>10.4</v>
      </c>
      <c r="BV709">
        <v>10.600000000000001</v>
      </c>
      <c r="BW709">
        <v>2.79</v>
      </c>
      <c r="BX709">
        <v>2.5099999999999998</v>
      </c>
      <c r="BY709">
        <v>2.65</v>
      </c>
      <c r="BZ709">
        <v>10.62</v>
      </c>
      <c r="CA709">
        <v>7.6199999999999992</v>
      </c>
      <c r="CB709">
        <v>9.1199999999999992</v>
      </c>
      <c r="CC709">
        <v>7.64</v>
      </c>
      <c r="CD709">
        <v>7.3999999999999995</v>
      </c>
      <c r="CE709">
        <v>7.52</v>
      </c>
      <c r="CF709">
        <v>2.2599999999999998</v>
      </c>
      <c r="CG709">
        <v>1.7599999999999998</v>
      </c>
      <c r="CH709">
        <v>2.0099999999999998</v>
      </c>
      <c r="CI709">
        <v>0.5</v>
      </c>
      <c r="CJ709">
        <v>0.46</v>
      </c>
      <c r="CK709">
        <v>0.48</v>
      </c>
      <c r="CL709">
        <v>44.09</v>
      </c>
      <c r="CM709">
        <v>41.690000000000005</v>
      </c>
      <c r="CN709">
        <v>42.89</v>
      </c>
      <c r="CO709">
        <v>6.16</v>
      </c>
      <c r="CP709">
        <v>1.1600000000000001</v>
      </c>
      <c r="CQ709">
        <v>3.66</v>
      </c>
    </row>
    <row r="710" spans="1:95">
      <c r="A710" s="228">
        <v>45996</v>
      </c>
      <c r="B710" t="s">
        <v>100</v>
      </c>
      <c r="C710">
        <v>156.12</v>
      </c>
      <c r="D710">
        <v>154.12</v>
      </c>
      <c r="E710">
        <v>155.12</v>
      </c>
      <c r="F710">
        <v>182.18</v>
      </c>
      <c r="G710">
        <v>179.18</v>
      </c>
      <c r="H710">
        <v>180.68</v>
      </c>
      <c r="I710">
        <v>112.74</v>
      </c>
      <c r="J710">
        <v>109.53999999999999</v>
      </c>
      <c r="K710">
        <v>111.13999999999999</v>
      </c>
      <c r="L710">
        <v>210.73</v>
      </c>
      <c r="M710">
        <v>202.73</v>
      </c>
      <c r="N710">
        <v>206.73</v>
      </c>
      <c r="O710">
        <v>193.93</v>
      </c>
      <c r="P710">
        <v>192.13</v>
      </c>
      <c r="Q710">
        <v>193.03</v>
      </c>
      <c r="R710">
        <v>24.49</v>
      </c>
      <c r="S710">
        <v>23.889999999999997</v>
      </c>
      <c r="T710">
        <v>24.189999999999998</v>
      </c>
      <c r="U710">
        <v>15.65</v>
      </c>
      <c r="V710">
        <v>15.05</v>
      </c>
      <c r="W710">
        <v>15.350000000000001</v>
      </c>
      <c r="X710">
        <v>16.87</v>
      </c>
      <c r="Y710">
        <v>16.07</v>
      </c>
      <c r="Z710">
        <v>16.47</v>
      </c>
      <c r="AA710">
        <v>104.55</v>
      </c>
      <c r="AB710">
        <v>100.55</v>
      </c>
      <c r="AC710">
        <v>102.55</v>
      </c>
      <c r="AD710">
        <v>91.4</v>
      </c>
      <c r="AE710">
        <v>87.4</v>
      </c>
      <c r="AF710">
        <v>89.4</v>
      </c>
      <c r="AG710">
        <v>20.36</v>
      </c>
      <c r="AH710">
        <v>19.5</v>
      </c>
      <c r="AI710">
        <v>19.93</v>
      </c>
      <c r="AM710">
        <v>120.5</v>
      </c>
      <c r="AN710">
        <v>118.84</v>
      </c>
      <c r="AO710">
        <v>119.67</v>
      </c>
      <c r="AP710">
        <v>42.22</v>
      </c>
      <c r="AQ710">
        <v>40.619999999999997</v>
      </c>
      <c r="AR710">
        <v>41.42</v>
      </c>
      <c r="AS710">
        <v>43</v>
      </c>
      <c r="AT710">
        <v>41.64</v>
      </c>
      <c r="AU710">
        <v>42.32</v>
      </c>
      <c r="AV710">
        <v>22.24</v>
      </c>
      <c r="AW710">
        <v>21.639999999999997</v>
      </c>
      <c r="AX710">
        <v>21.939999999999998</v>
      </c>
      <c r="AY710">
        <v>4.91</v>
      </c>
      <c r="AZ710">
        <v>4.75</v>
      </c>
      <c r="BA710">
        <v>4.83</v>
      </c>
      <c r="BB710">
        <v>1.89</v>
      </c>
      <c r="BC710">
        <v>1.5899999999999999</v>
      </c>
      <c r="BD710">
        <v>1.7399999999999998</v>
      </c>
      <c r="BE710">
        <v>0.71</v>
      </c>
      <c r="BF710">
        <v>0.41</v>
      </c>
      <c r="BG710">
        <v>0.55999999999999994</v>
      </c>
      <c r="BH710">
        <v>512.29</v>
      </c>
      <c r="BI710">
        <v>496.28999999999996</v>
      </c>
      <c r="BJ710">
        <v>504.28999999999996</v>
      </c>
      <c r="BK710">
        <v>43.33</v>
      </c>
      <c r="BL710">
        <v>41.97</v>
      </c>
      <c r="BM710">
        <v>42.65</v>
      </c>
      <c r="BN710">
        <v>1.06</v>
      </c>
      <c r="BO710">
        <v>0.82000000000000006</v>
      </c>
      <c r="BP710">
        <v>0.94000000000000006</v>
      </c>
      <c r="BQ710">
        <v>9.51</v>
      </c>
      <c r="BR710">
        <v>7.51</v>
      </c>
      <c r="BS710">
        <v>8.51</v>
      </c>
      <c r="BT710">
        <v>10.74</v>
      </c>
      <c r="BU710">
        <v>10.34</v>
      </c>
      <c r="BV710">
        <v>10.54</v>
      </c>
      <c r="BW710">
        <v>2.78</v>
      </c>
      <c r="BX710">
        <v>2.5</v>
      </c>
      <c r="BY710">
        <v>2.6399999999999997</v>
      </c>
      <c r="BZ710">
        <v>10.63</v>
      </c>
      <c r="CA710">
        <v>7.6300000000000008</v>
      </c>
      <c r="CB710">
        <v>9.1300000000000008</v>
      </c>
      <c r="CC710">
        <v>7.59</v>
      </c>
      <c r="CD710">
        <v>7.35</v>
      </c>
      <c r="CE710">
        <v>7.47</v>
      </c>
      <c r="CF710">
        <v>2.27</v>
      </c>
      <c r="CG710">
        <v>1.77</v>
      </c>
      <c r="CH710">
        <v>2.02</v>
      </c>
      <c r="CI710">
        <v>0.49</v>
      </c>
      <c r="CJ710">
        <v>0.45</v>
      </c>
      <c r="CK710">
        <v>0.47</v>
      </c>
      <c r="CL710">
        <v>43.91</v>
      </c>
      <c r="CM710">
        <v>41.51</v>
      </c>
      <c r="CN710">
        <v>42.709999999999994</v>
      </c>
      <c r="CO710">
        <v>6.16</v>
      </c>
      <c r="CP710">
        <v>1.1600000000000001</v>
      </c>
      <c r="CQ710">
        <v>3.66</v>
      </c>
    </row>
    <row r="711" spans="1:95">
      <c r="A711" s="228">
        <v>45997</v>
      </c>
      <c r="B711" t="s">
        <v>307</v>
      </c>
    </row>
    <row r="712" spans="1:95">
      <c r="A712" s="228">
        <v>45998</v>
      </c>
      <c r="B712" t="s">
        <v>308</v>
      </c>
    </row>
    <row r="713" spans="1:95">
      <c r="A713" s="228">
        <v>45999</v>
      </c>
      <c r="B713" t="s">
        <v>96</v>
      </c>
      <c r="C713">
        <v>156.24</v>
      </c>
      <c r="D713">
        <v>154.24</v>
      </c>
      <c r="E713">
        <v>155.24</v>
      </c>
      <c r="F713">
        <v>182.31</v>
      </c>
      <c r="G713">
        <v>179.31</v>
      </c>
      <c r="H713">
        <v>180.81</v>
      </c>
      <c r="I713">
        <v>113.86</v>
      </c>
      <c r="J713">
        <v>110.66</v>
      </c>
      <c r="K713">
        <v>112.25999999999999</v>
      </c>
      <c r="L713">
        <v>210.95</v>
      </c>
      <c r="M713">
        <v>202.95</v>
      </c>
      <c r="N713">
        <v>206.95</v>
      </c>
      <c r="O713">
        <v>193.96</v>
      </c>
      <c r="P713">
        <v>192.16</v>
      </c>
      <c r="Q713">
        <v>193.06</v>
      </c>
      <c r="R713">
        <v>24.51</v>
      </c>
      <c r="S713">
        <v>23.91</v>
      </c>
      <c r="T713">
        <v>24.21</v>
      </c>
      <c r="U713">
        <v>15.64</v>
      </c>
      <c r="V713">
        <v>15.040000000000001</v>
      </c>
      <c r="W713">
        <v>15.34</v>
      </c>
      <c r="X713">
        <v>16.93</v>
      </c>
      <c r="Y713">
        <v>16.13</v>
      </c>
      <c r="Z713">
        <v>16.53</v>
      </c>
      <c r="AA713">
        <v>105.06</v>
      </c>
      <c r="AB713">
        <v>101.06</v>
      </c>
      <c r="AC713">
        <v>103.06</v>
      </c>
      <c r="AD713">
        <v>91.74</v>
      </c>
      <c r="AE713">
        <v>87.74</v>
      </c>
      <c r="AF713">
        <v>89.74</v>
      </c>
      <c r="AG713">
        <v>20.38</v>
      </c>
      <c r="AH713">
        <v>19.52</v>
      </c>
      <c r="AI713">
        <v>19.95</v>
      </c>
      <c r="AM713">
        <v>120.67</v>
      </c>
      <c r="AN713">
        <v>119.01</v>
      </c>
      <c r="AO713">
        <v>119.84</v>
      </c>
      <c r="AP713">
        <v>42.24</v>
      </c>
      <c r="AQ713">
        <v>40.64</v>
      </c>
      <c r="AR713">
        <v>41.44</v>
      </c>
      <c r="AS713">
        <v>43.04</v>
      </c>
      <c r="AT713">
        <v>41.68</v>
      </c>
      <c r="AU713">
        <v>42.36</v>
      </c>
      <c r="AV713">
        <v>22.25</v>
      </c>
      <c r="AW713">
        <v>21.65</v>
      </c>
      <c r="AX713">
        <v>21.95</v>
      </c>
      <c r="AY713">
        <v>4.95</v>
      </c>
      <c r="AZ713">
        <v>4.79</v>
      </c>
      <c r="BA713">
        <v>4.87</v>
      </c>
      <c r="BB713">
        <v>1.89</v>
      </c>
      <c r="BC713">
        <v>1.5899999999999999</v>
      </c>
      <c r="BD713">
        <v>1.7399999999999998</v>
      </c>
      <c r="BE713">
        <v>0.71</v>
      </c>
      <c r="BF713">
        <v>0.41</v>
      </c>
      <c r="BG713">
        <v>0.55999999999999994</v>
      </c>
      <c r="BH713">
        <v>514.82000000000005</v>
      </c>
      <c r="BI713">
        <v>498.82000000000005</v>
      </c>
      <c r="BJ713">
        <v>506.82000000000005</v>
      </c>
      <c r="BK713">
        <v>43.35</v>
      </c>
      <c r="BL713">
        <v>41.99</v>
      </c>
      <c r="BM713">
        <v>42.67</v>
      </c>
      <c r="BN713">
        <v>1.06</v>
      </c>
      <c r="BO713">
        <v>0.82000000000000006</v>
      </c>
      <c r="BP713">
        <v>0.94000000000000006</v>
      </c>
      <c r="BQ713">
        <v>9.5500000000000007</v>
      </c>
      <c r="BR713">
        <v>7.5500000000000007</v>
      </c>
      <c r="BS713">
        <v>8.5500000000000007</v>
      </c>
      <c r="BT713">
        <v>10.77</v>
      </c>
      <c r="BU713">
        <v>10.37</v>
      </c>
      <c r="BV713">
        <v>10.57</v>
      </c>
      <c r="BW713">
        <v>2.79</v>
      </c>
      <c r="BX713">
        <v>2.5099999999999998</v>
      </c>
      <c r="BY713">
        <v>2.65</v>
      </c>
      <c r="BZ713">
        <v>10.67</v>
      </c>
      <c r="CA713">
        <v>7.67</v>
      </c>
      <c r="CB713">
        <v>9.17</v>
      </c>
      <c r="CC713">
        <v>7.59</v>
      </c>
      <c r="CD713">
        <v>7.35</v>
      </c>
      <c r="CE713">
        <v>7.47</v>
      </c>
      <c r="CF713">
        <v>2.2799999999999998</v>
      </c>
      <c r="CG713">
        <v>1.7799999999999998</v>
      </c>
      <c r="CH713">
        <v>2.0299999999999998</v>
      </c>
      <c r="CI713">
        <v>0.49</v>
      </c>
      <c r="CJ713">
        <v>0.45</v>
      </c>
      <c r="CK713">
        <v>0.47</v>
      </c>
      <c r="CL713">
        <v>43.98</v>
      </c>
      <c r="CM713">
        <v>41.58</v>
      </c>
      <c r="CN713">
        <v>42.78</v>
      </c>
      <c r="CO713">
        <v>6.15</v>
      </c>
      <c r="CP713">
        <v>1.1500000000000004</v>
      </c>
      <c r="CQ713">
        <v>3.6500000000000004</v>
      </c>
    </row>
    <row r="714" spans="1:95">
      <c r="A714" s="228">
        <v>46000</v>
      </c>
      <c r="B714" t="s">
        <v>97</v>
      </c>
      <c r="C714">
        <v>157.03</v>
      </c>
      <c r="D714">
        <v>155.03</v>
      </c>
      <c r="E714">
        <v>156.03</v>
      </c>
      <c r="F714">
        <v>183.09</v>
      </c>
      <c r="G714">
        <v>180.09</v>
      </c>
      <c r="H714">
        <v>181.59</v>
      </c>
      <c r="I714">
        <v>114.26</v>
      </c>
      <c r="J714">
        <v>111.06</v>
      </c>
      <c r="K714">
        <v>112.66</v>
      </c>
      <c r="L714">
        <v>211.91</v>
      </c>
      <c r="M714">
        <v>203.91</v>
      </c>
      <c r="N714">
        <v>207.91</v>
      </c>
      <c r="O714">
        <v>194.32</v>
      </c>
      <c r="P714">
        <v>192.51999999999998</v>
      </c>
      <c r="Q714">
        <v>193.42</v>
      </c>
      <c r="R714">
        <v>24.61</v>
      </c>
      <c r="S714">
        <v>24.009999999999998</v>
      </c>
      <c r="T714">
        <v>24.31</v>
      </c>
      <c r="U714">
        <v>15.71</v>
      </c>
      <c r="V714">
        <v>15.110000000000001</v>
      </c>
      <c r="W714">
        <v>15.41</v>
      </c>
      <c r="X714">
        <v>17.010000000000002</v>
      </c>
      <c r="Y714">
        <v>16.21</v>
      </c>
      <c r="Z714">
        <v>16.61</v>
      </c>
      <c r="AA714">
        <v>105.35</v>
      </c>
      <c r="AB714">
        <v>101.35</v>
      </c>
      <c r="AC714">
        <v>103.35</v>
      </c>
      <c r="AD714">
        <v>92.11</v>
      </c>
      <c r="AE714">
        <v>88.11</v>
      </c>
      <c r="AF714">
        <v>90.11</v>
      </c>
      <c r="AG714">
        <v>20.49</v>
      </c>
      <c r="AH714">
        <v>19.63</v>
      </c>
      <c r="AI714">
        <v>20.059999999999999</v>
      </c>
      <c r="AM714">
        <v>121.06</v>
      </c>
      <c r="AN714">
        <v>119.4</v>
      </c>
      <c r="AO714">
        <v>120.23</v>
      </c>
      <c r="AP714">
        <v>42.3</v>
      </c>
      <c r="AQ714">
        <v>40.699999999999996</v>
      </c>
      <c r="AR714">
        <v>41.5</v>
      </c>
      <c r="AS714">
        <v>43.25</v>
      </c>
      <c r="AT714">
        <v>41.89</v>
      </c>
      <c r="AU714">
        <v>42.57</v>
      </c>
      <c r="AV714">
        <v>22.37</v>
      </c>
      <c r="AW714">
        <v>21.77</v>
      </c>
      <c r="AX714">
        <v>22.07</v>
      </c>
      <c r="AY714">
        <v>4.97</v>
      </c>
      <c r="AZ714">
        <v>4.8099999999999996</v>
      </c>
      <c r="BA714">
        <v>4.8899999999999997</v>
      </c>
      <c r="BB714">
        <v>1.9</v>
      </c>
      <c r="BC714">
        <v>1.5999999999999999</v>
      </c>
      <c r="BD714">
        <v>1.75</v>
      </c>
      <c r="BE714">
        <v>0.71</v>
      </c>
      <c r="BF714">
        <v>0.41</v>
      </c>
      <c r="BG714">
        <v>0.55999999999999994</v>
      </c>
      <c r="BH714">
        <v>516.9</v>
      </c>
      <c r="BI714">
        <v>500.9</v>
      </c>
      <c r="BJ714">
        <v>508.9</v>
      </c>
      <c r="BK714">
        <v>43.58</v>
      </c>
      <c r="BL714">
        <v>42.22</v>
      </c>
      <c r="BM714">
        <v>42.9</v>
      </c>
      <c r="BN714">
        <v>1.06</v>
      </c>
      <c r="BO714">
        <v>0.82000000000000006</v>
      </c>
      <c r="BP714">
        <v>0.94000000000000006</v>
      </c>
      <c r="BQ714">
        <v>9.5500000000000007</v>
      </c>
      <c r="BR714">
        <v>7.5500000000000007</v>
      </c>
      <c r="BS714">
        <v>8.5500000000000007</v>
      </c>
      <c r="BT714">
        <v>10.82</v>
      </c>
      <c r="BU714">
        <v>10.42</v>
      </c>
      <c r="BV714">
        <v>10.620000000000001</v>
      </c>
      <c r="BW714">
        <v>2.8</v>
      </c>
      <c r="BX714">
        <v>2.5199999999999996</v>
      </c>
      <c r="BY714">
        <v>2.6599999999999997</v>
      </c>
      <c r="BZ714">
        <v>10.66</v>
      </c>
      <c r="CA714">
        <v>7.66</v>
      </c>
      <c r="CB714">
        <v>9.16</v>
      </c>
      <c r="CC714">
        <v>7.61</v>
      </c>
      <c r="CD714">
        <v>7.37</v>
      </c>
      <c r="CE714">
        <v>7.49</v>
      </c>
      <c r="CF714">
        <v>2.29</v>
      </c>
      <c r="CG714">
        <v>1.79</v>
      </c>
      <c r="CH714">
        <v>2.04</v>
      </c>
      <c r="CI714">
        <v>0.49</v>
      </c>
      <c r="CJ714">
        <v>0.45</v>
      </c>
      <c r="CK714">
        <v>0.47</v>
      </c>
      <c r="CL714">
        <v>44.07</v>
      </c>
      <c r="CM714">
        <v>41.67</v>
      </c>
      <c r="CN714">
        <v>42.870000000000005</v>
      </c>
      <c r="CO714">
        <v>6.17</v>
      </c>
      <c r="CP714">
        <v>1.17</v>
      </c>
      <c r="CQ714">
        <v>3.67</v>
      </c>
    </row>
    <row r="715" spans="1:95">
      <c r="A715" s="228">
        <v>46001</v>
      </c>
      <c r="B715" t="s">
        <v>98</v>
      </c>
      <c r="C715">
        <v>157.88</v>
      </c>
      <c r="D715">
        <v>155.88</v>
      </c>
      <c r="E715">
        <v>156.88</v>
      </c>
      <c r="F715">
        <v>183.89</v>
      </c>
      <c r="G715">
        <v>180.89</v>
      </c>
      <c r="H715">
        <v>182.39</v>
      </c>
      <c r="I715">
        <v>114.9</v>
      </c>
      <c r="J715">
        <v>111.7</v>
      </c>
      <c r="K715">
        <v>113.30000000000001</v>
      </c>
      <c r="L715">
        <v>212.7</v>
      </c>
      <c r="M715">
        <v>204.7</v>
      </c>
      <c r="N715">
        <v>208.7</v>
      </c>
      <c r="O715">
        <v>195.54</v>
      </c>
      <c r="P715">
        <v>193.73999999999998</v>
      </c>
      <c r="Q715">
        <v>194.64</v>
      </c>
      <c r="R715">
        <v>24.72</v>
      </c>
      <c r="S715">
        <v>24.119999999999997</v>
      </c>
      <c r="T715">
        <v>24.419999999999998</v>
      </c>
      <c r="U715">
        <v>15.76</v>
      </c>
      <c r="V715">
        <v>15.16</v>
      </c>
      <c r="W715">
        <v>15.46</v>
      </c>
      <c r="X715">
        <v>17.170000000000002</v>
      </c>
      <c r="Y715">
        <v>16.37</v>
      </c>
      <c r="Z715">
        <v>16.770000000000003</v>
      </c>
      <c r="AA715">
        <v>106.28</v>
      </c>
      <c r="AB715">
        <v>102.28</v>
      </c>
      <c r="AC715">
        <v>104.28</v>
      </c>
      <c r="AD715">
        <v>92.63</v>
      </c>
      <c r="AE715">
        <v>88.63</v>
      </c>
      <c r="AF715">
        <v>90.63</v>
      </c>
      <c r="AG715">
        <v>20.59</v>
      </c>
      <c r="AH715">
        <v>19.73</v>
      </c>
      <c r="AI715">
        <v>20.16</v>
      </c>
      <c r="AM715">
        <v>121.8</v>
      </c>
      <c r="AN715">
        <v>120.14</v>
      </c>
      <c r="AO715">
        <v>120.97</v>
      </c>
      <c r="AP715">
        <v>42.69</v>
      </c>
      <c r="AQ715">
        <v>41.089999999999996</v>
      </c>
      <c r="AR715">
        <v>41.89</v>
      </c>
      <c r="AS715">
        <v>43.48</v>
      </c>
      <c r="AT715">
        <v>42.12</v>
      </c>
      <c r="AU715">
        <v>42.8</v>
      </c>
      <c r="AV715">
        <v>22.51</v>
      </c>
      <c r="AW715">
        <v>21.91</v>
      </c>
      <c r="AX715">
        <v>22.21</v>
      </c>
      <c r="AY715">
        <v>5</v>
      </c>
      <c r="AZ715">
        <v>4.84</v>
      </c>
      <c r="BA715">
        <v>4.92</v>
      </c>
      <c r="BB715">
        <v>1.91</v>
      </c>
      <c r="BC715">
        <v>1.6099999999999999</v>
      </c>
      <c r="BD715">
        <v>1.7599999999999998</v>
      </c>
      <c r="BE715">
        <v>0.72</v>
      </c>
      <c r="BF715">
        <v>0.42</v>
      </c>
      <c r="BG715">
        <v>0.56999999999999995</v>
      </c>
      <c r="BH715">
        <v>519.84</v>
      </c>
      <c r="BI715">
        <v>503.84000000000003</v>
      </c>
      <c r="BJ715">
        <v>511.84000000000003</v>
      </c>
      <c r="BK715">
        <v>43.81</v>
      </c>
      <c r="BL715">
        <v>42.45</v>
      </c>
      <c r="BM715">
        <v>43.13</v>
      </c>
      <c r="BN715">
        <v>1.06</v>
      </c>
      <c r="BO715">
        <v>0.82000000000000006</v>
      </c>
      <c r="BP715">
        <v>0.94000000000000006</v>
      </c>
      <c r="BQ715">
        <v>9.6300000000000008</v>
      </c>
      <c r="BR715">
        <v>7.6300000000000008</v>
      </c>
      <c r="BS715">
        <v>8.6300000000000008</v>
      </c>
      <c r="BT715">
        <v>10.88</v>
      </c>
      <c r="BU715">
        <v>10.48</v>
      </c>
      <c r="BV715">
        <v>10.68</v>
      </c>
      <c r="BW715">
        <v>2.8</v>
      </c>
      <c r="BX715">
        <v>2.5199999999999996</v>
      </c>
      <c r="BY715">
        <v>2.6599999999999997</v>
      </c>
      <c r="BZ715">
        <v>10.71</v>
      </c>
      <c r="CA715">
        <v>7.7100000000000009</v>
      </c>
      <c r="CB715">
        <v>9.2100000000000009</v>
      </c>
      <c r="CC715">
        <v>7.64</v>
      </c>
      <c r="CD715">
        <v>7.3999999999999995</v>
      </c>
      <c r="CE715">
        <v>7.52</v>
      </c>
      <c r="CF715">
        <v>2.29</v>
      </c>
      <c r="CG715">
        <v>1.79</v>
      </c>
      <c r="CH715">
        <v>2.04</v>
      </c>
      <c r="CI715">
        <v>0.5</v>
      </c>
      <c r="CJ715">
        <v>0.46</v>
      </c>
      <c r="CK715">
        <v>0.48</v>
      </c>
      <c r="CL715">
        <v>44.34</v>
      </c>
      <c r="CM715">
        <v>41.940000000000005</v>
      </c>
      <c r="CN715">
        <v>43.14</v>
      </c>
      <c r="CO715">
        <v>6.19</v>
      </c>
      <c r="CP715">
        <v>1.1900000000000004</v>
      </c>
      <c r="CQ715">
        <v>3.6900000000000004</v>
      </c>
    </row>
    <row r="716" spans="1:95">
      <c r="A716" s="228">
        <v>46002</v>
      </c>
      <c r="B716" t="s">
        <v>99</v>
      </c>
      <c r="C716">
        <v>156.87</v>
      </c>
      <c r="D716">
        <v>154.87</v>
      </c>
      <c r="E716">
        <v>155.87</v>
      </c>
      <c r="F716">
        <v>183.87</v>
      </c>
      <c r="G716">
        <v>180.87</v>
      </c>
      <c r="H716">
        <v>182.37</v>
      </c>
      <c r="I716">
        <v>114.58</v>
      </c>
      <c r="J716">
        <v>111.38</v>
      </c>
      <c r="K716">
        <v>112.97999999999999</v>
      </c>
      <c r="L716">
        <v>212.6</v>
      </c>
      <c r="M716">
        <v>204.6</v>
      </c>
      <c r="N716">
        <v>208.6</v>
      </c>
      <c r="O716">
        <v>195.81</v>
      </c>
      <c r="P716">
        <v>194.01</v>
      </c>
      <c r="Q716">
        <v>194.91</v>
      </c>
      <c r="R716">
        <v>24.72</v>
      </c>
      <c r="S716">
        <v>24.119999999999997</v>
      </c>
      <c r="T716">
        <v>24.419999999999998</v>
      </c>
      <c r="U716">
        <v>15.76</v>
      </c>
      <c r="V716">
        <v>15.16</v>
      </c>
      <c r="W716">
        <v>15.46</v>
      </c>
      <c r="X716">
        <v>17.21</v>
      </c>
      <c r="Y716">
        <v>16.41</v>
      </c>
      <c r="Z716">
        <v>16.810000000000002</v>
      </c>
      <c r="AA716">
        <v>105.89</v>
      </c>
      <c r="AB716">
        <v>101.89</v>
      </c>
      <c r="AC716">
        <v>103.89</v>
      </c>
      <c r="AD716">
        <v>92.65</v>
      </c>
      <c r="AE716">
        <v>88.65</v>
      </c>
      <c r="AF716">
        <v>90.65</v>
      </c>
      <c r="AG716">
        <v>20.46</v>
      </c>
      <c r="AH716">
        <v>19.600000000000001</v>
      </c>
      <c r="AI716">
        <v>20.03</v>
      </c>
      <c r="AM716">
        <v>121.41</v>
      </c>
      <c r="AN716">
        <v>119.75</v>
      </c>
      <c r="AO716">
        <v>120.58</v>
      </c>
      <c r="AP716">
        <v>42.25</v>
      </c>
      <c r="AQ716">
        <v>40.65</v>
      </c>
      <c r="AR716">
        <v>41.45</v>
      </c>
      <c r="AS716">
        <v>43.21</v>
      </c>
      <c r="AT716">
        <v>41.85</v>
      </c>
      <c r="AU716">
        <v>42.53</v>
      </c>
      <c r="AV716">
        <v>22.38</v>
      </c>
      <c r="AW716">
        <v>21.779999999999998</v>
      </c>
      <c r="AX716">
        <v>22.08</v>
      </c>
      <c r="AY716">
        <v>5</v>
      </c>
      <c r="AZ716">
        <v>4.84</v>
      </c>
      <c r="BA716">
        <v>4.92</v>
      </c>
      <c r="BB716">
        <v>1.9</v>
      </c>
      <c r="BC716">
        <v>1.5999999999999999</v>
      </c>
      <c r="BD716">
        <v>1.75</v>
      </c>
      <c r="BE716">
        <v>0.71</v>
      </c>
      <c r="BF716">
        <v>0.41</v>
      </c>
      <c r="BG716">
        <v>0.55999999999999994</v>
      </c>
      <c r="BH716">
        <v>517.04999999999995</v>
      </c>
      <c r="BI716">
        <v>501.04999999999995</v>
      </c>
      <c r="BJ716">
        <v>509.04999999999995</v>
      </c>
      <c r="BK716">
        <v>43.54</v>
      </c>
      <c r="BL716">
        <v>42.18</v>
      </c>
      <c r="BM716">
        <v>42.86</v>
      </c>
      <c r="BN716">
        <v>1.06</v>
      </c>
      <c r="BO716">
        <v>0.82000000000000006</v>
      </c>
      <c r="BP716">
        <v>0.94000000000000006</v>
      </c>
      <c r="BQ716">
        <v>9.59</v>
      </c>
      <c r="BR716">
        <v>7.59</v>
      </c>
      <c r="BS716">
        <v>8.59</v>
      </c>
      <c r="BT716">
        <v>10.84</v>
      </c>
      <c r="BU716">
        <v>10.44</v>
      </c>
      <c r="BV716">
        <v>10.64</v>
      </c>
      <c r="BW716">
        <v>2.78</v>
      </c>
      <c r="BX716">
        <v>2.5</v>
      </c>
      <c r="BY716">
        <v>2.6399999999999997</v>
      </c>
      <c r="BZ716">
        <v>10.71</v>
      </c>
      <c r="CA716">
        <v>7.7100000000000009</v>
      </c>
      <c r="CB716">
        <v>9.2100000000000009</v>
      </c>
      <c r="CC716">
        <v>7.65</v>
      </c>
      <c r="CD716">
        <v>7.41</v>
      </c>
      <c r="CE716">
        <v>7.53</v>
      </c>
      <c r="CF716">
        <v>2.25</v>
      </c>
      <c r="CG716">
        <v>1.75</v>
      </c>
      <c r="CH716">
        <v>2</v>
      </c>
      <c r="CI716">
        <v>0.5</v>
      </c>
      <c r="CJ716">
        <v>0.46</v>
      </c>
      <c r="CK716">
        <v>0.48</v>
      </c>
      <c r="CL716">
        <v>44.39</v>
      </c>
      <c r="CM716">
        <v>41.99</v>
      </c>
      <c r="CN716">
        <v>43.19</v>
      </c>
      <c r="CO716">
        <v>6.16</v>
      </c>
      <c r="CP716">
        <v>1.1600000000000001</v>
      </c>
      <c r="CQ716">
        <v>3.66</v>
      </c>
    </row>
    <row r="717" spans="1:95">
      <c r="A717" s="228">
        <v>46003</v>
      </c>
      <c r="B717" t="s">
        <v>100</v>
      </c>
      <c r="C717">
        <v>156.71</v>
      </c>
      <c r="D717">
        <v>154.71</v>
      </c>
      <c r="E717">
        <v>155.71</v>
      </c>
      <c r="F717">
        <v>184.27</v>
      </c>
      <c r="G717">
        <v>181.27</v>
      </c>
      <c r="H717">
        <v>182.77</v>
      </c>
      <c r="I717">
        <v>114.65</v>
      </c>
      <c r="J717">
        <v>111.45</v>
      </c>
      <c r="K717">
        <v>113.05000000000001</v>
      </c>
      <c r="L717">
        <v>212.57</v>
      </c>
      <c r="M717">
        <v>204.57</v>
      </c>
      <c r="N717">
        <v>208.57</v>
      </c>
      <c r="O717">
        <v>196.79</v>
      </c>
      <c r="P717">
        <v>194.98999999999998</v>
      </c>
      <c r="Q717">
        <v>195.89</v>
      </c>
      <c r="R717">
        <v>24.77</v>
      </c>
      <c r="S717">
        <v>24.169999999999998</v>
      </c>
      <c r="T717">
        <v>24.47</v>
      </c>
      <c r="U717">
        <v>15.78</v>
      </c>
      <c r="V717">
        <v>15.18</v>
      </c>
      <c r="W717">
        <v>15.48</v>
      </c>
      <c r="X717">
        <v>17.239999999999998</v>
      </c>
      <c r="Y717">
        <v>16.439999999999998</v>
      </c>
      <c r="Z717">
        <v>16.839999999999996</v>
      </c>
      <c r="AA717">
        <v>105.86</v>
      </c>
      <c r="AB717">
        <v>101.86</v>
      </c>
      <c r="AC717">
        <v>103.86</v>
      </c>
      <c r="AD717">
        <v>92.58</v>
      </c>
      <c r="AE717">
        <v>88.58</v>
      </c>
      <c r="AF717">
        <v>90.58</v>
      </c>
      <c r="AG717">
        <v>20.440000000000001</v>
      </c>
      <c r="AH717">
        <v>19.580000000000002</v>
      </c>
      <c r="AI717">
        <v>20.010000000000002</v>
      </c>
      <c r="AM717">
        <v>121.36</v>
      </c>
      <c r="AN717">
        <v>119.7</v>
      </c>
      <c r="AO717">
        <v>120.53</v>
      </c>
      <c r="AP717">
        <v>42.38</v>
      </c>
      <c r="AQ717">
        <v>40.78</v>
      </c>
      <c r="AR717">
        <v>41.58</v>
      </c>
      <c r="AS717">
        <v>43.17</v>
      </c>
      <c r="AT717">
        <v>41.81</v>
      </c>
      <c r="AU717">
        <v>42.49</v>
      </c>
      <c r="AV717">
        <v>22.38</v>
      </c>
      <c r="AW717">
        <v>21.779999999999998</v>
      </c>
      <c r="AX717">
        <v>22.08</v>
      </c>
      <c r="AY717">
        <v>5.01</v>
      </c>
      <c r="AZ717">
        <v>4.8499999999999996</v>
      </c>
      <c r="BA717">
        <v>4.93</v>
      </c>
      <c r="BB717">
        <v>1.89</v>
      </c>
      <c r="BC717">
        <v>1.5899999999999999</v>
      </c>
      <c r="BD717">
        <v>1.7399999999999998</v>
      </c>
      <c r="BE717">
        <v>0.71</v>
      </c>
      <c r="BF717">
        <v>0.41</v>
      </c>
      <c r="BG717">
        <v>0.55999999999999994</v>
      </c>
      <c r="BH717">
        <v>516.86</v>
      </c>
      <c r="BI717">
        <v>500.86</v>
      </c>
      <c r="BJ717">
        <v>508.86</v>
      </c>
      <c r="BK717">
        <v>43.49</v>
      </c>
      <c r="BL717">
        <v>42.13</v>
      </c>
      <c r="BM717">
        <v>42.81</v>
      </c>
      <c r="BN717">
        <v>1.06</v>
      </c>
      <c r="BO717">
        <v>0.82000000000000006</v>
      </c>
      <c r="BP717">
        <v>0.94000000000000006</v>
      </c>
      <c r="BQ717">
        <v>9.64</v>
      </c>
      <c r="BR717">
        <v>7.6400000000000006</v>
      </c>
      <c r="BS717">
        <v>8.64</v>
      </c>
      <c r="BT717">
        <v>10.79</v>
      </c>
      <c r="BU717">
        <v>10.389999999999999</v>
      </c>
      <c r="BV717">
        <v>10.59</v>
      </c>
      <c r="BW717">
        <v>2.79</v>
      </c>
      <c r="BX717">
        <v>2.5099999999999998</v>
      </c>
      <c r="BY717">
        <v>2.65</v>
      </c>
      <c r="BZ717">
        <v>10.74</v>
      </c>
      <c r="CA717">
        <v>7.74</v>
      </c>
      <c r="CB717">
        <v>9.24</v>
      </c>
      <c r="CC717">
        <v>7.67</v>
      </c>
      <c r="CD717">
        <v>7.43</v>
      </c>
      <c r="CE717">
        <v>7.55</v>
      </c>
      <c r="CF717">
        <v>2.2000000000000002</v>
      </c>
      <c r="CG717">
        <v>1.7000000000000002</v>
      </c>
      <c r="CH717">
        <v>1.9500000000000002</v>
      </c>
      <c r="CI717">
        <v>0.5</v>
      </c>
      <c r="CJ717">
        <v>0.46</v>
      </c>
      <c r="CK717">
        <v>0.48</v>
      </c>
      <c r="CL717">
        <v>44.47</v>
      </c>
      <c r="CM717">
        <v>42.07</v>
      </c>
      <c r="CN717">
        <v>43.269999999999996</v>
      </c>
      <c r="CO717">
        <v>6.17</v>
      </c>
      <c r="CP717">
        <v>1.17</v>
      </c>
      <c r="CQ717">
        <v>3.67</v>
      </c>
    </row>
    <row r="718" spans="1:95">
      <c r="A718" s="228">
        <v>46004</v>
      </c>
      <c r="B718" t="s">
        <v>307</v>
      </c>
    </row>
    <row r="719" spans="1:95">
      <c r="A719" s="228">
        <v>46005</v>
      </c>
      <c r="B719" t="s">
        <v>308</v>
      </c>
    </row>
    <row r="720" spans="1:95">
      <c r="A720" s="228">
        <v>46006</v>
      </c>
      <c r="B720" t="s">
        <v>96</v>
      </c>
      <c r="C720">
        <v>157.02000000000001</v>
      </c>
      <c r="D720">
        <v>155.02000000000001</v>
      </c>
      <c r="E720">
        <v>156.02000000000001</v>
      </c>
      <c r="F720">
        <v>184.54</v>
      </c>
      <c r="G720">
        <v>181.54</v>
      </c>
      <c r="H720">
        <v>183.04</v>
      </c>
      <c r="I720">
        <v>114.89</v>
      </c>
      <c r="J720">
        <v>111.69</v>
      </c>
      <c r="K720">
        <v>113.28999999999999</v>
      </c>
      <c r="L720">
        <v>212.51</v>
      </c>
      <c r="M720">
        <v>204.51</v>
      </c>
      <c r="N720">
        <v>208.51</v>
      </c>
      <c r="O720">
        <v>196.78</v>
      </c>
      <c r="P720">
        <v>194.98</v>
      </c>
      <c r="Q720">
        <v>195.88</v>
      </c>
      <c r="R720">
        <v>24.81</v>
      </c>
      <c r="S720">
        <v>24.209999999999997</v>
      </c>
      <c r="T720">
        <v>24.509999999999998</v>
      </c>
      <c r="U720">
        <v>15.72</v>
      </c>
      <c r="V720">
        <v>15.120000000000001</v>
      </c>
      <c r="W720">
        <v>15.420000000000002</v>
      </c>
      <c r="X720">
        <v>17.23</v>
      </c>
      <c r="Y720">
        <v>16.43</v>
      </c>
      <c r="Z720">
        <v>16.829999999999998</v>
      </c>
      <c r="AA720">
        <v>105.71</v>
      </c>
      <c r="AB720">
        <v>101.71</v>
      </c>
      <c r="AC720">
        <v>103.71</v>
      </c>
      <c r="AD720">
        <v>92.52</v>
      </c>
      <c r="AE720">
        <v>88.52</v>
      </c>
      <c r="AF720">
        <v>90.52</v>
      </c>
      <c r="AG720">
        <v>20.47</v>
      </c>
      <c r="AH720">
        <v>19.61</v>
      </c>
      <c r="AI720">
        <v>20.04</v>
      </c>
      <c r="AM720">
        <v>121.58</v>
      </c>
      <c r="AN720">
        <v>119.92</v>
      </c>
      <c r="AO720">
        <v>120.75</v>
      </c>
      <c r="AP720">
        <v>42.46</v>
      </c>
      <c r="AQ720">
        <v>40.86</v>
      </c>
      <c r="AR720">
        <v>41.66</v>
      </c>
      <c r="AS720">
        <v>43.25</v>
      </c>
      <c r="AT720">
        <v>41.89</v>
      </c>
      <c r="AU720">
        <v>42.57</v>
      </c>
      <c r="AV720">
        <v>22.42</v>
      </c>
      <c r="AW720">
        <v>21.82</v>
      </c>
      <c r="AX720">
        <v>22.12</v>
      </c>
      <c r="AY720">
        <v>5.03</v>
      </c>
      <c r="AZ720">
        <v>4.87</v>
      </c>
      <c r="BA720">
        <v>4.95</v>
      </c>
      <c r="BB720">
        <v>1.89</v>
      </c>
      <c r="BC720">
        <v>1.5899999999999999</v>
      </c>
      <c r="BD720">
        <v>1.7399999999999998</v>
      </c>
      <c r="BE720">
        <v>0.71</v>
      </c>
      <c r="BF720">
        <v>0.41</v>
      </c>
      <c r="BG720">
        <v>0.55999999999999994</v>
      </c>
      <c r="BH720">
        <v>519.54</v>
      </c>
      <c r="BI720">
        <v>503.53999999999996</v>
      </c>
      <c r="BJ720">
        <v>511.53999999999996</v>
      </c>
      <c r="BK720">
        <v>43.58</v>
      </c>
      <c r="BL720">
        <v>42.22</v>
      </c>
      <c r="BM720">
        <v>42.9</v>
      </c>
      <c r="BN720">
        <v>1.06</v>
      </c>
      <c r="BO720">
        <v>0.82000000000000006</v>
      </c>
      <c r="BP720">
        <v>0.94000000000000006</v>
      </c>
      <c r="BQ720">
        <v>9.66</v>
      </c>
      <c r="BR720">
        <v>7.66</v>
      </c>
      <c r="BS720">
        <v>8.66</v>
      </c>
      <c r="BT720">
        <v>10.77</v>
      </c>
      <c r="BU720">
        <v>10.37</v>
      </c>
      <c r="BV720">
        <v>10.57</v>
      </c>
      <c r="BW720">
        <v>2.79</v>
      </c>
      <c r="BX720">
        <v>2.5099999999999998</v>
      </c>
      <c r="BY720">
        <v>2.65</v>
      </c>
      <c r="BZ720">
        <v>10.74</v>
      </c>
      <c r="CA720">
        <v>7.74</v>
      </c>
      <c r="CB720">
        <v>9.24</v>
      </c>
      <c r="CC720">
        <v>7.67</v>
      </c>
      <c r="CD720">
        <v>7.43</v>
      </c>
      <c r="CE720">
        <v>7.55</v>
      </c>
      <c r="CF720">
        <v>2.2000000000000002</v>
      </c>
      <c r="CG720">
        <v>1.7000000000000002</v>
      </c>
      <c r="CH720">
        <v>1.9500000000000002</v>
      </c>
      <c r="CI720">
        <v>0.5</v>
      </c>
      <c r="CJ720">
        <v>0.46</v>
      </c>
      <c r="CK720">
        <v>0.48</v>
      </c>
      <c r="CL720">
        <v>44.56</v>
      </c>
      <c r="CM720">
        <v>42.160000000000004</v>
      </c>
      <c r="CN720">
        <v>43.36</v>
      </c>
      <c r="CO720">
        <v>6.16</v>
      </c>
      <c r="CP720">
        <v>1.1600000000000001</v>
      </c>
      <c r="CQ720">
        <v>3.66</v>
      </c>
    </row>
    <row r="721" spans="1:95">
      <c r="A721" s="228">
        <v>46007</v>
      </c>
      <c r="B721" t="s">
        <v>97</v>
      </c>
      <c r="C721">
        <v>156.12</v>
      </c>
      <c r="D721">
        <v>154.12</v>
      </c>
      <c r="E721">
        <v>155.12</v>
      </c>
      <c r="F721">
        <v>183.78</v>
      </c>
      <c r="G721">
        <v>180.78</v>
      </c>
      <c r="H721">
        <v>182.28</v>
      </c>
      <c r="I721">
        <v>114.21</v>
      </c>
      <c r="J721">
        <v>111.00999999999999</v>
      </c>
      <c r="K721">
        <v>112.60999999999999</v>
      </c>
      <c r="L721">
        <v>211.44</v>
      </c>
      <c r="M721">
        <v>203.44</v>
      </c>
      <c r="N721">
        <v>207.44</v>
      </c>
      <c r="O721">
        <v>195.7</v>
      </c>
      <c r="P721">
        <v>193.89999999999998</v>
      </c>
      <c r="Q721">
        <v>194.79999999999998</v>
      </c>
      <c r="R721">
        <v>24.7</v>
      </c>
      <c r="S721">
        <v>24.099999999999998</v>
      </c>
      <c r="T721">
        <v>24.4</v>
      </c>
      <c r="U721">
        <v>15.58</v>
      </c>
      <c r="V721">
        <v>14.98</v>
      </c>
      <c r="W721">
        <v>15.280000000000001</v>
      </c>
      <c r="X721">
        <v>17.11</v>
      </c>
      <c r="Y721">
        <v>16.309999999999999</v>
      </c>
      <c r="Z721">
        <v>16.71</v>
      </c>
      <c r="AA721">
        <v>104.88</v>
      </c>
      <c r="AB721">
        <v>100.88</v>
      </c>
      <c r="AC721">
        <v>102.88</v>
      </c>
      <c r="AD721">
        <v>91.57</v>
      </c>
      <c r="AE721">
        <v>87.57</v>
      </c>
      <c r="AF721">
        <v>89.57</v>
      </c>
      <c r="AG721">
        <v>20.36</v>
      </c>
      <c r="AH721">
        <v>19.5</v>
      </c>
      <c r="AI721">
        <v>19.93</v>
      </c>
      <c r="AM721">
        <v>121.08</v>
      </c>
      <c r="AN721">
        <v>119.42</v>
      </c>
      <c r="AO721">
        <v>120.25</v>
      </c>
      <c r="AP721">
        <v>42.22</v>
      </c>
      <c r="AQ721">
        <v>40.619999999999997</v>
      </c>
      <c r="AR721">
        <v>41.42</v>
      </c>
      <c r="AS721">
        <v>43</v>
      </c>
      <c r="AT721">
        <v>41.64</v>
      </c>
      <c r="AU721">
        <v>42.32</v>
      </c>
      <c r="AV721">
        <v>22.32</v>
      </c>
      <c r="AW721">
        <v>21.72</v>
      </c>
      <c r="AX721">
        <v>22.02</v>
      </c>
      <c r="AY721">
        <v>4.99</v>
      </c>
      <c r="AZ721">
        <v>4.83</v>
      </c>
      <c r="BA721">
        <v>4.91</v>
      </c>
      <c r="BB721">
        <v>1.87</v>
      </c>
      <c r="BC721">
        <v>1.57</v>
      </c>
      <c r="BD721">
        <v>1.7200000000000002</v>
      </c>
      <c r="BE721">
        <v>0.71</v>
      </c>
      <c r="BF721">
        <v>0.41</v>
      </c>
      <c r="BG721">
        <v>0.55999999999999994</v>
      </c>
      <c r="BH721">
        <v>514.42999999999995</v>
      </c>
      <c r="BI721">
        <v>498.42999999999995</v>
      </c>
      <c r="BJ721">
        <v>506.42999999999995</v>
      </c>
      <c r="BK721">
        <v>43.33</v>
      </c>
      <c r="BL721">
        <v>41.97</v>
      </c>
      <c r="BM721">
        <v>42.65</v>
      </c>
      <c r="BN721">
        <v>1.05</v>
      </c>
      <c r="BO721">
        <v>0.81</v>
      </c>
      <c r="BP721">
        <v>0.93</v>
      </c>
      <c r="BQ721">
        <v>9.6199999999999992</v>
      </c>
      <c r="BR721">
        <v>7.6199999999999992</v>
      </c>
      <c r="BS721">
        <v>8.6199999999999992</v>
      </c>
      <c r="BT721">
        <v>10.76</v>
      </c>
      <c r="BU721">
        <v>10.36</v>
      </c>
      <c r="BV721">
        <v>10.559999999999999</v>
      </c>
      <c r="BW721">
        <v>2.78</v>
      </c>
      <c r="BX721">
        <v>2.5</v>
      </c>
      <c r="BY721">
        <v>2.6399999999999997</v>
      </c>
      <c r="BZ721">
        <v>10.75</v>
      </c>
      <c r="CA721">
        <v>7.75</v>
      </c>
      <c r="CB721">
        <v>9.25</v>
      </c>
      <c r="CC721">
        <v>7.62</v>
      </c>
      <c r="CD721">
        <v>7.38</v>
      </c>
      <c r="CE721">
        <v>7.5</v>
      </c>
      <c r="CF721">
        <v>2.21</v>
      </c>
      <c r="CG721">
        <v>1.71</v>
      </c>
      <c r="CH721">
        <v>1.96</v>
      </c>
      <c r="CI721">
        <v>0.49</v>
      </c>
      <c r="CJ721">
        <v>0.45</v>
      </c>
      <c r="CK721">
        <v>0.47</v>
      </c>
      <c r="CL721">
        <v>44.43</v>
      </c>
      <c r="CM721">
        <v>42.03</v>
      </c>
      <c r="CN721">
        <v>43.230000000000004</v>
      </c>
      <c r="CO721">
        <v>6.13</v>
      </c>
      <c r="CP721">
        <v>1.1299999999999999</v>
      </c>
      <c r="CQ721">
        <v>3.63</v>
      </c>
    </row>
    <row r="722" spans="1:95">
      <c r="A722" s="228">
        <v>46008</v>
      </c>
      <c r="B722" t="s">
        <v>98</v>
      </c>
      <c r="C722">
        <v>155.69</v>
      </c>
      <c r="D722">
        <v>153.69</v>
      </c>
      <c r="E722">
        <v>154.69</v>
      </c>
      <c r="F722">
        <v>183.21</v>
      </c>
      <c r="G722">
        <v>180.21</v>
      </c>
      <c r="H722">
        <v>181.71</v>
      </c>
      <c r="I722">
        <v>114</v>
      </c>
      <c r="J722">
        <v>110.8</v>
      </c>
      <c r="K722">
        <v>112.4</v>
      </c>
      <c r="L722">
        <v>211.62</v>
      </c>
      <c r="M722">
        <v>203.62</v>
      </c>
      <c r="N722">
        <v>207.62</v>
      </c>
      <c r="O722">
        <v>195.43</v>
      </c>
      <c r="P722">
        <v>193.63</v>
      </c>
      <c r="Q722">
        <v>194.53</v>
      </c>
      <c r="R722">
        <v>24.62</v>
      </c>
      <c r="S722">
        <v>24.02</v>
      </c>
      <c r="T722">
        <v>24.32</v>
      </c>
      <c r="U722">
        <v>15.49</v>
      </c>
      <c r="V722">
        <v>14.89</v>
      </c>
      <c r="W722">
        <v>15.190000000000001</v>
      </c>
      <c r="X722">
        <v>17.02</v>
      </c>
      <c r="Y722">
        <v>16.22</v>
      </c>
      <c r="Z722">
        <v>16.619999999999997</v>
      </c>
      <c r="AA722">
        <v>104.45</v>
      </c>
      <c r="AB722">
        <v>100.45</v>
      </c>
      <c r="AC722">
        <v>102.45</v>
      </c>
      <c r="AD722">
        <v>91.38</v>
      </c>
      <c r="AE722">
        <v>87.38</v>
      </c>
      <c r="AF722">
        <v>89.38</v>
      </c>
      <c r="AG722">
        <v>20.309999999999999</v>
      </c>
      <c r="AH722">
        <v>19.45</v>
      </c>
      <c r="AI722">
        <v>19.88</v>
      </c>
      <c r="AM722">
        <v>120.8</v>
      </c>
      <c r="AN722">
        <v>119.14</v>
      </c>
      <c r="AO722">
        <v>119.97</v>
      </c>
      <c r="AP722">
        <v>42.13</v>
      </c>
      <c r="AQ722">
        <v>40.53</v>
      </c>
      <c r="AR722">
        <v>41.33</v>
      </c>
      <c r="AS722">
        <v>42.89</v>
      </c>
      <c r="AT722">
        <v>41.53</v>
      </c>
      <c r="AU722">
        <v>42.21</v>
      </c>
      <c r="AV722">
        <v>22.29</v>
      </c>
      <c r="AW722">
        <v>21.689999999999998</v>
      </c>
      <c r="AX722">
        <v>21.99</v>
      </c>
      <c r="AY722">
        <v>5</v>
      </c>
      <c r="AZ722">
        <v>4.84</v>
      </c>
      <c r="BA722">
        <v>4.92</v>
      </c>
      <c r="BB722">
        <v>1.86</v>
      </c>
      <c r="BC722">
        <v>1.56</v>
      </c>
      <c r="BD722">
        <v>1.71</v>
      </c>
      <c r="BE722">
        <v>0.71</v>
      </c>
      <c r="BF722">
        <v>0.41</v>
      </c>
      <c r="BG722">
        <v>0.55999999999999994</v>
      </c>
      <c r="BH722">
        <v>513.36</v>
      </c>
      <c r="BI722">
        <v>497.36</v>
      </c>
      <c r="BJ722">
        <v>505.36</v>
      </c>
      <c r="BK722">
        <v>43.21</v>
      </c>
      <c r="BL722">
        <v>41.85</v>
      </c>
      <c r="BM722">
        <v>42.53</v>
      </c>
      <c r="BN722">
        <v>1.05</v>
      </c>
      <c r="BO722">
        <v>0.81</v>
      </c>
      <c r="BP722">
        <v>0.93</v>
      </c>
      <c r="BQ722">
        <v>9.61</v>
      </c>
      <c r="BR722">
        <v>7.6099999999999994</v>
      </c>
      <c r="BS722">
        <v>8.61</v>
      </c>
      <c r="BT722">
        <v>10.69</v>
      </c>
      <c r="BU722">
        <v>10.29</v>
      </c>
      <c r="BV722">
        <v>10.489999999999998</v>
      </c>
      <c r="BW722">
        <v>2.79</v>
      </c>
      <c r="BX722">
        <v>2.5099999999999998</v>
      </c>
      <c r="BY722">
        <v>2.65</v>
      </c>
      <c r="BZ722">
        <v>10.74</v>
      </c>
      <c r="CA722">
        <v>7.74</v>
      </c>
      <c r="CB722">
        <v>9.24</v>
      </c>
      <c r="CC722">
        <v>7.6</v>
      </c>
      <c r="CD722">
        <v>7.3599999999999994</v>
      </c>
      <c r="CE722">
        <v>7.4799999999999995</v>
      </c>
      <c r="CF722">
        <v>2.21</v>
      </c>
      <c r="CG722">
        <v>1.71</v>
      </c>
      <c r="CH722">
        <v>1.96</v>
      </c>
      <c r="CI722">
        <v>0.49</v>
      </c>
      <c r="CJ722">
        <v>0.45</v>
      </c>
      <c r="CK722">
        <v>0.47</v>
      </c>
      <c r="CL722">
        <v>44.33</v>
      </c>
      <c r="CM722">
        <v>41.93</v>
      </c>
      <c r="CN722">
        <v>43.129999999999995</v>
      </c>
      <c r="CO722">
        <v>6.13</v>
      </c>
      <c r="CP722">
        <v>1.1299999999999999</v>
      </c>
      <c r="CQ722">
        <v>3.63</v>
      </c>
    </row>
    <row r="723" spans="1:95">
      <c r="A723" s="228">
        <v>46009</v>
      </c>
      <c r="B723" t="s">
        <v>99</v>
      </c>
      <c r="C723">
        <v>156.61000000000001</v>
      </c>
      <c r="D723">
        <v>154.61000000000001</v>
      </c>
      <c r="E723">
        <v>155.61000000000001</v>
      </c>
      <c r="F723">
        <v>184.19</v>
      </c>
      <c r="G723">
        <v>181.19</v>
      </c>
      <c r="H723">
        <v>182.69</v>
      </c>
      <c r="I723">
        <v>114.47</v>
      </c>
      <c r="J723">
        <v>111.27</v>
      </c>
      <c r="K723">
        <v>112.87</v>
      </c>
      <c r="L723">
        <v>212.11</v>
      </c>
      <c r="M723">
        <v>204.11</v>
      </c>
      <c r="N723">
        <v>208.11</v>
      </c>
      <c r="O723">
        <v>196.54</v>
      </c>
      <c r="P723">
        <v>194.73999999999998</v>
      </c>
      <c r="Q723">
        <v>195.64</v>
      </c>
      <c r="R723">
        <v>24.75</v>
      </c>
      <c r="S723">
        <v>24.15</v>
      </c>
      <c r="T723">
        <v>24.45</v>
      </c>
      <c r="U723">
        <v>15.55</v>
      </c>
      <c r="V723">
        <v>14.950000000000001</v>
      </c>
      <c r="W723">
        <v>15.25</v>
      </c>
      <c r="X723">
        <v>17.13</v>
      </c>
      <c r="Y723">
        <v>16.329999999999998</v>
      </c>
      <c r="Z723">
        <v>16.729999999999997</v>
      </c>
      <c r="AA723">
        <v>104.72</v>
      </c>
      <c r="AB723">
        <v>100.72</v>
      </c>
      <c r="AC723">
        <v>102.72</v>
      </c>
      <c r="AD723">
        <v>91.76</v>
      </c>
      <c r="AE723">
        <v>87.76</v>
      </c>
      <c r="AF723">
        <v>89.76</v>
      </c>
      <c r="AG723">
        <v>20.43</v>
      </c>
      <c r="AH723">
        <v>19.57</v>
      </c>
      <c r="AI723">
        <v>20</v>
      </c>
      <c r="AM723">
        <v>121.35</v>
      </c>
      <c r="AN723">
        <v>119.69</v>
      </c>
      <c r="AO723">
        <v>120.52</v>
      </c>
      <c r="AP723">
        <v>42.37</v>
      </c>
      <c r="AQ723">
        <v>40.769999999999996</v>
      </c>
      <c r="AR723">
        <v>41.569999999999993</v>
      </c>
      <c r="AS723">
        <v>43.14</v>
      </c>
      <c r="AT723">
        <v>41.78</v>
      </c>
      <c r="AU723">
        <v>42.46</v>
      </c>
      <c r="AV723">
        <v>22.41</v>
      </c>
      <c r="AW723">
        <v>21.81</v>
      </c>
      <c r="AX723">
        <v>22.11</v>
      </c>
      <c r="AY723">
        <v>5.03</v>
      </c>
      <c r="AZ723">
        <v>4.87</v>
      </c>
      <c r="BA723">
        <v>4.95</v>
      </c>
      <c r="BB723">
        <v>1.89</v>
      </c>
      <c r="BC723">
        <v>1.5899999999999999</v>
      </c>
      <c r="BD723">
        <v>1.7399999999999998</v>
      </c>
      <c r="BE723">
        <v>0.71</v>
      </c>
      <c r="BF723">
        <v>0.41</v>
      </c>
      <c r="BG723">
        <v>0.55999999999999994</v>
      </c>
      <c r="BH723">
        <v>516.03</v>
      </c>
      <c r="BI723">
        <v>500.03</v>
      </c>
      <c r="BJ723">
        <v>508.03</v>
      </c>
      <c r="BK723">
        <v>43.44</v>
      </c>
      <c r="BL723">
        <v>42.08</v>
      </c>
      <c r="BM723">
        <v>42.76</v>
      </c>
      <c r="BN723">
        <v>1.06</v>
      </c>
      <c r="BO723">
        <v>0.82000000000000006</v>
      </c>
      <c r="BP723">
        <v>0.94000000000000006</v>
      </c>
      <c r="BQ723">
        <v>9.64</v>
      </c>
      <c r="BR723">
        <v>7.6400000000000006</v>
      </c>
      <c r="BS723">
        <v>8.64</v>
      </c>
      <c r="BT723">
        <v>10.74</v>
      </c>
      <c r="BU723">
        <v>10.34</v>
      </c>
      <c r="BV723">
        <v>10.54</v>
      </c>
      <c r="BW723">
        <v>2.8</v>
      </c>
      <c r="BX723">
        <v>2.5199999999999996</v>
      </c>
      <c r="BY723">
        <v>2.6599999999999997</v>
      </c>
      <c r="BZ723">
        <v>10.78</v>
      </c>
      <c r="CA723">
        <v>7.7799999999999994</v>
      </c>
      <c r="CB723">
        <v>9.2799999999999994</v>
      </c>
      <c r="CC723">
        <v>7.62</v>
      </c>
      <c r="CD723">
        <v>7.38</v>
      </c>
      <c r="CE723">
        <v>7.5</v>
      </c>
      <c r="CF723">
        <v>2.19</v>
      </c>
      <c r="CG723">
        <v>1.69</v>
      </c>
      <c r="CH723">
        <v>1.94</v>
      </c>
      <c r="CI723">
        <v>0.49</v>
      </c>
      <c r="CJ723">
        <v>0.45</v>
      </c>
      <c r="CK723">
        <v>0.47</v>
      </c>
      <c r="CL723">
        <v>44.6</v>
      </c>
      <c r="CM723">
        <v>42.2</v>
      </c>
      <c r="CN723">
        <v>43.400000000000006</v>
      </c>
      <c r="CO723">
        <v>6.14</v>
      </c>
      <c r="CP723">
        <v>1.1399999999999997</v>
      </c>
      <c r="CQ723">
        <v>3.6399999999999997</v>
      </c>
    </row>
    <row r="724" spans="1:95">
      <c r="A724" s="228">
        <v>46010</v>
      </c>
      <c r="B724" t="s">
        <v>100</v>
      </c>
      <c r="C724">
        <v>156.85</v>
      </c>
      <c r="D724">
        <v>154.85</v>
      </c>
      <c r="E724">
        <v>155.85</v>
      </c>
      <c r="F724">
        <v>184.23</v>
      </c>
      <c r="G724">
        <v>181.23</v>
      </c>
      <c r="H724">
        <v>182.73</v>
      </c>
      <c r="I724">
        <v>114.74</v>
      </c>
      <c r="J724">
        <v>111.53999999999999</v>
      </c>
      <c r="K724">
        <v>113.13999999999999</v>
      </c>
      <c r="L724">
        <v>212.64</v>
      </c>
      <c r="M724">
        <v>204.64</v>
      </c>
      <c r="N724">
        <v>208.64</v>
      </c>
      <c r="O724">
        <v>197.06</v>
      </c>
      <c r="P724">
        <v>195.26</v>
      </c>
      <c r="Q724">
        <v>196.16</v>
      </c>
      <c r="R724">
        <v>24.76</v>
      </c>
      <c r="S724">
        <v>24.16</v>
      </c>
      <c r="T724">
        <v>24.46</v>
      </c>
      <c r="U724">
        <v>15.66</v>
      </c>
      <c r="V724">
        <v>15.06</v>
      </c>
      <c r="W724">
        <v>15.36</v>
      </c>
      <c r="X724">
        <v>17.21</v>
      </c>
      <c r="Y724">
        <v>16.41</v>
      </c>
      <c r="Z724">
        <v>16.810000000000002</v>
      </c>
      <c r="AA724">
        <v>105.17</v>
      </c>
      <c r="AB724">
        <v>101.17</v>
      </c>
      <c r="AC724">
        <v>103.17</v>
      </c>
      <c r="AD724">
        <v>92.08</v>
      </c>
      <c r="AE724">
        <v>88.08</v>
      </c>
      <c r="AF724">
        <v>90.08</v>
      </c>
      <c r="AG724">
        <v>20.46</v>
      </c>
      <c r="AH724">
        <v>19.600000000000001</v>
      </c>
      <c r="AI724">
        <v>20.03</v>
      </c>
      <c r="AM724">
        <v>121.69</v>
      </c>
      <c r="AN724">
        <v>120.03</v>
      </c>
      <c r="AO724">
        <v>120.86</v>
      </c>
      <c r="AP724">
        <v>42.44</v>
      </c>
      <c r="AQ724">
        <v>40.839999999999996</v>
      </c>
      <c r="AR724">
        <v>41.64</v>
      </c>
      <c r="AS724">
        <v>43.1</v>
      </c>
      <c r="AT724">
        <v>41.74</v>
      </c>
      <c r="AU724">
        <v>42.42</v>
      </c>
      <c r="AV724">
        <v>22.46</v>
      </c>
      <c r="AW724">
        <v>21.86</v>
      </c>
      <c r="AX724">
        <v>22.16</v>
      </c>
      <c r="AY724">
        <v>5.05</v>
      </c>
      <c r="AZ724">
        <v>4.8899999999999997</v>
      </c>
      <c r="BA724">
        <v>4.97</v>
      </c>
      <c r="BB724">
        <v>1.89</v>
      </c>
      <c r="BC724">
        <v>1.5899999999999999</v>
      </c>
      <c r="BD724">
        <v>1.7399999999999998</v>
      </c>
      <c r="BE724">
        <v>0.71</v>
      </c>
      <c r="BF724">
        <v>0.41</v>
      </c>
      <c r="BG724">
        <v>0.55999999999999994</v>
      </c>
      <c r="BH724">
        <v>516.80999999999995</v>
      </c>
      <c r="BI724">
        <v>500.80999999999995</v>
      </c>
      <c r="BJ724">
        <v>508.80999999999995</v>
      </c>
      <c r="BK724">
        <v>43.53</v>
      </c>
      <c r="BL724">
        <v>42.17</v>
      </c>
      <c r="BM724">
        <v>42.85</v>
      </c>
      <c r="BN724">
        <v>1.06</v>
      </c>
      <c r="BO724">
        <v>0.82000000000000006</v>
      </c>
      <c r="BP724">
        <v>0.94000000000000006</v>
      </c>
      <c r="BQ724">
        <v>9.66</v>
      </c>
      <c r="BR724">
        <v>7.66</v>
      </c>
      <c r="BS724">
        <v>8.66</v>
      </c>
      <c r="BT724">
        <v>10.78</v>
      </c>
      <c r="BU724">
        <v>10.379999999999999</v>
      </c>
      <c r="BV724">
        <v>10.579999999999998</v>
      </c>
      <c r="BW724">
        <v>2.81</v>
      </c>
      <c r="BX724">
        <v>2.5300000000000002</v>
      </c>
      <c r="BY724">
        <v>2.67</v>
      </c>
      <c r="BZ724">
        <v>10.83</v>
      </c>
      <c r="CA724">
        <v>7.83</v>
      </c>
      <c r="CB724">
        <v>9.33</v>
      </c>
      <c r="CC724">
        <v>7.63</v>
      </c>
      <c r="CD724">
        <v>7.39</v>
      </c>
      <c r="CE724">
        <v>7.51</v>
      </c>
      <c r="CF724">
        <v>2.21</v>
      </c>
      <c r="CG724">
        <v>1.71</v>
      </c>
      <c r="CH724">
        <v>1.96</v>
      </c>
      <c r="CI724">
        <v>0.49</v>
      </c>
      <c r="CJ724">
        <v>0.45</v>
      </c>
      <c r="CK724">
        <v>0.47</v>
      </c>
      <c r="CL724">
        <v>44.68</v>
      </c>
      <c r="CM724">
        <v>42.28</v>
      </c>
      <c r="CN724">
        <v>43.480000000000004</v>
      </c>
      <c r="CO724">
        <v>6.15</v>
      </c>
      <c r="CP724">
        <v>1.1500000000000004</v>
      </c>
      <c r="CQ724">
        <v>3.6500000000000004</v>
      </c>
    </row>
    <row r="725" spans="1:95">
      <c r="A725" s="228">
        <v>46011</v>
      </c>
      <c r="B725" t="s">
        <v>307</v>
      </c>
    </row>
    <row r="726" spans="1:95">
      <c r="A726" s="228">
        <v>46012</v>
      </c>
      <c r="B726" t="s">
        <v>308</v>
      </c>
    </row>
    <row r="727" spans="1:95">
      <c r="A727" s="228">
        <v>46013</v>
      </c>
      <c r="B727" t="s">
        <v>96</v>
      </c>
      <c r="C727">
        <v>158.62</v>
      </c>
      <c r="D727">
        <v>156.62</v>
      </c>
      <c r="E727">
        <v>157.62</v>
      </c>
      <c r="F727">
        <v>186.1</v>
      </c>
      <c r="G727">
        <v>183.1</v>
      </c>
      <c r="H727">
        <v>184.6</v>
      </c>
      <c r="I727">
        <v>115.86</v>
      </c>
      <c r="J727">
        <v>112.66</v>
      </c>
      <c r="K727">
        <v>114.25999999999999</v>
      </c>
      <c r="L727">
        <v>215.04</v>
      </c>
      <c r="M727">
        <v>207.04</v>
      </c>
      <c r="N727">
        <v>211.04</v>
      </c>
      <c r="O727">
        <v>199.24</v>
      </c>
      <c r="P727">
        <v>197.44</v>
      </c>
      <c r="Q727">
        <v>198.34</v>
      </c>
      <c r="R727">
        <v>25.01</v>
      </c>
      <c r="S727">
        <v>24.41</v>
      </c>
      <c r="T727">
        <v>24.71</v>
      </c>
      <c r="U727">
        <v>15.87</v>
      </c>
      <c r="V727">
        <v>15.27</v>
      </c>
      <c r="W727">
        <v>15.57</v>
      </c>
      <c r="X727">
        <v>17.41</v>
      </c>
      <c r="Y727">
        <v>16.61</v>
      </c>
      <c r="Z727">
        <v>17.009999999999998</v>
      </c>
      <c r="AA727">
        <v>106.28</v>
      </c>
      <c r="AB727">
        <v>102.28</v>
      </c>
      <c r="AC727">
        <v>104.28</v>
      </c>
      <c r="AD727">
        <v>92.87</v>
      </c>
      <c r="AE727">
        <v>88.87</v>
      </c>
      <c r="AF727">
        <v>90.87</v>
      </c>
      <c r="AG727">
        <v>20.69</v>
      </c>
      <c r="AH727">
        <v>19.830000000000002</v>
      </c>
      <c r="AI727">
        <v>20.260000000000002</v>
      </c>
      <c r="AM727">
        <v>122.76</v>
      </c>
      <c r="AN727">
        <v>121.10000000000001</v>
      </c>
      <c r="AO727">
        <v>121.93</v>
      </c>
      <c r="AP727">
        <v>42.91</v>
      </c>
      <c r="AQ727">
        <v>41.309999999999995</v>
      </c>
      <c r="AR727">
        <v>42.11</v>
      </c>
      <c r="AS727">
        <v>43.69</v>
      </c>
      <c r="AT727">
        <v>42.33</v>
      </c>
      <c r="AU727">
        <v>43.01</v>
      </c>
      <c r="AV727">
        <v>22.71</v>
      </c>
      <c r="AW727">
        <v>22.11</v>
      </c>
      <c r="AX727">
        <v>22.41</v>
      </c>
      <c r="AY727">
        <v>5.09</v>
      </c>
      <c r="AZ727">
        <v>4.93</v>
      </c>
      <c r="BA727">
        <v>5.01</v>
      </c>
      <c r="BB727">
        <v>1.92</v>
      </c>
      <c r="BC727">
        <v>1.6199999999999999</v>
      </c>
      <c r="BD727">
        <v>1.77</v>
      </c>
      <c r="BE727">
        <v>0.72</v>
      </c>
      <c r="BF727">
        <v>0.42</v>
      </c>
      <c r="BG727">
        <v>0.56999999999999995</v>
      </c>
      <c r="BH727">
        <v>522.09</v>
      </c>
      <c r="BI727">
        <v>506.09000000000003</v>
      </c>
      <c r="BJ727">
        <v>514.09</v>
      </c>
      <c r="BK727">
        <v>43.99</v>
      </c>
      <c r="BL727">
        <v>42.63</v>
      </c>
      <c r="BM727">
        <v>43.31</v>
      </c>
      <c r="BN727">
        <v>1.06</v>
      </c>
      <c r="BO727">
        <v>0.82000000000000006</v>
      </c>
      <c r="BP727">
        <v>0.94000000000000006</v>
      </c>
      <c r="BQ727">
        <v>9.74</v>
      </c>
      <c r="BR727">
        <v>7.74</v>
      </c>
      <c r="BS727">
        <v>8.74</v>
      </c>
      <c r="BT727">
        <v>10.88</v>
      </c>
      <c r="BU727">
        <v>10.48</v>
      </c>
      <c r="BV727">
        <v>10.68</v>
      </c>
      <c r="BW727">
        <v>2.84</v>
      </c>
      <c r="BX727">
        <v>2.5599999999999996</v>
      </c>
      <c r="BY727">
        <v>2.6999999999999997</v>
      </c>
      <c r="BZ727">
        <v>10.89</v>
      </c>
      <c r="CA727">
        <v>7.8900000000000006</v>
      </c>
      <c r="CB727">
        <v>9.39</v>
      </c>
      <c r="CC727">
        <v>7.71</v>
      </c>
      <c r="CD727">
        <v>7.47</v>
      </c>
      <c r="CE727">
        <v>7.59</v>
      </c>
      <c r="CF727">
        <v>2.21</v>
      </c>
      <c r="CG727">
        <v>1.71</v>
      </c>
      <c r="CH727">
        <v>1.96</v>
      </c>
      <c r="CI727">
        <v>0.5</v>
      </c>
      <c r="CJ727">
        <v>0.46</v>
      </c>
      <c r="CK727">
        <v>0.48</v>
      </c>
      <c r="CL727">
        <v>45.12</v>
      </c>
      <c r="CM727">
        <v>42.72</v>
      </c>
      <c r="CN727">
        <v>43.92</v>
      </c>
      <c r="CO727">
        <v>6.18</v>
      </c>
      <c r="CP727">
        <v>1.1799999999999997</v>
      </c>
      <c r="CQ727">
        <v>3.6799999999999997</v>
      </c>
    </row>
    <row r="728" spans="1:95">
      <c r="A728" s="228">
        <v>46014</v>
      </c>
      <c r="B728" t="s">
        <v>97</v>
      </c>
      <c r="C728">
        <v>157.75</v>
      </c>
      <c r="D728">
        <v>155.75</v>
      </c>
      <c r="E728">
        <v>156.75</v>
      </c>
      <c r="F728">
        <v>185.96</v>
      </c>
      <c r="G728">
        <v>182.96</v>
      </c>
      <c r="H728">
        <v>184.46</v>
      </c>
      <c r="I728">
        <v>115.64</v>
      </c>
      <c r="J728">
        <v>112.44</v>
      </c>
      <c r="K728">
        <v>114.03999999999999</v>
      </c>
      <c r="L728">
        <v>215.25</v>
      </c>
      <c r="M728">
        <v>207.25</v>
      </c>
      <c r="N728">
        <v>211.25</v>
      </c>
      <c r="O728">
        <v>198.94</v>
      </c>
      <c r="P728">
        <v>197.14</v>
      </c>
      <c r="Q728">
        <v>198.04</v>
      </c>
      <c r="R728">
        <v>24.99</v>
      </c>
      <c r="S728">
        <v>24.389999999999997</v>
      </c>
      <c r="T728">
        <v>24.689999999999998</v>
      </c>
      <c r="U728">
        <v>15.82</v>
      </c>
      <c r="V728">
        <v>15.22</v>
      </c>
      <c r="W728">
        <v>15.52</v>
      </c>
      <c r="X728">
        <v>17.39</v>
      </c>
      <c r="Y728">
        <v>16.59</v>
      </c>
      <c r="Z728">
        <v>16.990000000000002</v>
      </c>
      <c r="AA728">
        <v>106.41</v>
      </c>
      <c r="AB728">
        <v>102.41</v>
      </c>
      <c r="AC728">
        <v>104.41</v>
      </c>
      <c r="AD728">
        <v>92.96</v>
      </c>
      <c r="AE728">
        <v>88.96</v>
      </c>
      <c r="AF728">
        <v>90.96</v>
      </c>
      <c r="AG728">
        <v>20.58</v>
      </c>
      <c r="AH728">
        <v>19.72</v>
      </c>
      <c r="AI728">
        <v>20.149999999999999</v>
      </c>
      <c r="AM728">
        <v>122.59</v>
      </c>
      <c r="AN728">
        <v>120.93</v>
      </c>
      <c r="AO728">
        <v>121.76</v>
      </c>
      <c r="AP728">
        <v>42.68</v>
      </c>
      <c r="AQ728">
        <v>41.08</v>
      </c>
      <c r="AR728">
        <v>41.879999999999995</v>
      </c>
      <c r="AS728">
        <v>43.45</v>
      </c>
      <c r="AT728">
        <v>42.09</v>
      </c>
      <c r="AU728">
        <v>42.77</v>
      </c>
      <c r="AV728">
        <v>22.6</v>
      </c>
      <c r="AW728">
        <v>22</v>
      </c>
      <c r="AX728">
        <v>22.3</v>
      </c>
      <c r="AY728">
        <v>5.12</v>
      </c>
      <c r="AZ728">
        <v>4.96</v>
      </c>
      <c r="BA728">
        <v>5.04</v>
      </c>
      <c r="BB728">
        <v>1.91</v>
      </c>
      <c r="BC728">
        <v>1.6099999999999999</v>
      </c>
      <c r="BD728">
        <v>1.7599999999999998</v>
      </c>
      <c r="BE728">
        <v>0.72</v>
      </c>
      <c r="BF728">
        <v>0.42</v>
      </c>
      <c r="BG728">
        <v>0.56999999999999995</v>
      </c>
      <c r="BH728">
        <v>519.09</v>
      </c>
      <c r="BI728">
        <v>503.09000000000003</v>
      </c>
      <c r="BJ728">
        <v>511.09000000000003</v>
      </c>
      <c r="BK728">
        <v>43.77</v>
      </c>
      <c r="BL728">
        <v>42.410000000000004</v>
      </c>
      <c r="BM728">
        <v>43.09</v>
      </c>
      <c r="BN728">
        <v>1.06</v>
      </c>
      <c r="BO728">
        <v>0.82000000000000006</v>
      </c>
      <c r="BP728">
        <v>0.94000000000000006</v>
      </c>
      <c r="BQ728">
        <v>9.7200000000000006</v>
      </c>
      <c r="BR728">
        <v>7.7200000000000006</v>
      </c>
      <c r="BS728">
        <v>8.7200000000000006</v>
      </c>
      <c r="BT728">
        <v>10.78</v>
      </c>
      <c r="BU728">
        <v>10.379999999999999</v>
      </c>
      <c r="BV728">
        <v>10.579999999999998</v>
      </c>
      <c r="BW728">
        <v>2.82</v>
      </c>
      <c r="BX728">
        <v>2.54</v>
      </c>
      <c r="BY728">
        <v>2.6799999999999997</v>
      </c>
      <c r="BZ728">
        <v>10.88</v>
      </c>
      <c r="CA728">
        <v>7.8800000000000008</v>
      </c>
      <c r="CB728">
        <v>9.3800000000000008</v>
      </c>
      <c r="CC728">
        <v>7.71</v>
      </c>
      <c r="CD728">
        <v>7.47</v>
      </c>
      <c r="CE728">
        <v>7.59</v>
      </c>
      <c r="CF728">
        <v>2.2400000000000002</v>
      </c>
      <c r="CG728">
        <v>1.7400000000000002</v>
      </c>
      <c r="CH728">
        <v>1.9900000000000002</v>
      </c>
      <c r="CI728">
        <v>0.5</v>
      </c>
      <c r="CJ728">
        <v>0.46</v>
      </c>
      <c r="CK728">
        <v>0.48</v>
      </c>
      <c r="CL728">
        <v>44.98</v>
      </c>
      <c r="CM728">
        <v>42.58</v>
      </c>
      <c r="CN728">
        <v>43.78</v>
      </c>
      <c r="CO728">
        <v>6.16</v>
      </c>
      <c r="CP728">
        <v>1.1600000000000001</v>
      </c>
      <c r="CQ728">
        <v>3.66</v>
      </c>
    </row>
    <row r="729" spans="1:95">
      <c r="A729" s="228">
        <v>46015</v>
      </c>
      <c r="B729" t="s">
        <v>98</v>
      </c>
      <c r="C729">
        <v>157.22</v>
      </c>
      <c r="D729">
        <v>155.22</v>
      </c>
      <c r="E729">
        <v>156.22</v>
      </c>
      <c r="F729">
        <v>185.76</v>
      </c>
      <c r="G729">
        <v>182.76</v>
      </c>
      <c r="H729">
        <v>184.26</v>
      </c>
      <c r="I729">
        <v>115.68</v>
      </c>
      <c r="J729">
        <v>112.48</v>
      </c>
      <c r="K729">
        <v>114.08000000000001</v>
      </c>
      <c r="L729">
        <v>215.05</v>
      </c>
      <c r="M729">
        <v>207.05</v>
      </c>
      <c r="N729">
        <v>211.05</v>
      </c>
      <c r="O729">
        <v>199.22</v>
      </c>
      <c r="P729">
        <v>197.42</v>
      </c>
      <c r="Q729">
        <v>198.32</v>
      </c>
      <c r="R729">
        <v>24.97</v>
      </c>
      <c r="S729">
        <v>24.369999999999997</v>
      </c>
      <c r="T729">
        <v>24.669999999999998</v>
      </c>
      <c r="U729">
        <v>15.88</v>
      </c>
      <c r="V729">
        <v>15.280000000000001</v>
      </c>
      <c r="W729">
        <v>15.580000000000002</v>
      </c>
      <c r="X729">
        <v>17.45</v>
      </c>
      <c r="Y729">
        <v>16.649999999999999</v>
      </c>
      <c r="Z729">
        <v>17.049999999999997</v>
      </c>
      <c r="AA729">
        <v>106.64</v>
      </c>
      <c r="AB729">
        <v>102.64</v>
      </c>
      <c r="AC729">
        <v>104.64</v>
      </c>
      <c r="AD729">
        <v>93.17</v>
      </c>
      <c r="AE729">
        <v>89.17</v>
      </c>
      <c r="AF729">
        <v>91.17</v>
      </c>
      <c r="AG729">
        <v>20.52</v>
      </c>
      <c r="AH729">
        <v>19.66</v>
      </c>
      <c r="AI729">
        <v>20.09</v>
      </c>
      <c r="AM729">
        <v>122.47</v>
      </c>
      <c r="AN729">
        <v>120.81</v>
      </c>
      <c r="AO729">
        <v>121.64</v>
      </c>
      <c r="AP729">
        <v>42.54</v>
      </c>
      <c r="AQ729">
        <v>40.94</v>
      </c>
      <c r="AR729">
        <v>41.739999999999995</v>
      </c>
      <c r="AS729">
        <v>43.3</v>
      </c>
      <c r="AT729">
        <v>41.94</v>
      </c>
      <c r="AU729">
        <v>42.62</v>
      </c>
      <c r="AV729">
        <v>22.56</v>
      </c>
      <c r="AW729">
        <v>21.959999999999997</v>
      </c>
      <c r="AX729">
        <v>22.259999999999998</v>
      </c>
      <c r="AY729">
        <v>5.1100000000000003</v>
      </c>
      <c r="AZ729">
        <v>4.95</v>
      </c>
      <c r="BA729">
        <v>5.03</v>
      </c>
      <c r="BB729">
        <v>1.91</v>
      </c>
      <c r="BC729">
        <v>1.6099999999999999</v>
      </c>
      <c r="BD729">
        <v>1.7599999999999998</v>
      </c>
      <c r="BE729">
        <v>0.72</v>
      </c>
      <c r="BF729">
        <v>0.42</v>
      </c>
      <c r="BG729">
        <v>0.56999999999999995</v>
      </c>
      <c r="BH729">
        <v>517.52</v>
      </c>
      <c r="BI729">
        <v>501.52</v>
      </c>
      <c r="BJ729">
        <v>509.52</v>
      </c>
      <c r="BK729">
        <v>43.62</v>
      </c>
      <c r="BL729">
        <v>42.26</v>
      </c>
      <c r="BM729">
        <v>42.94</v>
      </c>
      <c r="BN729">
        <v>1.06</v>
      </c>
      <c r="BO729">
        <v>0.82000000000000006</v>
      </c>
      <c r="BP729">
        <v>0.94000000000000006</v>
      </c>
      <c r="BQ729">
        <v>9.7200000000000006</v>
      </c>
      <c r="BR729">
        <v>7.7200000000000006</v>
      </c>
      <c r="BS729">
        <v>8.7200000000000006</v>
      </c>
      <c r="BT729">
        <v>10.88</v>
      </c>
      <c r="BU729">
        <v>10.48</v>
      </c>
      <c r="BV729">
        <v>10.68</v>
      </c>
      <c r="BW729">
        <v>2.81</v>
      </c>
      <c r="BX729">
        <v>2.5300000000000002</v>
      </c>
      <c r="BY729">
        <v>2.67</v>
      </c>
      <c r="BZ729">
        <v>10.87</v>
      </c>
      <c r="CA729">
        <v>7.8699999999999992</v>
      </c>
      <c r="CB729">
        <v>9.3699999999999992</v>
      </c>
      <c r="CC729">
        <v>7.71</v>
      </c>
      <c r="CD729">
        <v>7.47</v>
      </c>
      <c r="CE729">
        <v>7.59</v>
      </c>
      <c r="CF729">
        <v>2.2599999999999998</v>
      </c>
      <c r="CG729">
        <v>1.7599999999999998</v>
      </c>
      <c r="CH729">
        <v>2.0099999999999998</v>
      </c>
      <c r="CI729">
        <v>0.49</v>
      </c>
      <c r="CJ729">
        <v>0.45</v>
      </c>
      <c r="CK729">
        <v>0.47</v>
      </c>
      <c r="CL729">
        <v>44.88</v>
      </c>
      <c r="CM729">
        <v>42.480000000000004</v>
      </c>
      <c r="CN729">
        <v>43.680000000000007</v>
      </c>
      <c r="CO729">
        <v>6.15</v>
      </c>
      <c r="CP729">
        <v>1.1500000000000004</v>
      </c>
      <c r="CQ729">
        <v>3.6500000000000004</v>
      </c>
    </row>
    <row r="730" spans="1:95">
      <c r="A730" s="228">
        <v>46016</v>
      </c>
      <c r="B730" t="s">
        <v>99</v>
      </c>
      <c r="C730">
        <v>156.91999999999999</v>
      </c>
      <c r="D730">
        <v>154.91999999999999</v>
      </c>
      <c r="E730">
        <v>155.91999999999999</v>
      </c>
      <c r="F730">
        <v>184.96</v>
      </c>
      <c r="G730">
        <v>181.96</v>
      </c>
      <c r="H730">
        <v>183.46</v>
      </c>
      <c r="I730">
        <v>115.68</v>
      </c>
      <c r="J730">
        <v>112.48</v>
      </c>
      <c r="K730">
        <v>114.08000000000001</v>
      </c>
      <c r="L730">
        <v>214.96</v>
      </c>
      <c r="M730">
        <v>206.96</v>
      </c>
      <c r="N730">
        <v>210.96</v>
      </c>
      <c r="O730">
        <v>198.94</v>
      </c>
      <c r="P730">
        <v>197.14</v>
      </c>
      <c r="Q730">
        <v>198.04</v>
      </c>
      <c r="R730">
        <v>24.86</v>
      </c>
      <c r="S730">
        <v>24.259999999999998</v>
      </c>
      <c r="T730">
        <v>24.56</v>
      </c>
      <c r="U730">
        <v>15.9</v>
      </c>
      <c r="V730">
        <v>15.3</v>
      </c>
      <c r="W730">
        <v>15.600000000000001</v>
      </c>
      <c r="X730">
        <v>17.399999999999999</v>
      </c>
      <c r="Y730">
        <v>16.599999999999998</v>
      </c>
      <c r="Z730">
        <v>17</v>
      </c>
      <c r="AA730">
        <v>106.51</v>
      </c>
      <c r="AB730">
        <v>102.51</v>
      </c>
      <c r="AC730">
        <v>104.51</v>
      </c>
      <c r="AD730">
        <v>93.17</v>
      </c>
      <c r="AE730">
        <v>89.17</v>
      </c>
      <c r="AF730">
        <v>91.17</v>
      </c>
      <c r="AG730">
        <v>20.48</v>
      </c>
      <c r="AH730">
        <v>19.62</v>
      </c>
      <c r="AI730">
        <v>20.05</v>
      </c>
      <c r="AM730">
        <v>122.42</v>
      </c>
      <c r="AN730">
        <v>120.76</v>
      </c>
      <c r="AO730">
        <v>121.59</v>
      </c>
      <c r="AP730">
        <v>42.46</v>
      </c>
      <c r="AQ730">
        <v>40.86</v>
      </c>
      <c r="AR730">
        <v>41.66</v>
      </c>
      <c r="AS730">
        <v>43.22</v>
      </c>
      <c r="AT730">
        <v>41.86</v>
      </c>
      <c r="AU730">
        <v>42.54</v>
      </c>
      <c r="AV730">
        <v>22.53</v>
      </c>
      <c r="AW730">
        <v>21.93</v>
      </c>
      <c r="AX730">
        <v>22.23</v>
      </c>
      <c r="AY730">
        <v>5.08</v>
      </c>
      <c r="AZ730">
        <v>4.92</v>
      </c>
      <c r="BA730">
        <v>5</v>
      </c>
      <c r="BB730">
        <v>1.9</v>
      </c>
      <c r="BC730">
        <v>1.5999999999999999</v>
      </c>
      <c r="BD730">
        <v>1.75</v>
      </c>
      <c r="BE730">
        <v>0.71</v>
      </c>
      <c r="BF730">
        <v>0.41</v>
      </c>
      <c r="BG730">
        <v>0.55999999999999994</v>
      </c>
      <c r="BH730">
        <v>516.38</v>
      </c>
      <c r="BI730">
        <v>500.38</v>
      </c>
      <c r="BJ730">
        <v>508.38</v>
      </c>
      <c r="BK730">
        <v>43.54</v>
      </c>
      <c r="BL730">
        <v>42.18</v>
      </c>
      <c r="BM730">
        <v>42.86</v>
      </c>
      <c r="BN730">
        <v>1.05</v>
      </c>
      <c r="BO730">
        <v>0.81</v>
      </c>
      <c r="BP730">
        <v>0.93</v>
      </c>
      <c r="BQ730">
        <v>9.7100000000000009</v>
      </c>
      <c r="BR730">
        <v>7.7100000000000009</v>
      </c>
      <c r="BS730">
        <v>8.7100000000000009</v>
      </c>
      <c r="BT730">
        <v>10.98</v>
      </c>
      <c r="BU730">
        <v>10.58</v>
      </c>
      <c r="BV730">
        <v>10.780000000000001</v>
      </c>
      <c r="BW730">
        <v>2.8</v>
      </c>
      <c r="BX730">
        <v>2.5199999999999996</v>
      </c>
      <c r="BY730">
        <v>2.6599999999999997</v>
      </c>
      <c r="BZ730">
        <v>10.85</v>
      </c>
      <c r="CA730">
        <v>7.85</v>
      </c>
      <c r="CB730">
        <v>9.35</v>
      </c>
      <c r="CC730">
        <v>7.69</v>
      </c>
      <c r="CD730">
        <v>7.45</v>
      </c>
      <c r="CE730">
        <v>7.57</v>
      </c>
      <c r="CF730">
        <v>2.23</v>
      </c>
      <c r="CG730">
        <v>1.73</v>
      </c>
      <c r="CH730">
        <v>1.98</v>
      </c>
      <c r="CI730">
        <v>0.49</v>
      </c>
      <c r="CJ730">
        <v>0.45</v>
      </c>
      <c r="CK730">
        <v>0.47</v>
      </c>
      <c r="CL730">
        <v>44.74</v>
      </c>
      <c r="CM730">
        <v>42.34</v>
      </c>
      <c r="CN730">
        <v>43.540000000000006</v>
      </c>
      <c r="CO730">
        <v>6.15</v>
      </c>
      <c r="CP730">
        <v>1.1500000000000004</v>
      </c>
      <c r="CQ730">
        <v>3.6500000000000004</v>
      </c>
    </row>
    <row r="731" spans="1:95">
      <c r="A731" s="228">
        <v>46017</v>
      </c>
      <c r="B731" t="s">
        <v>100</v>
      </c>
      <c r="C731">
        <v>157.51</v>
      </c>
      <c r="D731">
        <v>155.51</v>
      </c>
      <c r="E731">
        <v>156.51</v>
      </c>
      <c r="F731">
        <v>185.98</v>
      </c>
      <c r="G731">
        <v>182.98</v>
      </c>
      <c r="H731">
        <v>184.48</v>
      </c>
      <c r="I731">
        <v>116.04</v>
      </c>
      <c r="J731">
        <v>112.84</v>
      </c>
      <c r="K731">
        <v>114.44</v>
      </c>
      <c r="L731">
        <v>215.46</v>
      </c>
      <c r="M731">
        <v>207.46</v>
      </c>
      <c r="N731">
        <v>211.46</v>
      </c>
      <c r="O731">
        <v>199.39</v>
      </c>
      <c r="P731">
        <v>197.58999999999997</v>
      </c>
      <c r="Q731">
        <v>198.48999999999998</v>
      </c>
      <c r="R731">
        <v>25</v>
      </c>
      <c r="S731">
        <v>24.4</v>
      </c>
      <c r="T731">
        <v>24.7</v>
      </c>
      <c r="U731">
        <v>15.96</v>
      </c>
      <c r="V731">
        <v>15.360000000000001</v>
      </c>
      <c r="W731">
        <v>15.66</v>
      </c>
      <c r="X731">
        <v>17.46</v>
      </c>
      <c r="Y731">
        <v>16.66</v>
      </c>
      <c r="Z731">
        <v>17.060000000000002</v>
      </c>
      <c r="AA731">
        <v>106.97</v>
      </c>
      <c r="AB731">
        <v>102.97</v>
      </c>
      <c r="AC731">
        <v>104.97</v>
      </c>
      <c r="AD731">
        <v>93.29</v>
      </c>
      <c r="AE731">
        <v>89.29</v>
      </c>
      <c r="AF731">
        <v>91.29</v>
      </c>
      <c r="AG731">
        <v>20.56</v>
      </c>
      <c r="AH731">
        <v>19.7</v>
      </c>
      <c r="AI731">
        <v>20.13</v>
      </c>
      <c r="AM731">
        <v>122.71</v>
      </c>
      <c r="AN731">
        <v>121.05</v>
      </c>
      <c r="AO731">
        <v>121.88</v>
      </c>
      <c r="AP731">
        <v>42.61</v>
      </c>
      <c r="AQ731">
        <v>41.01</v>
      </c>
      <c r="AR731">
        <v>41.81</v>
      </c>
      <c r="AS731">
        <v>43.38</v>
      </c>
      <c r="AT731">
        <v>42.02</v>
      </c>
      <c r="AU731">
        <v>42.7</v>
      </c>
      <c r="AV731">
        <v>22.65</v>
      </c>
      <c r="AW731">
        <v>22.049999999999997</v>
      </c>
      <c r="AX731">
        <v>22.349999999999998</v>
      </c>
      <c r="AY731">
        <v>5.1100000000000003</v>
      </c>
      <c r="AZ731">
        <v>4.95</v>
      </c>
      <c r="BA731">
        <v>5.03</v>
      </c>
      <c r="BB731">
        <v>1.91</v>
      </c>
      <c r="BC731">
        <v>1.6099999999999999</v>
      </c>
      <c r="BD731">
        <v>1.7599999999999998</v>
      </c>
      <c r="BE731">
        <v>0.72</v>
      </c>
      <c r="BF731">
        <v>0.42</v>
      </c>
      <c r="BG731">
        <v>0.56999999999999995</v>
      </c>
      <c r="BH731">
        <v>518.47</v>
      </c>
      <c r="BI731">
        <v>502.47</v>
      </c>
      <c r="BJ731">
        <v>510.47</v>
      </c>
      <c r="BK731">
        <v>43.68</v>
      </c>
      <c r="BL731">
        <v>42.32</v>
      </c>
      <c r="BM731">
        <v>43</v>
      </c>
      <c r="BN731">
        <v>1.06</v>
      </c>
      <c r="BO731">
        <v>0.82000000000000006</v>
      </c>
      <c r="BP731">
        <v>0.94000000000000006</v>
      </c>
      <c r="BQ731">
        <v>9.73</v>
      </c>
      <c r="BR731">
        <v>7.73</v>
      </c>
      <c r="BS731">
        <v>8.73</v>
      </c>
      <c r="BT731">
        <v>11</v>
      </c>
      <c r="BU731">
        <v>10.6</v>
      </c>
      <c r="BV731">
        <v>10.8</v>
      </c>
      <c r="BW731">
        <v>2.81</v>
      </c>
      <c r="BX731">
        <v>2.5300000000000002</v>
      </c>
      <c r="BY731">
        <v>2.67</v>
      </c>
      <c r="BZ731">
        <v>10.9</v>
      </c>
      <c r="CA731">
        <v>7.9</v>
      </c>
      <c r="CB731">
        <v>9.4</v>
      </c>
      <c r="CC731">
        <v>7.72</v>
      </c>
      <c r="CD731">
        <v>7.4799999999999995</v>
      </c>
      <c r="CE731">
        <v>7.6</v>
      </c>
      <c r="CF731">
        <v>2.27</v>
      </c>
      <c r="CG731">
        <v>1.77</v>
      </c>
      <c r="CH731">
        <v>2.02</v>
      </c>
      <c r="CI731">
        <v>0.49</v>
      </c>
      <c r="CJ731">
        <v>0.45</v>
      </c>
      <c r="CK731">
        <v>0.47</v>
      </c>
      <c r="CL731">
        <v>45</v>
      </c>
      <c r="CM731">
        <v>42.6</v>
      </c>
      <c r="CN731">
        <v>43.8</v>
      </c>
      <c r="CO731">
        <v>6.16</v>
      </c>
      <c r="CP731">
        <v>1.1600000000000001</v>
      </c>
      <c r="CQ731">
        <v>3.66</v>
      </c>
    </row>
    <row r="732" spans="1:95">
      <c r="A732" s="228">
        <v>46018</v>
      </c>
      <c r="B732" t="s">
        <v>307</v>
      </c>
    </row>
    <row r="733" spans="1:95">
      <c r="A733" s="228">
        <v>46019</v>
      </c>
      <c r="B733" t="s">
        <v>308</v>
      </c>
    </row>
    <row r="734" spans="1:95">
      <c r="A734" s="228">
        <v>46020</v>
      </c>
      <c r="B734" t="s">
        <v>96</v>
      </c>
      <c r="C734">
        <v>157.47</v>
      </c>
      <c r="D734">
        <v>155.47</v>
      </c>
      <c r="E734">
        <v>156.47</v>
      </c>
      <c r="F734">
        <v>185.79</v>
      </c>
      <c r="G734">
        <v>182.79</v>
      </c>
      <c r="H734">
        <v>184.29</v>
      </c>
      <c r="I734">
        <v>116.07</v>
      </c>
      <c r="J734">
        <v>112.86999999999999</v>
      </c>
      <c r="K734">
        <v>114.47</v>
      </c>
      <c r="L734">
        <v>215.38</v>
      </c>
      <c r="M734">
        <v>207.38</v>
      </c>
      <c r="N734">
        <v>211.38</v>
      </c>
      <c r="O734">
        <v>199.34</v>
      </c>
      <c r="P734">
        <v>197.54</v>
      </c>
      <c r="Q734">
        <v>198.44</v>
      </c>
      <c r="R734">
        <v>24.97</v>
      </c>
      <c r="S734">
        <v>24.369999999999997</v>
      </c>
      <c r="T734">
        <v>24.669999999999998</v>
      </c>
      <c r="U734">
        <v>15.94</v>
      </c>
      <c r="V734">
        <v>15.34</v>
      </c>
      <c r="W734">
        <v>15.64</v>
      </c>
      <c r="X734">
        <v>17.48</v>
      </c>
      <c r="Y734">
        <v>16.68</v>
      </c>
      <c r="Z734">
        <v>17.079999999999998</v>
      </c>
      <c r="AA734">
        <v>107.1</v>
      </c>
      <c r="AB734">
        <v>103.1</v>
      </c>
      <c r="AC734">
        <v>105.1</v>
      </c>
      <c r="AD734">
        <v>93.18</v>
      </c>
      <c r="AE734">
        <v>89.18</v>
      </c>
      <c r="AF734">
        <v>91.18</v>
      </c>
      <c r="AG734">
        <v>20.56</v>
      </c>
      <c r="AH734">
        <v>19.7</v>
      </c>
      <c r="AI734">
        <v>20.13</v>
      </c>
      <c r="AM734">
        <v>122.73</v>
      </c>
      <c r="AN734">
        <v>121.07000000000001</v>
      </c>
      <c r="AO734">
        <v>121.9</v>
      </c>
      <c r="AP734">
        <v>42.6</v>
      </c>
      <c r="AQ734">
        <v>41</v>
      </c>
      <c r="AR734">
        <v>41.8</v>
      </c>
      <c r="AS734">
        <v>43.36</v>
      </c>
      <c r="AT734">
        <v>42</v>
      </c>
      <c r="AU734">
        <v>42.68</v>
      </c>
      <c r="AV734">
        <v>22.64</v>
      </c>
      <c r="AW734">
        <v>22.04</v>
      </c>
      <c r="AX734">
        <v>22.34</v>
      </c>
      <c r="AY734">
        <v>5.1100000000000003</v>
      </c>
      <c r="AZ734">
        <v>4.95</v>
      </c>
      <c r="BA734">
        <v>5.03</v>
      </c>
      <c r="BB734">
        <v>1.91</v>
      </c>
      <c r="BC734">
        <v>1.6099999999999999</v>
      </c>
      <c r="BD734">
        <v>1.7599999999999998</v>
      </c>
      <c r="BE734">
        <v>0.72</v>
      </c>
      <c r="BF734">
        <v>0.42</v>
      </c>
      <c r="BG734">
        <v>0.56999999999999995</v>
      </c>
      <c r="BH734">
        <v>518.66999999999996</v>
      </c>
      <c r="BI734">
        <v>502.66999999999996</v>
      </c>
      <c r="BJ734">
        <v>510.66999999999996</v>
      </c>
      <c r="BK734">
        <v>43.67</v>
      </c>
      <c r="BL734">
        <v>42.31</v>
      </c>
      <c r="BM734">
        <v>42.99</v>
      </c>
      <c r="BN734">
        <v>1.06</v>
      </c>
      <c r="BO734">
        <v>0.82000000000000006</v>
      </c>
      <c r="BP734">
        <v>0.94000000000000006</v>
      </c>
      <c r="BQ734">
        <v>9.75</v>
      </c>
      <c r="BR734">
        <v>7.75</v>
      </c>
      <c r="BS734">
        <v>8.75</v>
      </c>
      <c r="BT734">
        <v>11.11</v>
      </c>
      <c r="BU734">
        <v>10.709999999999999</v>
      </c>
      <c r="BV734">
        <v>10.91</v>
      </c>
      <c r="BW734">
        <v>2.82</v>
      </c>
      <c r="BX734">
        <v>2.54</v>
      </c>
      <c r="BY734">
        <v>2.6799999999999997</v>
      </c>
      <c r="BZ734">
        <v>10.88</v>
      </c>
      <c r="CA734">
        <v>7.8800000000000008</v>
      </c>
      <c r="CB734">
        <v>9.3800000000000008</v>
      </c>
      <c r="CC734">
        <v>7.72</v>
      </c>
      <c r="CD734">
        <v>7.4799999999999995</v>
      </c>
      <c r="CE734">
        <v>7.6</v>
      </c>
      <c r="CF734">
        <v>2.27</v>
      </c>
      <c r="CG734">
        <v>1.77</v>
      </c>
      <c r="CH734">
        <v>2.02</v>
      </c>
      <c r="CI734">
        <v>0.5</v>
      </c>
      <c r="CJ734">
        <v>0.46</v>
      </c>
      <c r="CK734">
        <v>0.48</v>
      </c>
      <c r="CL734">
        <v>44.94</v>
      </c>
      <c r="CM734">
        <v>42.54</v>
      </c>
      <c r="CN734">
        <v>43.739999999999995</v>
      </c>
      <c r="CO734">
        <v>6.15</v>
      </c>
      <c r="CP734">
        <v>1.1500000000000004</v>
      </c>
      <c r="CQ734">
        <v>3.6500000000000004</v>
      </c>
    </row>
    <row r="735" spans="1:95">
      <c r="A735" s="228">
        <v>46021</v>
      </c>
      <c r="B735" t="s">
        <v>97</v>
      </c>
      <c r="C735">
        <v>157.56</v>
      </c>
      <c r="D735">
        <v>155.56</v>
      </c>
      <c r="E735">
        <v>156.56</v>
      </c>
      <c r="F735">
        <v>185.83</v>
      </c>
      <c r="G735">
        <v>182.83</v>
      </c>
      <c r="H735">
        <v>184.33</v>
      </c>
      <c r="I735">
        <v>115.9</v>
      </c>
      <c r="J735">
        <v>112.7</v>
      </c>
      <c r="K735">
        <v>114.30000000000001</v>
      </c>
      <c r="L735">
        <v>215.43</v>
      </c>
      <c r="M735">
        <v>207.43</v>
      </c>
      <c r="N735">
        <v>211.43</v>
      </c>
      <c r="O735">
        <v>199.3</v>
      </c>
      <c r="P735">
        <v>197.5</v>
      </c>
      <c r="Q735">
        <v>198.4</v>
      </c>
      <c r="R735">
        <v>24.98</v>
      </c>
      <c r="S735">
        <v>24.38</v>
      </c>
      <c r="T735">
        <v>24.68</v>
      </c>
      <c r="U735">
        <v>15.9</v>
      </c>
      <c r="V735">
        <v>15.3</v>
      </c>
      <c r="W735">
        <v>15.600000000000001</v>
      </c>
      <c r="X735">
        <v>17.46</v>
      </c>
      <c r="Y735">
        <v>16.66</v>
      </c>
      <c r="Z735">
        <v>17.060000000000002</v>
      </c>
      <c r="AA735">
        <v>106.82</v>
      </c>
      <c r="AB735">
        <v>102.82</v>
      </c>
      <c r="AC735">
        <v>104.82</v>
      </c>
      <c r="AD735">
        <v>92.85</v>
      </c>
      <c r="AE735">
        <v>88.85</v>
      </c>
      <c r="AF735">
        <v>90.85</v>
      </c>
      <c r="AG735">
        <v>20.56</v>
      </c>
      <c r="AH735">
        <v>19.7</v>
      </c>
      <c r="AI735">
        <v>20.13</v>
      </c>
      <c r="AM735">
        <v>122.61</v>
      </c>
      <c r="AN735">
        <v>120.95</v>
      </c>
      <c r="AO735">
        <v>121.78</v>
      </c>
      <c r="AP735">
        <v>42.63</v>
      </c>
      <c r="AQ735">
        <v>41.03</v>
      </c>
      <c r="AR735">
        <v>41.83</v>
      </c>
      <c r="AS735">
        <v>43.4</v>
      </c>
      <c r="AT735">
        <v>42.04</v>
      </c>
      <c r="AU735">
        <v>42.72</v>
      </c>
      <c r="AV735">
        <v>22.66</v>
      </c>
      <c r="AW735">
        <v>22.06</v>
      </c>
      <c r="AX735">
        <v>22.36</v>
      </c>
      <c r="AY735">
        <v>5.05</v>
      </c>
      <c r="AZ735">
        <v>4.8899999999999997</v>
      </c>
      <c r="BA735">
        <v>4.97</v>
      </c>
      <c r="BB735">
        <v>1.91</v>
      </c>
      <c r="BC735">
        <v>1.6099999999999999</v>
      </c>
      <c r="BD735">
        <v>1.7599999999999998</v>
      </c>
      <c r="BE735">
        <v>0.72</v>
      </c>
      <c r="BF735">
        <v>0.42</v>
      </c>
      <c r="BG735">
        <v>0.56999999999999995</v>
      </c>
      <c r="BH735">
        <v>517.64</v>
      </c>
      <c r="BI735">
        <v>501.64</v>
      </c>
      <c r="BJ735">
        <v>509.64</v>
      </c>
      <c r="BK735">
        <v>43.71</v>
      </c>
      <c r="BL735">
        <v>42.35</v>
      </c>
      <c r="BM735">
        <v>43.03</v>
      </c>
      <c r="BN735">
        <v>1.06</v>
      </c>
      <c r="BO735">
        <v>0.82000000000000006</v>
      </c>
      <c r="BP735">
        <v>0.94000000000000006</v>
      </c>
      <c r="BQ735">
        <v>9.6999999999999993</v>
      </c>
      <c r="BR735">
        <v>7.6999999999999993</v>
      </c>
      <c r="BS735">
        <v>8.6999999999999993</v>
      </c>
      <c r="BT735">
        <v>11.14</v>
      </c>
      <c r="BU735">
        <v>10.74</v>
      </c>
      <c r="BV735">
        <v>10.940000000000001</v>
      </c>
      <c r="BW735">
        <v>2.81</v>
      </c>
      <c r="BX735">
        <v>2.5300000000000002</v>
      </c>
      <c r="BY735">
        <v>2.67</v>
      </c>
      <c r="BZ735">
        <v>10.88</v>
      </c>
      <c r="CA735">
        <v>7.8800000000000008</v>
      </c>
      <c r="CB735">
        <v>9.3800000000000008</v>
      </c>
      <c r="CC735">
        <v>7.72</v>
      </c>
      <c r="CD735">
        <v>7.4799999999999995</v>
      </c>
      <c r="CE735">
        <v>7.6</v>
      </c>
      <c r="CF735">
        <v>2.2599999999999998</v>
      </c>
      <c r="CG735">
        <v>1.7599999999999998</v>
      </c>
      <c r="CH735">
        <v>2.0099999999999998</v>
      </c>
      <c r="CI735">
        <v>0.5</v>
      </c>
      <c r="CJ735">
        <v>0.46</v>
      </c>
      <c r="CK735">
        <v>0.48</v>
      </c>
      <c r="CL735">
        <v>44.83</v>
      </c>
      <c r="CM735">
        <v>42.43</v>
      </c>
      <c r="CN735">
        <v>43.629999999999995</v>
      </c>
      <c r="CO735">
        <v>6.15</v>
      </c>
      <c r="CP735">
        <v>1.1500000000000004</v>
      </c>
      <c r="CQ735">
        <v>3.6500000000000004</v>
      </c>
    </row>
    <row r="736" spans="1:95">
      <c r="A736" s="228">
        <v>46022</v>
      </c>
      <c r="B736" t="s">
        <v>98</v>
      </c>
    </row>
  </sheetData>
  <sheetProtection algorithmName="SHA-512" hashValue="gFjw60c6F8VO0uOfZGVhHyYApa6n/yasULiqW0x4rozXg1zV6zAHVmHxkocBdY9Vv/KcuePlJNhNxzhEBKSN2Q==" saltValue="8U90YwEOLOBHYwPbWitEwg==" spinCount="100000" sheet="1" objects="1" scenarios="1" autoFilter="0"/>
  <customSheetViews>
    <customSheetView guid="{AED1A6D3-A4E7-45F8-93C4-DE2B3261C45F}">
      <pane ySplit="3" topLeftCell="A131" activePane="bottomLeft" state="frozen"/>
      <selection pane="bottomLeft" activeCell="K1" sqref="K1"/>
      <pageMargins left="0.7" right="0.7" top="0.75" bottom="0.75" header="0.3" footer="0.3"/>
    </customSheetView>
  </customSheetViews>
  <mergeCells count="29">
    <mergeCell ref="R3:T3"/>
    <mergeCell ref="BQ3:BS3"/>
    <mergeCell ref="AV3:AX3"/>
    <mergeCell ref="BB3:BD3"/>
    <mergeCell ref="U3:W3"/>
    <mergeCell ref="X3:Z3"/>
    <mergeCell ref="AA3:AC3"/>
    <mergeCell ref="AD3:AF3"/>
    <mergeCell ref="C3:E3"/>
    <mergeCell ref="F3:H3"/>
    <mergeCell ref="I3:K3"/>
    <mergeCell ref="L3:N3"/>
    <mergeCell ref="O3:Q3"/>
    <mergeCell ref="BZ3:CB3"/>
    <mergeCell ref="CC3:CE3"/>
    <mergeCell ref="CF3:CH3"/>
    <mergeCell ref="CI3:CK3"/>
    <mergeCell ref="AG3:AI3"/>
    <mergeCell ref="AJ3:AL3"/>
    <mergeCell ref="AM3:AO3"/>
    <mergeCell ref="AP3:AR3"/>
    <mergeCell ref="AS3:AU3"/>
    <mergeCell ref="AY3:BA3"/>
    <mergeCell ref="BW3:BY3"/>
    <mergeCell ref="BE3:BG3"/>
    <mergeCell ref="BN3:BP3"/>
    <mergeCell ref="BT3:BV3"/>
    <mergeCell ref="BH3:BJ3"/>
    <mergeCell ref="BK3:BM3"/>
  </mergeCells>
  <phoneticPr fontId="2"/>
  <conditionalFormatting sqref="B500:B536">
    <cfRule type="expression" dxfId="2" priority="1" stopIfTrue="1">
      <formula>TEXT($B500,"aaa")="土"</formula>
    </cfRule>
    <cfRule type="expression" dxfId="1" priority="2" stopIfTrue="1">
      <formula>TEXT($B500,"aaa")="日"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CA644-70CA-4431-9187-F60A6FAA87DD}">
  <sheetPr codeName="Sheet1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E21" sqref="E21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C28"/>
      <c r="D28"/>
      <c r="E28"/>
      <c r="F28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SJljVVcljMnFaT8jjPT357RoXMvxyleXoePZprHSQG7bGvgUNJ78/3KUjbw7/pDvlDhflJ+G4bCpb4c967p6fw==" saltValue="imAqXlvUxt5OJVgfJ8RlS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800-000000000000}">
      <formula1>CPA_Categories</formula1>
    </dataValidation>
    <dataValidation type="list" sqref="C4" xr:uid="{00000000-0002-0000-0800-000001000000}">
      <formula1>"Japan,America,Other"</formula1>
    </dataValidation>
    <dataValidation type="whole" sqref="B4" xr:uid="{00000000-0002-0000-0800-000002000000}">
      <formula1>1900</formula1>
      <formula2>2100</formula2>
    </dataValidation>
    <dataValidation type="list" showInputMessage="1" showErrorMessage="1" sqref="E7" xr:uid="{F30AE9F3-BCA7-4171-8EB3-6019B73D5BB1}">
      <formula1>CPA_RateTypes</formula1>
    </dataValidation>
    <dataValidation type="list" showInputMessage="1" showErrorMessage="1" sqref="E10" xr:uid="{1964F50A-492A-4ABD-A070-1F8EDF846936}">
      <formula1>CPA_RateTypes</formula1>
    </dataValidation>
    <dataValidation type="list" showInputMessage="1" showErrorMessage="1" sqref="E14" xr:uid="{935074E4-D707-4CA2-BCC7-60CC767914B3}">
      <formula1>CPA_RateTypes</formula1>
    </dataValidation>
    <dataValidation type="list" showInputMessage="1" showErrorMessage="1" sqref="E21" xr:uid="{343BAC6F-C13F-4CBF-A57A-AEBE54C71BDE}">
      <formula1>CPA_RateTypes</formula1>
    </dataValidation>
    <dataValidation type="list" showInputMessage="1" showErrorMessage="1" sqref="E22" xr:uid="{73F7F401-15FD-44C0-9305-13121DEE4DC8}">
      <formula1>CPA_RateTypes</formula1>
    </dataValidation>
    <dataValidation type="list" showInputMessage="1" showErrorMessage="1" sqref="E23" xr:uid="{D017FE1B-8F97-4533-ACF6-449C07B95691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6338A-53EF-4140-A2CF-525A7EA7DFAE}">
  <sheetPr codeName="Sheet1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IuKAnSvhfONz2IlTzAT/LOoKb1By4Xwiv0EyON2MboSRR8v3jHjDYGUWv3yk4rh9VlRRZh9ttnqI69hQgPWolQ==" saltValue="/IJXIdUmSOwoyHIC3hL+r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900-000000000000}">
      <formula1>CPA_Categories</formula1>
    </dataValidation>
    <dataValidation type="list" sqref="C4" xr:uid="{00000000-0002-0000-0900-000001000000}">
      <formula1>"Japan,America,Other"</formula1>
    </dataValidation>
    <dataValidation type="whole" sqref="B4" xr:uid="{00000000-0002-0000-0900-000002000000}">
      <formula1>1900</formula1>
      <formula2>2100</formula2>
    </dataValidation>
    <dataValidation type="list" showInputMessage="1" showErrorMessage="1" sqref="E7" xr:uid="{11096F8A-0EFA-4859-94E9-49B1FAB184DC}">
      <formula1>CPA_RateTypes</formula1>
    </dataValidation>
    <dataValidation type="list" showInputMessage="1" showErrorMessage="1" sqref="E10" xr:uid="{11CB7668-48A1-4B40-A9F2-B1652B1C9B3C}">
      <formula1>CPA_RateTypes</formula1>
    </dataValidation>
    <dataValidation type="list" showInputMessage="1" showErrorMessage="1" sqref="E14" xr:uid="{EAD1FCB8-E2AC-48E5-9538-25572BB480A3}">
      <formula1>CPA_RateTypes</formula1>
    </dataValidation>
    <dataValidation type="list" showInputMessage="1" showErrorMessage="1" sqref="E21" xr:uid="{A725DB72-6332-425B-8139-5285B32C72C7}">
      <formula1>CPA_RateTypes</formula1>
    </dataValidation>
    <dataValidation type="list" showInputMessage="1" showErrorMessage="1" sqref="E22" xr:uid="{D1D343DF-08F8-4EC8-8E63-D6ECAFB8E5AD}">
      <formula1>CPA_RateTypes</formula1>
    </dataValidation>
    <dataValidation type="list" showInputMessage="1" showErrorMessage="1" sqref="E23" xr:uid="{63F55953-AE58-430E-B2DE-0FEAC0B8E507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3337B-E848-4203-8072-D65278506E12}">
  <sheetPr codeName="Sheet1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6e0a+JMZJfqS2YgY5QGzAvpbM8qMbpWTzdGOeriaOSRV13G3T+RSyCJ+oR2hZEkOkfkOTblqFwQTbt3eg7iJ9Q==" saltValue="lihXu52dnl9IpjkQY3RmW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A00-000000000000}">
      <formula1>CPA_Categories</formula1>
    </dataValidation>
    <dataValidation type="list" sqref="C4" xr:uid="{00000000-0002-0000-0A00-000001000000}">
      <formula1>"Japan,America,Other"</formula1>
    </dataValidation>
    <dataValidation type="whole" sqref="B4" xr:uid="{00000000-0002-0000-0A00-000002000000}">
      <formula1>1900</formula1>
      <formula2>2100</formula2>
    </dataValidation>
    <dataValidation type="list" showInputMessage="1" showErrorMessage="1" sqref="E7" xr:uid="{9BCD9AFE-6639-449A-89FE-51A7B4F4DBDD}">
      <formula1>CPA_RateTypes</formula1>
    </dataValidation>
    <dataValidation type="list" showInputMessage="1" showErrorMessage="1" sqref="E10" xr:uid="{5CFD9F55-630D-4126-AED8-1540BDE32902}">
      <formula1>CPA_RateTypes</formula1>
    </dataValidation>
    <dataValidation type="list" showInputMessage="1" showErrorMessage="1" sqref="E14" xr:uid="{D9C708AB-061C-43BF-B120-A7C1767241CF}">
      <formula1>CPA_RateTypes</formula1>
    </dataValidation>
    <dataValidation type="list" showInputMessage="1" showErrorMessage="1" sqref="E21" xr:uid="{764B59F4-37F8-427E-9C16-281FB0145BCC}">
      <formula1>CPA_RateTypes</formula1>
    </dataValidation>
    <dataValidation type="list" showInputMessage="1" showErrorMessage="1" sqref="E22" xr:uid="{AF369A69-A2B3-4770-81EE-F2E6133D80DA}">
      <formula1>CPA_RateTypes</formula1>
    </dataValidation>
    <dataValidation type="list" showInputMessage="1" showErrorMessage="1" sqref="E23" xr:uid="{8B0D8BC3-1ADD-47B9-B102-DC6FE6443477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B0143-B7B9-4079-8061-DA4E54D2EBCB}">
  <sheetPr codeName="Sheet1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RdWKWXuzjg41Li+PUvSWkJBSaffaFYLbtM/kWInrP6L9RfMsXQsGnpmsaNBb08hbnl0UTldzVutlROQiW8I0ag==" saltValue="v7Cj6BG6arOpO+SHGTKCp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B00-000000000000}">
      <formula1>CPA_Categories</formula1>
    </dataValidation>
    <dataValidation type="list" sqref="C4" xr:uid="{00000000-0002-0000-0B00-000001000000}">
      <formula1>"Japan,America,Other"</formula1>
    </dataValidation>
    <dataValidation type="whole" sqref="B4" xr:uid="{00000000-0002-0000-0B00-000002000000}">
      <formula1>1900</formula1>
      <formula2>2100</formula2>
    </dataValidation>
    <dataValidation type="list" showInputMessage="1" showErrorMessage="1" sqref="E7" xr:uid="{60729F26-C835-4E21-82BA-2D8A1DA7E0DB}">
      <formula1>CPA_RateTypes</formula1>
    </dataValidation>
    <dataValidation type="list" showInputMessage="1" showErrorMessage="1" sqref="E10" xr:uid="{FF2C6467-53C4-4066-B8B7-EF13C9209528}">
      <formula1>CPA_RateTypes</formula1>
    </dataValidation>
    <dataValidation type="list" showInputMessage="1" showErrorMessage="1" sqref="E14" xr:uid="{5E9DC7D2-4C64-4152-AAD8-2A63E8CC2FFA}">
      <formula1>CPA_RateTypes</formula1>
    </dataValidation>
    <dataValidation type="list" showInputMessage="1" showErrorMessage="1" sqref="E21" xr:uid="{0FBD958C-63FC-4FF0-9099-3026CC13E9A8}">
      <formula1>CPA_RateTypes</formula1>
    </dataValidation>
    <dataValidation type="list" showInputMessage="1" showErrorMessage="1" sqref="E22" xr:uid="{4081EBE7-EB95-4B21-A0D6-022086D27F9F}">
      <formula1>CPA_RateTypes</formula1>
    </dataValidation>
    <dataValidation type="list" showInputMessage="1" showErrorMessage="1" sqref="E23" xr:uid="{F611AA5F-5667-4737-9934-0706B700B6C6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CB7-DDDE-44C0-AE4E-0DCC29A7DF7C}">
  <sheetPr codeName="Sheet17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289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rD3R+67SwVmxIiwwulM7E3Dmge61DBwGQO6XciePIdlNINzyQlyZ9kRlngTMWHz60XrwrNwVBP1klcTxfZrqPw==" saltValue="JxntFARxFZTZE9ewOXnPjA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C00-000000000000}">
      <formula1>CPA_Categories</formula1>
    </dataValidation>
    <dataValidation type="list" sqref="C4" xr:uid="{00000000-0002-0000-0C00-000001000000}">
      <formula1>"Japan,America,Other"</formula1>
    </dataValidation>
    <dataValidation type="whole" sqref="B4" xr:uid="{00000000-0002-0000-0C00-000002000000}">
      <formula1>1900</formula1>
      <formula2>2100</formula2>
    </dataValidation>
    <dataValidation type="list" showInputMessage="1" showErrorMessage="1" sqref="E7" xr:uid="{C7682AEC-10FB-4C24-97E5-91ADC2C4484F}">
      <formula1>CPA_RateTypes</formula1>
    </dataValidation>
    <dataValidation type="list" showInputMessage="1" showErrorMessage="1" sqref="E10" xr:uid="{A6E329D3-903B-4611-B63E-529F16E1DC11}">
      <formula1>CPA_RateTypes</formula1>
    </dataValidation>
    <dataValidation type="list" showInputMessage="1" showErrorMessage="1" sqref="E14" xr:uid="{3843A5F6-F433-4E14-BC1C-2162C0E21297}">
      <formula1>CPA_RateTypes</formula1>
    </dataValidation>
    <dataValidation type="list" showInputMessage="1" showErrorMessage="1" sqref="E21" xr:uid="{1F572E78-5F42-4720-AF8A-78B7DE444AA7}">
      <formula1>CPA_RateTypes</formula1>
    </dataValidation>
    <dataValidation type="list" showInputMessage="1" showErrorMessage="1" sqref="E22" xr:uid="{856130CE-5A0F-4749-BF23-094DDE0EB6A4}">
      <formula1>CPA_RateTypes</formula1>
    </dataValidation>
    <dataValidation type="list" showInputMessage="1" showErrorMessage="1" sqref="E23" xr:uid="{E5677D03-209F-4CCC-AD15-74118570B88B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822D9-3CA4-447F-9DC2-E930AAD78C9F}">
  <sheetPr codeName="Sheet18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290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Fb0OoeTOzxuDpvBSszlQt77haR6Lah9Piw2OPdCWa5YtfcN/8a85finQp20dNN9yDCIS3gI6f60FoEyF5yoq9A==" saltValue="lB9XqKyiaaNk08yUxGxTZ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D00-000000000000}">
      <formula1>CPA_Categories</formula1>
    </dataValidation>
    <dataValidation type="list" sqref="C4" xr:uid="{00000000-0002-0000-0D00-000001000000}">
      <formula1>"Japan,America,Other"</formula1>
    </dataValidation>
    <dataValidation type="whole" sqref="B4" xr:uid="{00000000-0002-0000-0D00-000002000000}">
      <formula1>1900</formula1>
      <formula2>2100</formula2>
    </dataValidation>
    <dataValidation type="list" showInputMessage="1" showErrorMessage="1" sqref="E7" xr:uid="{8EE944E2-3B08-4FC0-98D4-5640C46EB358}">
      <formula1>CPA_RateTypes</formula1>
    </dataValidation>
    <dataValidation type="list" showInputMessage="1" showErrorMessage="1" sqref="E10" xr:uid="{507A9BA6-D2F1-4841-8786-6E8E04BA284C}">
      <formula1>CPA_RateTypes</formula1>
    </dataValidation>
    <dataValidation type="list" showInputMessage="1" showErrorMessage="1" sqref="E14" xr:uid="{E59B4A56-F375-4928-B2EA-5A0DA8D39DD9}">
      <formula1>CPA_RateTypes</formula1>
    </dataValidation>
    <dataValidation type="list" showInputMessage="1" showErrorMessage="1" sqref="E21" xr:uid="{3710892E-EBCB-436C-A1E7-7ECB0D897996}">
      <formula1>CPA_RateTypes</formula1>
    </dataValidation>
    <dataValidation type="list" showInputMessage="1" showErrorMessage="1" sqref="E22" xr:uid="{7EAEA667-49E3-4D46-9599-052A1B17D93F}">
      <formula1>CPA_RateTypes</formula1>
    </dataValidation>
    <dataValidation type="list" showInputMessage="1" showErrorMessage="1" sqref="E23" xr:uid="{6BEC3FB7-98FE-48C1-8A47-8E3E83167C4A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2F19-D406-4712-A308-F95B5E29579D}">
  <sheetPr codeName="Sheet19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291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jsVGEohiBHcCxhhgA8mtTUslyJAQMC7r/i4jchn/2zS/sm8uTmVR+YkTvxCtdlwxS9bf1OfsxjXuCo0FatPdvw==" saltValue="jNfpA6ciUNPvxRvsZHtlT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E00-000000000000}">
      <formula1>CPA_Categories</formula1>
    </dataValidation>
    <dataValidation type="list" sqref="C4" xr:uid="{00000000-0002-0000-0E00-000001000000}">
      <formula1>"Japan,America,Other"</formula1>
    </dataValidation>
    <dataValidation type="whole" sqref="B4" xr:uid="{00000000-0002-0000-0E00-000002000000}">
      <formula1>1900</formula1>
      <formula2>2100</formula2>
    </dataValidation>
    <dataValidation type="list" showInputMessage="1" showErrorMessage="1" sqref="E7" xr:uid="{1B81FA87-3B5F-4FF3-8C93-34A5B62EA806}">
      <formula1>CPA_RateTypes</formula1>
    </dataValidation>
    <dataValidation type="list" showInputMessage="1" showErrorMessage="1" sqref="E10" xr:uid="{C9E545F7-7B2A-400B-9BDC-2437BF2BF1E9}">
      <formula1>CPA_RateTypes</formula1>
    </dataValidation>
    <dataValidation type="list" showInputMessage="1" showErrorMessage="1" sqref="E14" xr:uid="{6DEE2590-D4CD-40B4-8099-8E1DAA63AC27}">
      <formula1>CPA_RateTypes</formula1>
    </dataValidation>
    <dataValidation type="list" showInputMessage="1" showErrorMessage="1" sqref="E21" xr:uid="{8A5F3F4A-D85E-4577-BCDA-000A16A14026}">
      <formula1>CPA_RateTypes</formula1>
    </dataValidation>
    <dataValidation type="list" showInputMessage="1" showErrorMessage="1" sqref="E22" xr:uid="{CD0DD7C7-5408-4382-96FB-D076A7B4DD3B}">
      <formula1>CPA_RateTypes</formula1>
    </dataValidation>
    <dataValidation type="list" showInputMessage="1" showErrorMessage="1" sqref="E23" xr:uid="{E9F8734A-04C1-4E95-9642-4A96F813D786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4D4CC-F0B6-42AD-84AD-06F9FC500545}">
  <sheetPr codeName="Sheet20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292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343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344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LgeRPovLIlhPvZkGP1SrCAM7f9wk1YaEWRIf/+AvcdzIeZIpUpD9368IZC5BJRJTqFHzni/m8D45qopVt3tNvQ==" saltValue="9BnC5dQgqiClj9hzT/jaM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0F00-000000000000}">
      <formula1>CPA_Categories</formula1>
    </dataValidation>
    <dataValidation type="list" sqref="C4" xr:uid="{00000000-0002-0000-0F00-000001000000}">
      <formula1>"Japan,America,Other"</formula1>
    </dataValidation>
    <dataValidation type="whole" sqref="B4" xr:uid="{00000000-0002-0000-0F00-000002000000}">
      <formula1>1900</formula1>
      <formula2>2100</formula2>
    </dataValidation>
    <dataValidation type="list" showInputMessage="1" showErrorMessage="1" sqref="E7" xr:uid="{952F8161-25B1-40A7-B1E9-93C5236EAA4F}">
      <formula1>CPA_RateTypes</formula1>
    </dataValidation>
    <dataValidation type="list" showInputMessage="1" showErrorMessage="1" sqref="E10" xr:uid="{40456917-E4A6-4FF1-9569-54D2DF0292FC}">
      <formula1>CPA_RateTypes</formula1>
    </dataValidation>
    <dataValidation type="list" showInputMessage="1" showErrorMessage="1" sqref="E14" xr:uid="{0EF49734-9747-4E68-8532-7568884B5EAC}">
      <formula1>CPA_RateTypes</formula1>
    </dataValidation>
    <dataValidation type="list" showInputMessage="1" showErrorMessage="1" sqref="E21" xr:uid="{A11B2EB0-0AF2-4A02-8E35-ABE82ACA8E90}">
      <formula1>CPA_RateTypes</formula1>
    </dataValidation>
    <dataValidation type="list" showInputMessage="1" showErrorMessage="1" sqref="E22" xr:uid="{B14ACE26-73B9-4CF0-9FA9-C80344C59EC1}">
      <formula1>CPA_RateTypes</formula1>
    </dataValidation>
    <dataValidation type="list" showInputMessage="1" showErrorMessage="1" sqref="E23" xr:uid="{E7CFB4BF-39A3-410D-A762-2EABE784FF20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FB9D9-9F79-41D0-8225-DA1C8028A650}">
  <sheetPr codeName="Sheet21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293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tpDTnMzhfZorZj+DNO8sn2XsMwvWQDsqhE5bHjbQlSIABazB5OayEsjzcxg+t2Cc+DlB88BlCBw8iLa5bfTMKg==" saltValue="XfBXotsKZt9rEFiHh51KC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000-000000000000}">
      <formula1>CPA_Categories</formula1>
    </dataValidation>
    <dataValidation type="list" sqref="C4" xr:uid="{00000000-0002-0000-1000-000001000000}">
      <formula1>"Japan,America,Other"</formula1>
    </dataValidation>
    <dataValidation type="whole" sqref="B4" xr:uid="{00000000-0002-0000-1000-000002000000}">
      <formula1>1900</formula1>
      <formula2>2100</formula2>
    </dataValidation>
    <dataValidation type="list" showInputMessage="1" showErrorMessage="1" sqref="E7" xr:uid="{8CCD28C4-003B-4FD9-AD84-E0BBCB3E00B9}">
      <formula1>CPA_RateTypes</formula1>
    </dataValidation>
    <dataValidation type="list" showInputMessage="1" showErrorMessage="1" sqref="E10" xr:uid="{216D1469-9CA5-4D80-A98D-47A54403328D}">
      <formula1>CPA_RateTypes</formula1>
    </dataValidation>
    <dataValidation type="list" showInputMessage="1" showErrorMessage="1" sqref="E14" xr:uid="{F2AAE345-0F40-406A-9069-519F4A21B46E}">
      <formula1>CPA_RateTypes</formula1>
    </dataValidation>
    <dataValidation type="list" showInputMessage="1" showErrorMessage="1" sqref="E21" xr:uid="{37298287-365F-4931-BF83-E339A7CD6449}">
      <formula1>CPA_RateTypes</formula1>
    </dataValidation>
    <dataValidation type="list" showInputMessage="1" showErrorMessage="1" sqref="E22" xr:uid="{4ACB33DC-D766-4B91-8398-E72BB6C8FF7A}">
      <formula1>CPA_RateTypes</formula1>
    </dataValidation>
    <dataValidation type="list" showInputMessage="1" showErrorMessage="1" sqref="E23" xr:uid="{DFD8B55E-3BA0-4EE7-BB2E-1BCB6E437D94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7467D-3E2A-4620-8590-15E7FCF2642C}">
  <sheetPr codeName="Sheet22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294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DAnq1lMpLa8VQY4ryPVFpJJKRITij/0Am5jnh7SAaVUsA2EhLGNW5jjFhk5SWU1mzvXzXhVhewlXIKYtHQHkgQ==" saltValue="y7WoLgd25KUmfIUw9PXFH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100-000000000000}">
      <formula1>CPA_Categories</formula1>
    </dataValidation>
    <dataValidation type="list" sqref="C4" xr:uid="{00000000-0002-0000-1100-000001000000}">
      <formula1>"Japan,America,Other"</formula1>
    </dataValidation>
    <dataValidation type="whole" sqref="B4" xr:uid="{00000000-0002-0000-1100-000002000000}">
      <formula1>1900</formula1>
      <formula2>2100</formula2>
    </dataValidation>
    <dataValidation type="list" showInputMessage="1" showErrorMessage="1" sqref="E7" xr:uid="{E588136A-0AAA-4E72-912B-CAEEDF943900}">
      <formula1>CPA_RateTypes</formula1>
    </dataValidation>
    <dataValidation type="list" showInputMessage="1" showErrorMessage="1" sqref="E10" xr:uid="{5D2E8320-057D-4A70-92D6-04B9D1DAB227}">
      <formula1>CPA_RateTypes</formula1>
    </dataValidation>
    <dataValidation type="list" showInputMessage="1" showErrorMessage="1" sqref="E14" xr:uid="{E5893D6F-CBC8-48C1-A3D2-338D7BAFBE57}">
      <formula1>CPA_RateTypes</formula1>
    </dataValidation>
    <dataValidation type="list" showInputMessage="1" showErrorMessage="1" sqref="E21" xr:uid="{F3DA23C9-1741-4C7C-9263-3064B7423E9D}">
      <formula1>CPA_RateTypes</formula1>
    </dataValidation>
    <dataValidation type="list" showInputMessage="1" showErrorMessage="1" sqref="E22" xr:uid="{7865FFFD-1B34-4463-B2AD-F3A47C44E81B}">
      <formula1>CPA_RateTypes</formula1>
    </dataValidation>
    <dataValidation type="list" showInputMessage="1" showErrorMessage="1" sqref="E23" xr:uid="{C7251E6B-62C0-4B1F-80E2-FDC3C4069EE5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DC7B-F59A-44EC-A786-0617B93E0AAD}">
  <sheetPr codeName="Sheet23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295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kM6KaL1AtRsFrPZJm2T/y0u3xEqUSxxNBr6wrDhMlbl9e0VIEEpbperaseC7tE3WeUPZcvX3FMR78k+PFe3ZWg==" saltValue="XfMaK24dhMUraL9rImRS3Q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200-000000000000}">
      <formula1>CPA_Categories</formula1>
    </dataValidation>
    <dataValidation type="list" sqref="C4" xr:uid="{00000000-0002-0000-1200-000001000000}">
      <formula1>"Japan,America,Other"</formula1>
    </dataValidation>
    <dataValidation type="whole" sqref="B4" xr:uid="{00000000-0002-0000-1200-000002000000}">
      <formula1>1900</formula1>
      <formula2>2100</formula2>
    </dataValidation>
    <dataValidation type="list" showInputMessage="1" showErrorMessage="1" sqref="E7" xr:uid="{1E8BE333-CF3F-44FE-AA8D-D0384406331A}">
      <formula1>CPA_RateTypes</formula1>
    </dataValidation>
    <dataValidation type="list" showInputMessage="1" showErrorMessage="1" sqref="E10" xr:uid="{3F5A2AA6-CC22-4E75-8648-64375C50DC9F}">
      <formula1>CPA_RateTypes</formula1>
    </dataValidation>
    <dataValidation type="list" showInputMessage="1" showErrorMessage="1" sqref="E14" xr:uid="{2C5DBF0F-C7E4-4D37-BA12-82A8D2D9283D}">
      <formula1>CPA_RateTypes</formula1>
    </dataValidation>
    <dataValidation type="list" showInputMessage="1" showErrorMessage="1" sqref="E21" xr:uid="{6C2DB2A3-2441-43BF-9ABE-3C5C76E0CE97}">
      <formula1>CPA_RateTypes</formula1>
    </dataValidation>
    <dataValidation type="list" showInputMessage="1" showErrorMessage="1" sqref="E22" xr:uid="{2E5F77A7-B9BD-4B0D-9960-1F099BC6978B}">
      <formula1>CPA_RateTypes</formula1>
    </dataValidation>
    <dataValidation type="list" showInputMessage="1" showErrorMessage="1" sqref="E23" xr:uid="{AD79AC85-F6E4-4B48-A78E-E7935BC513A5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802C6-6CA0-454C-A042-E56A9CFFB6AF}">
  <sheetPr codeName="Sheet24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296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339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340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</row>
    <row r="29" spans="1:15">
      <c r="A29" s="376"/>
      <c r="B29" s="192"/>
      <c r="G29" s="193"/>
    </row>
    <row r="30" spans="1:15">
      <c r="A30" s="376"/>
      <c r="B30" s="192"/>
      <c r="G30" s="193"/>
    </row>
    <row r="31" spans="1:15">
      <c r="A31" s="376"/>
      <c r="B31" s="192"/>
      <c r="G31" s="193"/>
    </row>
    <row r="32" spans="1:15">
      <c r="A32" s="376"/>
      <c r="B32" s="192"/>
      <c r="G32" s="193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s6OZtILPC2XIyiHnbnU1YgTGAPTNgHAkURy7aGiy0Xp6I9qWrDDC3kDE3J5HaE/GP/Us8obdL3MMhcGcELAr1w==" saltValue="qeXgiaNG5WlcJdAKUvA1aw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300-000000000000}">
      <formula1>CPA_Categories</formula1>
    </dataValidation>
    <dataValidation type="list" sqref="C4" xr:uid="{00000000-0002-0000-1300-000001000000}">
      <formula1>"Japan,America,Other"</formula1>
    </dataValidation>
    <dataValidation type="whole" sqref="B4" xr:uid="{00000000-0002-0000-1300-000002000000}">
      <formula1>1900</formula1>
      <formula2>2100</formula2>
    </dataValidation>
    <dataValidation type="list" showInputMessage="1" showErrorMessage="1" sqref="E7" xr:uid="{80BE61EE-FD1F-4424-B99B-0B651BA4CBA5}">
      <formula1>CPA_RateTypes</formula1>
    </dataValidation>
    <dataValidation type="list" showInputMessage="1" showErrorMessage="1" sqref="E10" xr:uid="{EAAE2B96-7958-44DA-8B98-4FAFB155D2B1}">
      <formula1>CPA_RateTypes</formula1>
    </dataValidation>
    <dataValidation type="list" showInputMessage="1" showErrorMessage="1" sqref="E14" xr:uid="{3AE2F4B9-3994-4444-855C-01585C4697BB}">
      <formula1>CPA_RateTypes</formula1>
    </dataValidation>
    <dataValidation type="list" showInputMessage="1" showErrorMessage="1" sqref="E21" xr:uid="{1255AD4D-415E-4764-AF80-13F3CC803A2B}">
      <formula1>CPA_RateTypes</formula1>
    </dataValidation>
    <dataValidation type="list" showInputMessage="1" showErrorMessage="1" sqref="E22" xr:uid="{FBE0BD31-15E2-41E4-A658-9E00312E28B6}">
      <formula1>CPA_RateTypes</formula1>
    </dataValidation>
    <dataValidation type="list" showInputMessage="1" showErrorMessage="1" sqref="E23" xr:uid="{096FCCA8-9592-4E3F-9FED-9044A7344301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126A3-6F57-4878-AF0D-E568F8BA868F}">
  <sheetPr codeName="Sheet25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 activeCell="D8" sqref="D8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297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E28"/>
      <c r="G28" s="193"/>
      <c r="H28"/>
    </row>
    <row r="29" spans="1:15">
      <c r="A29" s="379"/>
      <c r="B29" s="192"/>
      <c r="E29"/>
      <c r="G29" s="193"/>
      <c r="H29"/>
    </row>
    <row r="30" spans="1:15">
      <c r="A30" s="379"/>
      <c r="B30" s="192"/>
      <c r="D30"/>
      <c r="E30"/>
      <c r="G30" s="193"/>
      <c r="H30"/>
    </row>
    <row r="31" spans="1:15">
      <c r="A31" s="379"/>
      <c r="B31" s="192"/>
      <c r="E31"/>
      <c r="G31" s="193"/>
      <c r="H31"/>
    </row>
    <row r="32" spans="1:15">
      <c r="A32" s="379"/>
      <c r="B32" s="192"/>
      <c r="C32"/>
      <c r="D32"/>
      <c r="E32"/>
      <c r="F3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HQvRulGic5WC8TjyxWf7vpEMB8hON+ezqXKBJSGmyZpYmltBT+FHxSkgAQcQoermEP6yfI5xEuB1CRNjTJwcCg==" saltValue="YiobxCf1kWBFzIeBUwmZcQ==" spinCount="100000" sheet="1" objects="1" scenarios="1" autoFilter="0"/>
  <customSheetViews>
    <customSheetView guid="{AED1A6D3-A4E7-45F8-93C4-DE2B3261C45F}" scale="60" showPageBreaks="1" fitToPage="1" view="pageBreakPreview">
      <selection activeCell="I19" sqref="I19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400-000000000000}">
      <formula1>CPA_Categories</formula1>
    </dataValidation>
    <dataValidation type="list" sqref="C4" xr:uid="{00000000-0002-0000-1400-000001000000}">
      <formula1>"Japan,America,Other"</formula1>
    </dataValidation>
    <dataValidation type="whole" sqref="B4" xr:uid="{00000000-0002-0000-1400-000002000000}">
      <formula1>1900</formula1>
      <formula2>2100</formula2>
    </dataValidation>
    <dataValidation type="list" showInputMessage="1" showErrorMessage="1" sqref="E7" xr:uid="{FFE11CA4-4175-4863-B7BC-28ABCACB4928}">
      <formula1>CPA_RateTypes</formula1>
    </dataValidation>
    <dataValidation type="list" showInputMessage="1" showErrorMessage="1" sqref="E10" xr:uid="{F410C0B9-B394-458D-B77D-4E101C364053}">
      <formula1>CPA_RateTypes</formula1>
    </dataValidation>
    <dataValidation type="list" showInputMessage="1" showErrorMessage="1" sqref="E14" xr:uid="{688879FF-74FA-4BA0-8CE9-792B767493B1}">
      <formula1>CPA_RateTypes</formula1>
    </dataValidation>
    <dataValidation type="list" showInputMessage="1" showErrorMessage="1" sqref="E21" xr:uid="{AAA65E41-87B2-4E1D-A788-C05BF93C3FBD}">
      <formula1>CPA_RateTypes</formula1>
    </dataValidation>
    <dataValidation type="list" showInputMessage="1" showErrorMessage="1" sqref="E22" xr:uid="{DED1C30E-B4D9-4792-A3FD-F60964E132AE}">
      <formula1>CPA_RateTypes</formula1>
    </dataValidation>
    <dataValidation type="list" showInputMessage="1" showErrorMessage="1" sqref="E23" xr:uid="{9B1495FA-9939-406E-8D65-B3316697D590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76A6-5A72-4C77-9BF4-B688B1C0B5E8}">
  <sheetPr codeName="Sheet26">
    <pageSetUpPr fitToPage="1"/>
  </sheetPr>
  <dimension ref="A1:O1000"/>
  <sheetViews>
    <sheetView showGridLines="0" zoomScale="90" zoomScaleNormal="90" workbookViewId="0">
      <pane ySplit="4" topLeftCell="A5" activePane="bottomLeft" state="frozen"/>
      <selection pane="bottomLeft"/>
    </sheetView>
  </sheetViews>
  <sheetFormatPr defaultRowHeight="18"/>
  <cols>
    <col min="1" max="1" width="9.69921875" style="150" customWidth="1"/>
    <col min="2" max="2" width="33.69921875" style="150" customWidth="1"/>
    <col min="3" max="3" width="19.69921875" style="150" customWidth="1"/>
    <col min="4" max="4" width="28.69921875" style="150" customWidth="1"/>
    <col min="5" max="5" width="22.69921875" style="150" customWidth="1"/>
    <col min="6" max="6" width="24.69921875" style="150" customWidth="1"/>
    <col min="7" max="7" width="30.69921875" style="150" customWidth="1"/>
    <col min="8" max="8" width="19.69921875" style="150" customWidth="1"/>
    <col min="9" max="9" width="25.69921875" style="150" customWidth="1"/>
    <col min="10" max="10" width="23.69921875" customWidth="1"/>
    <col min="11" max="15" width="10" style="150" customWidth="1"/>
    <col min="16" max="16384" width="8.796875" style="150"/>
  </cols>
  <sheetData>
    <row r="1" spans="1:11" customFormat="1" ht="25.95" customHeight="1">
      <c r="B1" s="188" t="s">
        <v>298</v>
      </c>
      <c r="C1" s="174"/>
      <c r="D1" s="174"/>
      <c r="E1" s="174"/>
      <c r="F1" s="174"/>
      <c r="G1" s="174"/>
      <c r="H1" s="174"/>
      <c r="I1" s="174"/>
      <c r="J1" s="174"/>
    </row>
    <row r="2" spans="1:11" customFormat="1" ht="25.95" customHeight="1">
      <c r="B2" s="174"/>
      <c r="C2" s="174"/>
      <c r="D2" s="174"/>
      <c r="E2" s="174"/>
      <c r="F2" s="174"/>
      <c r="G2" s="174"/>
      <c r="H2" s="174"/>
      <c r="I2" s="174"/>
      <c r="J2" s="174"/>
    </row>
    <row r="3" spans="1:11" customFormat="1" ht="42" customHeight="1" thickBot="1">
      <c r="B3" s="181" t="s">
        <v>8</v>
      </c>
      <c r="C3" s="181" t="s">
        <v>0</v>
      </c>
      <c r="D3" s="181" t="s">
        <v>1</v>
      </c>
      <c r="E3" s="181" t="s">
        <v>2</v>
      </c>
      <c r="F3" s="182" t="s">
        <v>3</v>
      </c>
      <c r="G3" s="183" t="s">
        <v>161</v>
      </c>
      <c r="H3" s="184" t="s">
        <v>234</v>
      </c>
      <c r="I3" s="184" t="s">
        <v>139</v>
      </c>
      <c r="J3" s="184" t="s">
        <v>150</v>
      </c>
      <c r="K3" s="139"/>
    </row>
    <row r="4" spans="1:11" customFormat="1" ht="37.950000000000003" customHeight="1" thickBot="1">
      <c r="B4" s="185" t="str">
        <f>IF(ISNUMBER(MENU!A2),MENU!A2,"")</f>
        <v/>
      </c>
      <c r="C4" s="412"/>
      <c r="D4" s="412"/>
      <c r="E4" s="412"/>
      <c r="F4" s="412"/>
      <c r="G4" s="412"/>
      <c r="H4" s="186" t="str">
        <f>IF(D4="","",IF(COUNTIF(マスタ!$D$2:$D$20,D4)=0,"CPA review",INDEX(マスタ!$F$2:$F$20,MATCH(D4,マスタ!$D$2:$D$20,0))))</f>
        <v/>
      </c>
      <c r="I4" s="186" t="str">
        <f>IF(D4="","",IF(COUNTIF(マスタ!$D$2:$D$20,D4)=0,"CPA review",INDEX(マスタ!$G$2:$G$20,MATCH(D4,マスタ!$D$2:$D$20,0))))</f>
        <v/>
      </c>
      <c r="J4" s="187" t="str">
        <f>IF(D4="","",IF(C4="America","CPA review",IF(COUNTIF(マスタ!$D$2:$D$20,D4)=0,"CPA review",INDEX(マスタ!$H$2:$H$20,MATCH(D4,マスタ!$D$2:$D$20,0)))))</f>
        <v/>
      </c>
      <c r="K4" s="140"/>
    </row>
    <row r="5" spans="1:11" customFormat="1">
      <c r="K5" s="140"/>
    </row>
    <row r="6" spans="1:11" customFormat="1" ht="18.600000000000001" thickBot="1">
      <c r="A6" s="165"/>
      <c r="B6" s="348" t="s">
        <v>235</v>
      </c>
      <c r="C6" s="160" t="s">
        <v>236</v>
      </c>
      <c r="D6" s="158" t="s">
        <v>341</v>
      </c>
      <c r="E6" s="160" t="s">
        <v>238</v>
      </c>
      <c r="F6" s="160" t="s">
        <v>69</v>
      </c>
      <c r="G6" s="161" t="s">
        <v>239</v>
      </c>
      <c r="H6" s="163"/>
    </row>
    <row r="7" spans="1:11" customFormat="1" ht="25.95" customHeight="1" thickBot="1">
      <c r="A7" s="165"/>
      <c r="B7" s="349"/>
      <c r="C7" s="413"/>
      <c r="D7" s="414"/>
      <c r="E7" s="415" t="s">
        <v>329</v>
      </c>
      <c r="F7" s="416" t="str">
        <f ca="1">IFERROR(FXAutoRate(C7,D7,E7,MENU!$A$2,MENU!$I$2),"")</f>
        <v/>
      </c>
      <c r="G7" s="180" t="str">
        <f>IF(NOT(ISNUMBER(C7)),"",IF(C7=0,0,IF(OR(NOT(ISNUMBER(F7)),F7&lt;=0),"",ROUND(C7/F7,2))))</f>
        <v/>
      </c>
      <c r="H7" s="163"/>
    </row>
    <row r="8" spans="1:11" customFormat="1">
      <c r="C8" s="166"/>
      <c r="E8" s="154"/>
      <c r="F8" s="154"/>
      <c r="G8" s="154"/>
    </row>
    <row r="9" spans="1:11" customFormat="1" ht="18.600000000000001" thickBot="1">
      <c r="A9" s="165"/>
      <c r="B9" s="348" t="s">
        <v>4</v>
      </c>
      <c r="C9" s="167" t="s">
        <v>236</v>
      </c>
      <c r="D9" s="158" t="s">
        <v>342</v>
      </c>
      <c r="E9" s="160" t="s">
        <v>238</v>
      </c>
      <c r="F9" s="160" t="s">
        <v>69</v>
      </c>
      <c r="G9" s="161" t="s">
        <v>239</v>
      </c>
      <c r="H9" s="163"/>
    </row>
    <row r="10" spans="1:11" customFormat="1" ht="25.95" customHeight="1" thickBot="1">
      <c r="A10" s="165"/>
      <c r="B10" s="349"/>
      <c r="C10" s="413"/>
      <c r="D10" s="414"/>
      <c r="E10" s="415" t="s">
        <v>329</v>
      </c>
      <c r="F10" s="416" t="str">
        <f ca="1">IFERROR(FXAutoRate(C10,D10,E10,MENU!$A$2,MENU!$I$2),"")</f>
        <v/>
      </c>
      <c r="G10" s="180" t="str">
        <f>IF(NOT(ISNUMBER(C10)),"",IF(C10=0,0,IF(OR(NOT(ISNUMBER(F10)),F10&lt;=0),"",ROUND(C10/F10,2))))</f>
        <v/>
      </c>
      <c r="H10" s="163"/>
    </row>
    <row r="11" spans="1:11" customFormat="1">
      <c r="C11" s="166"/>
    </row>
    <row r="12" spans="1:11" customFormat="1">
      <c r="C12" s="166"/>
      <c r="D12" s="166"/>
      <c r="E12" s="154"/>
      <c r="F12" s="154"/>
      <c r="G12" s="154"/>
    </row>
    <row r="13" spans="1:11" customFormat="1" ht="18.600000000000001" thickBot="1">
      <c r="A13" s="165"/>
      <c r="B13" s="348" t="s">
        <v>240</v>
      </c>
      <c r="C13" s="167" t="s">
        <v>236</v>
      </c>
      <c r="D13" s="167" t="s">
        <v>241</v>
      </c>
      <c r="E13" s="160" t="s">
        <v>238</v>
      </c>
      <c r="F13" s="160" t="s">
        <v>69</v>
      </c>
      <c r="G13" s="161" t="s">
        <v>239</v>
      </c>
      <c r="H13" s="163"/>
    </row>
    <row r="14" spans="1:11" customFormat="1" ht="25.95" customHeight="1" thickBot="1">
      <c r="A14" s="165"/>
      <c r="B14" s="349"/>
      <c r="C14" s="413"/>
      <c r="D14" s="414"/>
      <c r="E14" s="415" t="s">
        <v>329</v>
      </c>
      <c r="F14" s="416" t="str">
        <f ca="1">IFERROR(FXAutoRate(C14,D14,E14,MENU!$A$2,MENU!$I$2),"")</f>
        <v/>
      </c>
      <c r="G14" s="180" t="str">
        <f>IF(NOT(ISNUMBER(C14)),"",IF(C14=0,0,IF(OR(NOT(ISNUMBER(F14)),F14&lt;=0),"",ROUND(C14/F14,2))))</f>
        <v/>
      </c>
      <c r="H14" s="163"/>
    </row>
    <row r="15" spans="1:11" customFormat="1">
      <c r="C15" s="166"/>
      <c r="D15" s="166"/>
    </row>
    <row r="16" spans="1:11" customFormat="1">
      <c r="C16" s="166"/>
    </row>
    <row r="17" spans="1:15" customFormat="1">
      <c r="A17" s="165"/>
      <c r="B17" s="350" t="s">
        <v>242</v>
      </c>
      <c r="C17" s="168" t="s">
        <v>243</v>
      </c>
      <c r="D17" s="157" t="s">
        <v>239</v>
      </c>
      <c r="E17" s="154"/>
    </row>
    <row r="18" spans="1:15" customFormat="1" ht="28.05" customHeight="1">
      <c r="A18" s="165"/>
      <c r="B18" s="351"/>
      <c r="C18" s="190" t="str">
        <f>IF(NOT(ISNUMBER(C7)),"",C7-N(C10)-N(C14))</f>
        <v/>
      </c>
      <c r="D18" s="189" t="str">
        <f>IF(NOT(ISNUMBER(C7)),"",G7-N(G10)-N(G14))</f>
        <v/>
      </c>
    </row>
    <row r="19" spans="1:15" customFormat="1">
      <c r="C19" s="166"/>
    </row>
    <row r="20" spans="1:15" customFormat="1" ht="18.600000000000001" thickBot="1">
      <c r="A20" s="165"/>
      <c r="B20" s="164" t="s">
        <v>244</v>
      </c>
      <c r="C20" s="167" t="s">
        <v>236</v>
      </c>
      <c r="D20" s="167" t="s">
        <v>241</v>
      </c>
      <c r="E20" s="160" t="s">
        <v>238</v>
      </c>
      <c r="F20" s="160" t="s">
        <v>69</v>
      </c>
      <c r="G20" s="162" t="s">
        <v>239</v>
      </c>
      <c r="H20" s="163"/>
    </row>
    <row r="21" spans="1:15" customFormat="1" ht="25.95" customHeight="1" thickBot="1">
      <c r="A21" s="165"/>
      <c r="B21" s="159" t="s">
        <v>5</v>
      </c>
      <c r="C21" s="413"/>
      <c r="D21" s="414"/>
      <c r="E21" s="415" t="s">
        <v>329</v>
      </c>
      <c r="F21" s="416" t="str">
        <f ca="1">IFERROR(FXAutoRate(C21,D21,E21,MENU!$A$2,MENU!$I$2),"")</f>
        <v/>
      </c>
      <c r="G21" s="180" t="str">
        <f>IF(NOT(ISNUMBER(C21)),"",IF(C21=0,0,IF(OR(NOT(ISNUMBER(F21)),F21&lt;=0),"",ROUND(C21/F21,2))))</f>
        <v/>
      </c>
      <c r="H21" s="163"/>
    </row>
    <row r="22" spans="1:15" customFormat="1" ht="25.95" customHeight="1" thickBot="1">
      <c r="A22" s="165"/>
      <c r="B22" s="159" t="s">
        <v>6</v>
      </c>
      <c r="C22" s="413"/>
      <c r="D22" s="414"/>
      <c r="E22" s="415" t="s">
        <v>329</v>
      </c>
      <c r="F22" s="416" t="str">
        <f ca="1">IFERROR(FXAutoRate(C22,D22,E22,MENU!$A$2,MENU!$I$2),"")</f>
        <v/>
      </c>
      <c r="G22" s="180" t="str">
        <f>IF(NOT(ISNUMBER(C22)),"",IF(C22=0,0,IF(OR(NOT(ISNUMBER(F22)),F22&lt;=0),"",ROUND(C22/F22,2))))</f>
        <v/>
      </c>
      <c r="H22" s="163"/>
    </row>
    <row r="23" spans="1:15" customFormat="1" ht="25.95" customHeight="1" thickBot="1">
      <c r="A23" s="165"/>
      <c r="B23" s="159" t="s">
        <v>7</v>
      </c>
      <c r="C23" s="413"/>
      <c r="D23" s="414"/>
      <c r="E23" s="415" t="s">
        <v>329</v>
      </c>
      <c r="F23" s="416" t="str">
        <f ca="1">IFERROR(FXAutoRate(C23,D23,E23,MENU!$A$2,MENU!$I$2),"")</f>
        <v/>
      </c>
      <c r="G23" s="180" t="str">
        <f>IF(NOT(ISNUMBER(C23)),"",IF(C23=0,0,IF(OR(NOT(ISNUMBER(F23)),F23&lt;=0),"",ROUND(C23/F23,2))))</f>
        <v/>
      </c>
      <c r="H23" s="163"/>
    </row>
    <row r="24" spans="1:15" customFormat="1">
      <c r="B24" s="170"/>
      <c r="C24" s="166"/>
    </row>
    <row r="25" spans="1:15" customFormat="1" ht="30" customHeight="1">
      <c r="B25" s="377" t="s">
        <v>245</v>
      </c>
      <c r="C25" s="377"/>
      <c r="D25" s="377"/>
      <c r="E25" s="377"/>
      <c r="F25" s="377"/>
      <c r="G25" s="377"/>
    </row>
    <row r="26" spans="1:15" customFormat="1" ht="19.95" customHeight="1">
      <c r="B26" s="378" t="s">
        <v>246</v>
      </c>
      <c r="C26" s="378"/>
      <c r="D26" s="378"/>
      <c r="E26" s="378"/>
      <c r="F26" s="378"/>
      <c r="G26" s="378"/>
    </row>
    <row r="27" spans="1:15" customFormat="1" ht="28.05" customHeight="1">
      <c r="A27" s="155" t="s">
        <v>247</v>
      </c>
      <c r="B27" s="191" t="s">
        <v>167</v>
      </c>
      <c r="C27" s="191" t="s">
        <v>1</v>
      </c>
      <c r="D27" s="191" t="s">
        <v>2</v>
      </c>
      <c r="E27" s="191" t="s">
        <v>3</v>
      </c>
      <c r="F27" s="191" t="s">
        <v>161</v>
      </c>
      <c r="G27" s="191" t="s">
        <v>168</v>
      </c>
      <c r="H27" s="191" t="s">
        <v>199</v>
      </c>
      <c r="I27" s="156"/>
      <c r="J27" s="156"/>
      <c r="K27" s="2"/>
      <c r="L27" s="2"/>
      <c r="M27" s="2"/>
      <c r="N27" s="2"/>
      <c r="O27" s="2"/>
    </row>
    <row r="28" spans="1:15" ht="19.2" customHeight="1">
      <c r="A28" s="376"/>
      <c r="B28" s="192"/>
      <c r="G28" s="193"/>
      <c r="H28"/>
    </row>
    <row r="29" spans="1:15">
      <c r="A29" s="379"/>
      <c r="B29" s="192"/>
      <c r="G29" s="193"/>
      <c r="H29"/>
    </row>
    <row r="30" spans="1:15">
      <c r="A30" s="379"/>
      <c r="B30" s="192"/>
      <c r="G30" s="193"/>
      <c r="H30"/>
    </row>
    <row r="31" spans="1:15">
      <c r="A31" s="379"/>
      <c r="B31" s="192"/>
      <c r="G31" s="193"/>
      <c r="H31"/>
    </row>
    <row r="32" spans="1:15">
      <c r="A32" s="379"/>
      <c r="B32" s="192"/>
      <c r="G32" s="193"/>
      <c r="H32"/>
    </row>
    <row r="33" spans="1:7">
      <c r="A33" s="376"/>
      <c r="B33" s="192"/>
      <c r="G33" s="193"/>
    </row>
    <row r="34" spans="1:7">
      <c r="A34" s="376"/>
      <c r="B34" s="192"/>
      <c r="G34" s="193"/>
    </row>
    <row r="35" spans="1:7">
      <c r="A35" s="376"/>
      <c r="B35" s="192"/>
      <c r="G35" s="193"/>
    </row>
    <row r="36" spans="1:7">
      <c r="A36" s="376"/>
      <c r="B36" s="192"/>
      <c r="G36" s="193"/>
    </row>
    <row r="37" spans="1:7">
      <c r="A37" s="376"/>
      <c r="B37" s="192"/>
      <c r="G37" s="193"/>
    </row>
    <row r="38" spans="1:7">
      <c r="A38" s="376"/>
      <c r="B38" s="192"/>
      <c r="G38" s="193"/>
    </row>
    <row r="39" spans="1:7">
      <c r="A39" s="376"/>
      <c r="B39" s="192"/>
      <c r="G39" s="193"/>
    </row>
    <row r="40" spans="1:7">
      <c r="A40" s="376"/>
      <c r="B40" s="192"/>
      <c r="G40" s="193"/>
    </row>
    <row r="41" spans="1:7">
      <c r="A41" s="376"/>
      <c r="B41" s="192"/>
      <c r="G41" s="193"/>
    </row>
    <row r="42" spans="1:7">
      <c r="A42" s="376"/>
      <c r="B42" s="192"/>
      <c r="G42" s="193"/>
    </row>
    <row r="43" spans="1:7">
      <c r="A43" s="376"/>
      <c r="B43" s="192"/>
      <c r="G43" s="193"/>
    </row>
    <row r="44" spans="1:7">
      <c r="A44" s="376"/>
      <c r="B44" s="192"/>
      <c r="G44" s="193"/>
    </row>
    <row r="45" spans="1:7">
      <c r="A45" s="376"/>
      <c r="B45" s="192"/>
      <c r="G45" s="193"/>
    </row>
    <row r="46" spans="1:7">
      <c r="A46" s="376"/>
      <c r="B46" s="192"/>
      <c r="G46" s="193"/>
    </row>
    <row r="47" spans="1:7">
      <c r="A47" s="376"/>
      <c r="B47" s="192"/>
      <c r="G47" s="193"/>
    </row>
    <row r="48" spans="1:7">
      <c r="A48" s="376"/>
      <c r="B48" s="192"/>
      <c r="G48" s="193"/>
    </row>
    <row r="49" spans="1:7">
      <c r="A49" s="376"/>
      <c r="B49" s="192"/>
      <c r="G49" s="193"/>
    </row>
    <row r="50" spans="1:7">
      <c r="A50" s="376"/>
      <c r="B50" s="192"/>
      <c r="G50" s="193"/>
    </row>
    <row r="51" spans="1:7">
      <c r="A51" s="376"/>
      <c r="B51" s="192"/>
      <c r="G51" s="193"/>
    </row>
    <row r="52" spans="1:7">
      <c r="A52" s="376"/>
      <c r="B52" s="192"/>
      <c r="G52" s="193"/>
    </row>
    <row r="53" spans="1:7">
      <c r="A53" s="376"/>
      <c r="B53" s="192"/>
      <c r="G53" s="193"/>
    </row>
    <row r="54" spans="1:7">
      <c r="A54" s="376"/>
      <c r="B54" s="192"/>
      <c r="G54" s="193"/>
    </row>
    <row r="55" spans="1:7">
      <c r="A55" s="376"/>
      <c r="B55" s="192"/>
      <c r="G55" s="193"/>
    </row>
    <row r="56" spans="1:7">
      <c r="A56" s="376"/>
      <c r="B56" s="192"/>
      <c r="G56" s="193"/>
    </row>
    <row r="57" spans="1:7">
      <c r="A57" s="376"/>
      <c r="B57" s="192"/>
      <c r="G57" s="193"/>
    </row>
    <row r="58" spans="1:7">
      <c r="A58" s="376"/>
      <c r="B58" s="192"/>
      <c r="G58" s="193"/>
    </row>
    <row r="59" spans="1:7">
      <c r="A59" s="376"/>
      <c r="B59" s="192"/>
      <c r="G59" s="193"/>
    </row>
    <row r="60" spans="1:7">
      <c r="A60" s="376"/>
      <c r="B60" s="192"/>
      <c r="G60" s="193"/>
    </row>
    <row r="61" spans="1:7">
      <c r="A61" s="376"/>
      <c r="B61" s="192"/>
      <c r="G61" s="193"/>
    </row>
    <row r="62" spans="1:7">
      <c r="A62" s="376"/>
      <c r="B62" s="192"/>
      <c r="G62" s="193"/>
    </row>
    <row r="63" spans="1:7">
      <c r="A63" s="376"/>
      <c r="B63" s="192"/>
      <c r="G63" s="193"/>
    </row>
    <row r="64" spans="1:7">
      <c r="A64" s="376"/>
      <c r="B64" s="192"/>
      <c r="G64" s="193"/>
    </row>
    <row r="65" spans="1:7">
      <c r="A65" s="376"/>
      <c r="B65" s="192"/>
      <c r="G65" s="193"/>
    </row>
    <row r="66" spans="1:7">
      <c r="A66" s="376"/>
      <c r="B66" s="192"/>
      <c r="G66" s="193"/>
    </row>
    <row r="67" spans="1:7">
      <c r="A67" s="376"/>
      <c r="B67" s="192"/>
      <c r="G67" s="193"/>
    </row>
    <row r="68" spans="1:7">
      <c r="A68" s="376"/>
      <c r="B68" s="192"/>
      <c r="G68" s="193"/>
    </row>
    <row r="69" spans="1:7">
      <c r="A69" s="376"/>
      <c r="B69" s="192"/>
      <c r="G69" s="193"/>
    </row>
    <row r="70" spans="1:7">
      <c r="A70" s="376"/>
      <c r="B70" s="192"/>
      <c r="G70" s="193"/>
    </row>
    <row r="71" spans="1:7">
      <c r="A71" s="376"/>
      <c r="B71" s="192"/>
      <c r="G71" s="193"/>
    </row>
    <row r="72" spans="1:7">
      <c r="A72" s="376"/>
      <c r="B72" s="192"/>
      <c r="G72" s="193"/>
    </row>
    <row r="73" spans="1:7">
      <c r="A73" s="376"/>
      <c r="B73" s="192"/>
      <c r="G73" s="193"/>
    </row>
    <row r="74" spans="1:7">
      <c r="A74" s="376"/>
      <c r="B74" s="192"/>
      <c r="G74" s="193"/>
    </row>
    <row r="75" spans="1:7">
      <c r="A75" s="376"/>
      <c r="B75" s="192"/>
      <c r="G75" s="193"/>
    </row>
    <row r="76" spans="1:7">
      <c r="A76" s="376"/>
      <c r="B76" s="192"/>
      <c r="G76" s="193"/>
    </row>
    <row r="77" spans="1:7">
      <c r="A77" s="376"/>
      <c r="B77" s="192"/>
      <c r="G77" s="193"/>
    </row>
    <row r="78" spans="1:7">
      <c r="A78" s="376"/>
      <c r="B78" s="192"/>
      <c r="G78" s="193"/>
    </row>
    <row r="79" spans="1:7">
      <c r="A79" s="376"/>
      <c r="B79" s="192"/>
      <c r="G79" s="193"/>
    </row>
    <row r="80" spans="1:7">
      <c r="A80" s="376"/>
      <c r="B80" s="192"/>
      <c r="G80" s="193"/>
    </row>
    <row r="81" spans="1:7">
      <c r="A81" s="376"/>
      <c r="B81" s="192"/>
      <c r="G81" s="193"/>
    </row>
    <row r="82" spans="1:7">
      <c r="A82" s="376"/>
      <c r="B82" s="192"/>
      <c r="G82" s="193"/>
    </row>
    <row r="83" spans="1:7">
      <c r="A83" s="376"/>
      <c r="B83" s="192"/>
      <c r="G83" s="193"/>
    </row>
    <row r="84" spans="1:7">
      <c r="A84" s="376"/>
      <c r="B84" s="192"/>
      <c r="G84" s="193"/>
    </row>
    <row r="85" spans="1:7">
      <c r="A85" s="376"/>
      <c r="B85" s="192"/>
      <c r="G85" s="193"/>
    </row>
    <row r="86" spans="1:7">
      <c r="A86" s="376"/>
      <c r="B86" s="192"/>
      <c r="G86" s="193"/>
    </row>
    <row r="87" spans="1:7">
      <c r="A87" s="376"/>
      <c r="B87" s="192"/>
      <c r="G87" s="193"/>
    </row>
    <row r="88" spans="1:7">
      <c r="A88" s="376"/>
      <c r="B88" s="192"/>
      <c r="G88" s="193"/>
    </row>
    <row r="89" spans="1:7">
      <c r="A89" s="376"/>
      <c r="B89" s="192"/>
      <c r="G89" s="193"/>
    </row>
    <row r="90" spans="1:7">
      <c r="A90" s="376"/>
      <c r="B90" s="192"/>
      <c r="G90" s="193"/>
    </row>
    <row r="91" spans="1:7">
      <c r="A91" s="376"/>
      <c r="B91" s="192"/>
      <c r="G91" s="193"/>
    </row>
    <row r="92" spans="1:7">
      <c r="A92" s="376"/>
      <c r="B92" s="192"/>
      <c r="G92" s="193"/>
    </row>
    <row r="93" spans="1:7">
      <c r="A93" s="376"/>
      <c r="B93" s="192"/>
      <c r="G93" s="193"/>
    </row>
    <row r="94" spans="1:7">
      <c r="A94" s="376"/>
      <c r="B94" s="192"/>
      <c r="G94" s="193"/>
    </row>
    <row r="95" spans="1:7">
      <c r="A95" s="376"/>
      <c r="B95" s="192"/>
      <c r="G95" s="193"/>
    </row>
    <row r="96" spans="1:7">
      <c r="A96" s="376"/>
      <c r="B96" s="192"/>
      <c r="G96" s="193"/>
    </row>
    <row r="97" spans="1:7">
      <c r="A97" s="376"/>
      <c r="B97" s="192"/>
      <c r="G97" s="193"/>
    </row>
    <row r="98" spans="1:7">
      <c r="A98" s="376"/>
      <c r="B98" s="192"/>
      <c r="G98" s="193"/>
    </row>
    <row r="99" spans="1:7">
      <c r="A99" s="376"/>
      <c r="B99" s="192"/>
      <c r="G99" s="193"/>
    </row>
    <row r="100" spans="1:7">
      <c r="A100" s="376"/>
      <c r="B100" s="192"/>
      <c r="G100" s="193"/>
    </row>
    <row r="101" spans="1:7">
      <c r="A101" s="376"/>
    </row>
    <row r="102" spans="1:7">
      <c r="A102" s="376"/>
    </row>
    <row r="103" spans="1:7">
      <c r="A103" s="376"/>
    </row>
    <row r="104" spans="1:7">
      <c r="A104" s="376"/>
    </row>
    <row r="105" spans="1:7">
      <c r="A105" s="376"/>
    </row>
    <row r="106" spans="1:7">
      <c r="A106" s="376"/>
    </row>
    <row r="107" spans="1:7">
      <c r="A107" s="376"/>
    </row>
    <row r="108" spans="1:7">
      <c r="A108" s="376"/>
    </row>
    <row r="109" spans="1:7">
      <c r="A109" s="376"/>
    </row>
    <row r="110" spans="1:7">
      <c r="A110" s="376"/>
    </row>
    <row r="111" spans="1:7">
      <c r="A111" s="376"/>
    </row>
    <row r="112" spans="1:7">
      <c r="A112" s="376"/>
    </row>
    <row r="113" spans="1:1">
      <c r="A113" s="376"/>
    </row>
    <row r="114" spans="1:1">
      <c r="A114" s="376"/>
    </row>
    <row r="115" spans="1:1">
      <c r="A115" s="376"/>
    </row>
    <row r="116" spans="1:1">
      <c r="A116" s="376"/>
    </row>
    <row r="117" spans="1:1">
      <c r="A117" s="376"/>
    </row>
    <row r="118" spans="1:1">
      <c r="A118" s="376"/>
    </row>
    <row r="119" spans="1:1">
      <c r="A119" s="376"/>
    </row>
    <row r="120" spans="1:1">
      <c r="A120" s="376"/>
    </row>
    <row r="121" spans="1:1">
      <c r="A121" s="376"/>
    </row>
    <row r="122" spans="1:1">
      <c r="A122" s="376"/>
    </row>
    <row r="123" spans="1:1">
      <c r="A123" s="376"/>
    </row>
    <row r="124" spans="1:1">
      <c r="A124" s="376"/>
    </row>
    <row r="125" spans="1:1">
      <c r="A125" s="376"/>
    </row>
    <row r="126" spans="1:1">
      <c r="A126" s="376"/>
    </row>
    <row r="127" spans="1:1">
      <c r="A127" s="376"/>
    </row>
    <row r="128" spans="1:1">
      <c r="A128" s="376"/>
    </row>
    <row r="129" spans="1:1">
      <c r="A129" s="376"/>
    </row>
    <row r="130" spans="1:1">
      <c r="A130" s="376"/>
    </row>
    <row r="131" spans="1:1">
      <c r="A131" s="376"/>
    </row>
    <row r="132" spans="1:1">
      <c r="A132" s="376"/>
    </row>
    <row r="133" spans="1:1">
      <c r="A133" s="376"/>
    </row>
    <row r="134" spans="1:1">
      <c r="A134" s="376"/>
    </row>
    <row r="135" spans="1:1">
      <c r="A135" s="376"/>
    </row>
    <row r="136" spans="1:1">
      <c r="A136" s="376"/>
    </row>
    <row r="137" spans="1:1">
      <c r="A137" s="376"/>
    </row>
    <row r="138" spans="1:1">
      <c r="A138" s="376"/>
    </row>
    <row r="139" spans="1:1">
      <c r="A139" s="376"/>
    </row>
    <row r="140" spans="1:1">
      <c r="A140" s="376"/>
    </row>
    <row r="141" spans="1:1">
      <c r="A141" s="376"/>
    </row>
    <row r="142" spans="1:1">
      <c r="A142" s="376"/>
    </row>
    <row r="143" spans="1:1">
      <c r="A143" s="376"/>
    </row>
    <row r="144" spans="1:1">
      <c r="A144" s="376"/>
    </row>
    <row r="145" spans="1:1">
      <c r="A145" s="376"/>
    </row>
    <row r="146" spans="1:1">
      <c r="A146" s="376"/>
    </row>
    <row r="147" spans="1:1">
      <c r="A147" s="376"/>
    </row>
    <row r="148" spans="1:1">
      <c r="A148" s="376"/>
    </row>
    <row r="149" spans="1:1">
      <c r="A149" s="376"/>
    </row>
    <row r="150" spans="1:1">
      <c r="A150" s="376"/>
    </row>
    <row r="151" spans="1:1">
      <c r="A151" s="376"/>
    </row>
    <row r="152" spans="1:1">
      <c r="A152" s="376"/>
    </row>
    <row r="153" spans="1:1">
      <c r="A153" s="376"/>
    </row>
    <row r="154" spans="1:1">
      <c r="A154" s="376"/>
    </row>
    <row r="155" spans="1:1">
      <c r="A155" s="376"/>
    </row>
    <row r="156" spans="1:1">
      <c r="A156" s="376"/>
    </row>
    <row r="157" spans="1:1">
      <c r="A157" s="376"/>
    </row>
    <row r="158" spans="1:1">
      <c r="A158" s="376"/>
    </row>
    <row r="159" spans="1:1">
      <c r="A159" s="376"/>
    </row>
    <row r="160" spans="1:1">
      <c r="A160" s="376"/>
    </row>
    <row r="161" spans="1:1">
      <c r="A161" s="376"/>
    </row>
    <row r="162" spans="1:1">
      <c r="A162" s="376"/>
    </row>
    <row r="163" spans="1:1">
      <c r="A163" s="376"/>
    </row>
    <row r="164" spans="1:1">
      <c r="A164" s="376"/>
    </row>
    <row r="165" spans="1:1">
      <c r="A165" s="376"/>
    </row>
    <row r="166" spans="1:1">
      <c r="A166" s="376"/>
    </row>
    <row r="167" spans="1:1">
      <c r="A167" s="376"/>
    </row>
    <row r="168" spans="1:1">
      <c r="A168" s="376"/>
    </row>
    <row r="169" spans="1:1">
      <c r="A169" s="376"/>
    </row>
    <row r="170" spans="1:1">
      <c r="A170" s="376"/>
    </row>
    <row r="171" spans="1:1">
      <c r="A171" s="376"/>
    </row>
    <row r="172" spans="1:1">
      <c r="A172" s="376"/>
    </row>
    <row r="173" spans="1:1">
      <c r="A173" s="376"/>
    </row>
    <row r="174" spans="1:1">
      <c r="A174" s="376"/>
    </row>
    <row r="175" spans="1:1">
      <c r="A175" s="376"/>
    </row>
    <row r="176" spans="1:1">
      <c r="A176" s="376"/>
    </row>
    <row r="177" spans="1:1">
      <c r="A177" s="376"/>
    </row>
    <row r="178" spans="1:1">
      <c r="A178" s="376"/>
    </row>
    <row r="179" spans="1:1">
      <c r="A179" s="376"/>
    </row>
    <row r="180" spans="1:1">
      <c r="A180" s="376"/>
    </row>
    <row r="181" spans="1:1">
      <c r="A181" s="376"/>
    </row>
    <row r="182" spans="1:1">
      <c r="A182" s="376"/>
    </row>
    <row r="183" spans="1:1">
      <c r="A183" s="376"/>
    </row>
    <row r="184" spans="1:1">
      <c r="A184" s="376"/>
    </row>
    <row r="185" spans="1:1">
      <c r="A185" s="376"/>
    </row>
    <row r="186" spans="1:1">
      <c r="A186" s="376"/>
    </row>
    <row r="187" spans="1:1">
      <c r="A187" s="376"/>
    </row>
    <row r="188" spans="1:1">
      <c r="A188" s="376"/>
    </row>
    <row r="189" spans="1:1">
      <c r="A189" s="376"/>
    </row>
    <row r="190" spans="1:1">
      <c r="A190" s="376"/>
    </row>
    <row r="191" spans="1:1">
      <c r="A191" s="376"/>
    </row>
    <row r="192" spans="1:1">
      <c r="A192" s="376"/>
    </row>
    <row r="193" spans="1:1">
      <c r="A193" s="376"/>
    </row>
    <row r="194" spans="1:1">
      <c r="A194" s="376"/>
    </row>
    <row r="195" spans="1:1">
      <c r="A195" s="376"/>
    </row>
    <row r="196" spans="1:1">
      <c r="A196" s="376"/>
    </row>
    <row r="197" spans="1:1">
      <c r="A197" s="376"/>
    </row>
    <row r="198" spans="1:1">
      <c r="A198" s="376"/>
    </row>
    <row r="199" spans="1:1">
      <c r="A199" s="376"/>
    </row>
    <row r="200" spans="1:1">
      <c r="A200" s="376"/>
    </row>
    <row r="201" spans="1:1">
      <c r="A201" s="376"/>
    </row>
    <row r="202" spans="1:1">
      <c r="A202" s="376"/>
    </row>
    <row r="203" spans="1:1">
      <c r="A203" s="376"/>
    </row>
    <row r="204" spans="1:1">
      <c r="A204" s="376"/>
    </row>
    <row r="205" spans="1:1">
      <c r="A205" s="376"/>
    </row>
    <row r="206" spans="1:1">
      <c r="A206" s="376"/>
    </row>
    <row r="207" spans="1:1">
      <c r="A207" s="376"/>
    </row>
    <row r="208" spans="1:1">
      <c r="A208" s="376"/>
    </row>
    <row r="209" spans="1:1">
      <c r="A209" s="376"/>
    </row>
    <row r="210" spans="1:1">
      <c r="A210" s="376"/>
    </row>
    <row r="211" spans="1:1">
      <c r="A211" s="376"/>
    </row>
    <row r="212" spans="1:1">
      <c r="A212" s="376"/>
    </row>
    <row r="213" spans="1:1">
      <c r="A213" s="376"/>
    </row>
    <row r="214" spans="1:1">
      <c r="A214" s="376"/>
    </row>
    <row r="215" spans="1:1">
      <c r="A215" s="376"/>
    </row>
    <row r="216" spans="1:1">
      <c r="A216" s="376"/>
    </row>
    <row r="217" spans="1:1">
      <c r="A217" s="376"/>
    </row>
    <row r="218" spans="1:1">
      <c r="A218" s="376"/>
    </row>
    <row r="219" spans="1:1">
      <c r="A219" s="376"/>
    </row>
    <row r="220" spans="1:1">
      <c r="A220" s="376"/>
    </row>
    <row r="221" spans="1:1">
      <c r="A221" s="376"/>
    </row>
    <row r="222" spans="1:1">
      <c r="A222" s="376"/>
    </row>
    <row r="223" spans="1:1">
      <c r="A223" s="376"/>
    </row>
    <row r="224" spans="1:1">
      <c r="A224" s="376"/>
    </row>
    <row r="225" spans="1:1">
      <c r="A225" s="376"/>
    </row>
    <row r="226" spans="1:1">
      <c r="A226" s="376"/>
    </row>
    <row r="227" spans="1:1">
      <c r="A227" s="376"/>
    </row>
    <row r="228" spans="1:1">
      <c r="A228" s="376"/>
    </row>
    <row r="229" spans="1:1">
      <c r="A229" s="376"/>
    </row>
    <row r="230" spans="1:1">
      <c r="A230" s="376"/>
    </row>
    <row r="231" spans="1:1">
      <c r="A231" s="376"/>
    </row>
    <row r="232" spans="1:1">
      <c r="A232" s="376"/>
    </row>
    <row r="233" spans="1:1">
      <c r="A233" s="376"/>
    </row>
    <row r="234" spans="1:1">
      <c r="A234" s="376"/>
    </row>
    <row r="235" spans="1:1">
      <c r="A235" s="376"/>
    </row>
    <row r="236" spans="1:1">
      <c r="A236" s="376"/>
    </row>
    <row r="237" spans="1:1">
      <c r="A237" s="376"/>
    </row>
    <row r="238" spans="1:1">
      <c r="A238" s="376"/>
    </row>
    <row r="239" spans="1:1">
      <c r="A239" s="376"/>
    </row>
    <row r="240" spans="1:1">
      <c r="A240" s="376"/>
    </row>
    <row r="241" spans="1:1">
      <c r="A241" s="376"/>
    </row>
    <row r="242" spans="1:1">
      <c r="A242" s="376"/>
    </row>
    <row r="243" spans="1:1">
      <c r="A243" s="376"/>
    </row>
    <row r="244" spans="1:1">
      <c r="A244" s="376"/>
    </row>
    <row r="245" spans="1:1">
      <c r="A245" s="376"/>
    </row>
    <row r="246" spans="1:1">
      <c r="A246" s="376"/>
    </row>
    <row r="247" spans="1:1">
      <c r="A247" s="376"/>
    </row>
    <row r="248" spans="1:1">
      <c r="A248" s="376"/>
    </row>
    <row r="249" spans="1:1">
      <c r="A249" s="376"/>
    </row>
    <row r="250" spans="1:1">
      <c r="A250" s="376"/>
    </row>
    <row r="251" spans="1:1">
      <c r="A251" s="376"/>
    </row>
    <row r="252" spans="1:1">
      <c r="A252" s="376"/>
    </row>
    <row r="253" spans="1:1">
      <c r="A253" s="376"/>
    </row>
    <row r="254" spans="1:1">
      <c r="A254" s="376"/>
    </row>
    <row r="255" spans="1:1">
      <c r="A255" s="376"/>
    </row>
    <row r="256" spans="1:1">
      <c r="A256" s="376"/>
    </row>
    <row r="257" spans="1:1">
      <c r="A257" s="376"/>
    </row>
    <row r="258" spans="1:1">
      <c r="A258" s="376"/>
    </row>
    <row r="259" spans="1:1">
      <c r="A259" s="376"/>
    </row>
    <row r="260" spans="1:1">
      <c r="A260" s="376"/>
    </row>
    <row r="261" spans="1:1">
      <c r="A261" s="376"/>
    </row>
    <row r="262" spans="1:1">
      <c r="A262" s="376"/>
    </row>
    <row r="263" spans="1:1">
      <c r="A263" s="376"/>
    </row>
    <row r="264" spans="1:1">
      <c r="A264" s="376"/>
    </row>
    <row r="265" spans="1:1">
      <c r="A265" s="376"/>
    </row>
    <row r="266" spans="1:1">
      <c r="A266" s="376"/>
    </row>
    <row r="267" spans="1:1">
      <c r="A267" s="376"/>
    </row>
    <row r="268" spans="1:1">
      <c r="A268" s="376"/>
    </row>
    <row r="269" spans="1:1">
      <c r="A269" s="376"/>
    </row>
    <row r="270" spans="1:1">
      <c r="A270" s="376"/>
    </row>
    <row r="271" spans="1:1">
      <c r="A271" s="376"/>
    </row>
    <row r="272" spans="1:1">
      <c r="A272" s="376"/>
    </row>
    <row r="273" spans="1:1">
      <c r="A273" s="376"/>
    </row>
    <row r="274" spans="1:1">
      <c r="A274" s="376"/>
    </row>
    <row r="275" spans="1:1">
      <c r="A275" s="376"/>
    </row>
    <row r="276" spans="1:1">
      <c r="A276" s="376"/>
    </row>
    <row r="277" spans="1:1">
      <c r="A277" s="376"/>
    </row>
    <row r="278" spans="1:1">
      <c r="A278" s="376"/>
    </row>
    <row r="279" spans="1:1">
      <c r="A279" s="376"/>
    </row>
    <row r="280" spans="1:1">
      <c r="A280" s="376"/>
    </row>
    <row r="281" spans="1:1">
      <c r="A281" s="376"/>
    </row>
    <row r="282" spans="1:1">
      <c r="A282" s="376"/>
    </row>
    <row r="283" spans="1:1">
      <c r="A283" s="376"/>
    </row>
    <row r="284" spans="1:1">
      <c r="A284" s="376"/>
    </row>
    <row r="285" spans="1:1">
      <c r="A285" s="376"/>
    </row>
    <row r="286" spans="1:1">
      <c r="A286" s="376"/>
    </row>
    <row r="287" spans="1:1">
      <c r="A287" s="376"/>
    </row>
    <row r="288" spans="1:1">
      <c r="A288" s="376"/>
    </row>
    <row r="289" spans="1:1">
      <c r="A289" s="376"/>
    </row>
    <row r="290" spans="1:1">
      <c r="A290" s="376"/>
    </row>
    <row r="291" spans="1:1">
      <c r="A291" s="376"/>
    </row>
    <row r="292" spans="1:1">
      <c r="A292" s="376"/>
    </row>
    <row r="293" spans="1:1">
      <c r="A293" s="376"/>
    </row>
    <row r="294" spans="1:1">
      <c r="A294" s="376"/>
    </row>
    <row r="295" spans="1:1">
      <c r="A295" s="376"/>
    </row>
    <row r="296" spans="1:1">
      <c r="A296" s="376"/>
    </row>
    <row r="297" spans="1:1">
      <c r="A297" s="376"/>
    </row>
    <row r="298" spans="1:1">
      <c r="A298" s="376"/>
    </row>
    <row r="299" spans="1:1">
      <c r="A299" s="376"/>
    </row>
    <row r="300" spans="1:1">
      <c r="A300" s="376"/>
    </row>
    <row r="301" spans="1:1">
      <c r="A301" s="376"/>
    </row>
    <row r="302" spans="1:1">
      <c r="A302" s="376"/>
    </row>
    <row r="303" spans="1:1">
      <c r="A303" s="376"/>
    </row>
    <row r="304" spans="1:1">
      <c r="A304" s="376"/>
    </row>
    <row r="305" spans="1:1">
      <c r="A305" s="376"/>
    </row>
    <row r="306" spans="1:1">
      <c r="A306" s="376"/>
    </row>
    <row r="307" spans="1:1">
      <c r="A307" s="376"/>
    </row>
    <row r="308" spans="1:1">
      <c r="A308" s="376"/>
    </row>
    <row r="309" spans="1:1">
      <c r="A309" s="376"/>
    </row>
    <row r="310" spans="1:1">
      <c r="A310" s="376"/>
    </row>
    <row r="311" spans="1:1">
      <c r="A311" s="376"/>
    </row>
    <row r="312" spans="1:1">
      <c r="A312" s="376"/>
    </row>
    <row r="313" spans="1:1">
      <c r="A313" s="376"/>
    </row>
    <row r="314" spans="1:1">
      <c r="A314" s="376"/>
    </row>
    <row r="315" spans="1:1">
      <c r="A315" s="376"/>
    </row>
    <row r="316" spans="1:1">
      <c r="A316" s="376"/>
    </row>
    <row r="317" spans="1:1">
      <c r="A317" s="376"/>
    </row>
    <row r="318" spans="1:1">
      <c r="A318" s="376"/>
    </row>
    <row r="319" spans="1:1">
      <c r="A319" s="376"/>
    </row>
    <row r="320" spans="1:1">
      <c r="A320" s="376"/>
    </row>
    <row r="321" spans="1:1">
      <c r="A321" s="376"/>
    </row>
    <row r="322" spans="1:1">
      <c r="A322" s="376"/>
    </row>
    <row r="323" spans="1:1">
      <c r="A323" s="376"/>
    </row>
    <row r="324" spans="1:1">
      <c r="A324" s="376"/>
    </row>
    <row r="325" spans="1:1">
      <c r="A325" s="376"/>
    </row>
    <row r="326" spans="1:1">
      <c r="A326" s="376"/>
    </row>
    <row r="327" spans="1:1">
      <c r="A327" s="376"/>
    </row>
    <row r="328" spans="1:1">
      <c r="A328" s="376"/>
    </row>
    <row r="329" spans="1:1">
      <c r="A329" s="376"/>
    </row>
    <row r="330" spans="1:1">
      <c r="A330" s="376"/>
    </row>
    <row r="331" spans="1:1">
      <c r="A331" s="376"/>
    </row>
    <row r="332" spans="1:1">
      <c r="A332" s="376"/>
    </row>
    <row r="333" spans="1:1">
      <c r="A333" s="376"/>
    </row>
    <row r="334" spans="1:1">
      <c r="A334" s="376"/>
    </row>
    <row r="335" spans="1:1">
      <c r="A335" s="376"/>
    </row>
    <row r="336" spans="1:1">
      <c r="A336" s="376"/>
    </row>
    <row r="337" spans="1:1">
      <c r="A337" s="376"/>
    </row>
    <row r="338" spans="1:1">
      <c r="A338" s="376"/>
    </row>
    <row r="339" spans="1:1">
      <c r="A339" s="376"/>
    </row>
    <row r="340" spans="1:1">
      <c r="A340" s="376"/>
    </row>
    <row r="341" spans="1:1">
      <c r="A341" s="376"/>
    </row>
    <row r="342" spans="1:1">
      <c r="A342" s="376"/>
    </row>
    <row r="343" spans="1:1">
      <c r="A343" s="376"/>
    </row>
    <row r="344" spans="1:1">
      <c r="A344" s="376"/>
    </row>
    <row r="345" spans="1:1">
      <c r="A345" s="376"/>
    </row>
    <row r="346" spans="1:1">
      <c r="A346" s="376"/>
    </row>
    <row r="347" spans="1:1">
      <c r="A347" s="376"/>
    </row>
    <row r="348" spans="1:1">
      <c r="A348" s="376"/>
    </row>
    <row r="349" spans="1:1">
      <c r="A349" s="376"/>
    </row>
    <row r="350" spans="1:1">
      <c r="A350" s="376"/>
    </row>
    <row r="351" spans="1:1">
      <c r="A351" s="376"/>
    </row>
    <row r="352" spans="1:1">
      <c r="A352" s="376"/>
    </row>
    <row r="353" spans="1:1">
      <c r="A353" s="376"/>
    </row>
    <row r="354" spans="1:1">
      <c r="A354" s="376"/>
    </row>
    <row r="355" spans="1:1">
      <c r="A355" s="376"/>
    </row>
    <row r="356" spans="1:1">
      <c r="A356" s="376"/>
    </row>
    <row r="357" spans="1:1">
      <c r="A357" s="376"/>
    </row>
    <row r="358" spans="1:1">
      <c r="A358" s="376"/>
    </row>
    <row r="359" spans="1:1">
      <c r="A359" s="376"/>
    </row>
    <row r="360" spans="1:1">
      <c r="A360" s="376"/>
    </row>
    <row r="361" spans="1:1">
      <c r="A361" s="376"/>
    </row>
    <row r="362" spans="1:1">
      <c r="A362" s="376"/>
    </row>
    <row r="363" spans="1:1">
      <c r="A363" s="376"/>
    </row>
    <row r="364" spans="1:1">
      <c r="A364" s="376"/>
    </row>
    <row r="365" spans="1:1">
      <c r="A365" s="376"/>
    </row>
    <row r="366" spans="1:1">
      <c r="A366" s="376"/>
    </row>
    <row r="367" spans="1:1">
      <c r="A367" s="376"/>
    </row>
    <row r="368" spans="1:1">
      <c r="A368" s="376"/>
    </row>
    <row r="369" spans="1:1">
      <c r="A369" s="376"/>
    </row>
    <row r="370" spans="1:1">
      <c r="A370" s="376"/>
    </row>
    <row r="371" spans="1:1">
      <c r="A371" s="376"/>
    </row>
    <row r="372" spans="1:1">
      <c r="A372" s="376"/>
    </row>
    <row r="373" spans="1:1">
      <c r="A373" s="376"/>
    </row>
    <row r="374" spans="1:1">
      <c r="A374" s="376"/>
    </row>
    <row r="375" spans="1:1">
      <c r="A375" s="376"/>
    </row>
    <row r="376" spans="1:1">
      <c r="A376" s="376"/>
    </row>
    <row r="377" spans="1:1">
      <c r="A377" s="376"/>
    </row>
    <row r="378" spans="1:1">
      <c r="A378" s="376"/>
    </row>
    <row r="379" spans="1:1">
      <c r="A379" s="376"/>
    </row>
    <row r="380" spans="1:1">
      <c r="A380" s="376"/>
    </row>
    <row r="381" spans="1:1">
      <c r="A381" s="376"/>
    </row>
    <row r="382" spans="1:1">
      <c r="A382" s="376"/>
    </row>
    <row r="383" spans="1:1">
      <c r="A383" s="376"/>
    </row>
    <row r="384" spans="1:1">
      <c r="A384" s="376"/>
    </row>
    <row r="385" spans="1:1">
      <c r="A385" s="376"/>
    </row>
    <row r="386" spans="1:1">
      <c r="A386" s="376"/>
    </row>
    <row r="387" spans="1:1">
      <c r="A387" s="376"/>
    </row>
    <row r="388" spans="1:1">
      <c r="A388" s="376"/>
    </row>
    <row r="389" spans="1:1">
      <c r="A389" s="376"/>
    </row>
    <row r="390" spans="1:1">
      <c r="A390" s="376"/>
    </row>
    <row r="391" spans="1:1">
      <c r="A391" s="376"/>
    </row>
    <row r="392" spans="1:1">
      <c r="A392" s="376"/>
    </row>
    <row r="393" spans="1:1">
      <c r="A393" s="376"/>
    </row>
    <row r="394" spans="1:1">
      <c r="A394" s="376"/>
    </row>
    <row r="395" spans="1:1">
      <c r="A395" s="376"/>
    </row>
    <row r="396" spans="1:1">
      <c r="A396" s="376"/>
    </row>
    <row r="397" spans="1:1">
      <c r="A397" s="376"/>
    </row>
    <row r="398" spans="1:1">
      <c r="A398" s="376"/>
    </row>
    <row r="399" spans="1:1">
      <c r="A399" s="376"/>
    </row>
    <row r="400" spans="1:1">
      <c r="A400" s="376"/>
    </row>
    <row r="401" spans="1:1">
      <c r="A401" s="376"/>
    </row>
    <row r="402" spans="1:1">
      <c r="A402" s="376"/>
    </row>
    <row r="403" spans="1:1">
      <c r="A403" s="376"/>
    </row>
    <row r="404" spans="1:1">
      <c r="A404" s="376"/>
    </row>
    <row r="405" spans="1:1">
      <c r="A405" s="376"/>
    </row>
    <row r="406" spans="1:1">
      <c r="A406" s="376"/>
    </row>
    <row r="407" spans="1:1">
      <c r="A407" s="376"/>
    </row>
    <row r="408" spans="1:1">
      <c r="A408" s="376"/>
    </row>
    <row r="409" spans="1:1">
      <c r="A409" s="376"/>
    </row>
    <row r="410" spans="1:1">
      <c r="A410" s="376"/>
    </row>
    <row r="411" spans="1:1">
      <c r="A411" s="376"/>
    </row>
    <row r="412" spans="1:1">
      <c r="A412" s="376"/>
    </row>
    <row r="413" spans="1:1">
      <c r="A413" s="376"/>
    </row>
    <row r="414" spans="1:1">
      <c r="A414" s="376"/>
    </row>
    <row r="415" spans="1:1">
      <c r="A415" s="376"/>
    </row>
    <row r="416" spans="1:1">
      <c r="A416" s="376"/>
    </row>
    <row r="417" spans="1:1">
      <c r="A417" s="376"/>
    </row>
    <row r="418" spans="1:1">
      <c r="A418" s="376"/>
    </row>
    <row r="419" spans="1:1">
      <c r="A419" s="376"/>
    </row>
    <row r="420" spans="1:1">
      <c r="A420" s="376"/>
    </row>
    <row r="421" spans="1:1">
      <c r="A421" s="376"/>
    </row>
    <row r="422" spans="1:1">
      <c r="A422" s="376"/>
    </row>
    <row r="423" spans="1:1">
      <c r="A423" s="376"/>
    </row>
    <row r="424" spans="1:1">
      <c r="A424" s="376"/>
    </row>
    <row r="425" spans="1:1">
      <c r="A425" s="376"/>
    </row>
    <row r="426" spans="1:1">
      <c r="A426" s="376"/>
    </row>
    <row r="427" spans="1:1">
      <c r="A427" s="376"/>
    </row>
    <row r="428" spans="1:1">
      <c r="A428" s="376"/>
    </row>
    <row r="429" spans="1:1">
      <c r="A429" s="376"/>
    </row>
    <row r="430" spans="1:1">
      <c r="A430" s="376"/>
    </row>
    <row r="431" spans="1:1">
      <c r="A431" s="376"/>
    </row>
    <row r="432" spans="1:1">
      <c r="A432" s="376"/>
    </row>
    <row r="433" spans="1:1">
      <c r="A433" s="376"/>
    </row>
    <row r="434" spans="1:1">
      <c r="A434" s="376"/>
    </row>
    <row r="435" spans="1:1">
      <c r="A435" s="376"/>
    </row>
    <row r="436" spans="1:1">
      <c r="A436" s="376"/>
    </row>
    <row r="437" spans="1:1">
      <c r="A437" s="376"/>
    </row>
    <row r="438" spans="1:1">
      <c r="A438" s="376"/>
    </row>
    <row r="439" spans="1:1">
      <c r="A439" s="376"/>
    </row>
    <row r="440" spans="1:1">
      <c r="A440" s="376"/>
    </row>
    <row r="441" spans="1:1">
      <c r="A441" s="376"/>
    </row>
    <row r="442" spans="1:1">
      <c r="A442" s="376"/>
    </row>
    <row r="443" spans="1:1">
      <c r="A443" s="376"/>
    </row>
    <row r="444" spans="1:1">
      <c r="A444" s="376"/>
    </row>
    <row r="445" spans="1:1">
      <c r="A445" s="376"/>
    </row>
    <row r="446" spans="1:1">
      <c r="A446" s="376"/>
    </row>
    <row r="447" spans="1:1">
      <c r="A447" s="376"/>
    </row>
    <row r="448" spans="1:1">
      <c r="A448" s="376"/>
    </row>
    <row r="449" spans="1:1">
      <c r="A449" s="376"/>
    </row>
    <row r="450" spans="1:1">
      <c r="A450" s="376"/>
    </row>
    <row r="451" spans="1:1">
      <c r="A451" s="376"/>
    </row>
    <row r="452" spans="1:1">
      <c r="A452" s="376"/>
    </row>
    <row r="453" spans="1:1">
      <c r="A453" s="376"/>
    </row>
    <row r="454" spans="1:1">
      <c r="A454" s="376"/>
    </row>
    <row r="455" spans="1:1">
      <c r="A455" s="376"/>
    </row>
    <row r="456" spans="1:1">
      <c r="A456" s="376"/>
    </row>
    <row r="457" spans="1:1">
      <c r="A457" s="376"/>
    </row>
    <row r="458" spans="1:1">
      <c r="A458" s="376"/>
    </row>
    <row r="459" spans="1:1">
      <c r="A459" s="376"/>
    </row>
    <row r="460" spans="1:1">
      <c r="A460" s="376"/>
    </row>
    <row r="461" spans="1:1">
      <c r="A461" s="376"/>
    </row>
    <row r="462" spans="1:1">
      <c r="A462" s="376"/>
    </row>
    <row r="463" spans="1:1">
      <c r="A463" s="376"/>
    </row>
    <row r="464" spans="1:1">
      <c r="A464" s="376"/>
    </row>
    <row r="465" spans="1:1">
      <c r="A465" s="376"/>
    </row>
    <row r="466" spans="1:1">
      <c r="A466" s="376"/>
    </row>
    <row r="467" spans="1:1">
      <c r="A467" s="376"/>
    </row>
    <row r="468" spans="1:1">
      <c r="A468" s="376"/>
    </row>
    <row r="469" spans="1:1">
      <c r="A469" s="376"/>
    </row>
    <row r="470" spans="1:1">
      <c r="A470" s="376"/>
    </row>
    <row r="471" spans="1:1">
      <c r="A471" s="376"/>
    </row>
    <row r="472" spans="1:1">
      <c r="A472" s="376"/>
    </row>
    <row r="473" spans="1:1">
      <c r="A473" s="376"/>
    </row>
    <row r="474" spans="1:1">
      <c r="A474" s="376"/>
    </row>
    <row r="475" spans="1:1">
      <c r="A475" s="376"/>
    </row>
    <row r="476" spans="1:1">
      <c r="A476" s="376"/>
    </row>
    <row r="477" spans="1:1">
      <c r="A477" s="376"/>
    </row>
    <row r="478" spans="1:1">
      <c r="A478" s="376"/>
    </row>
    <row r="479" spans="1:1">
      <c r="A479" s="376"/>
    </row>
    <row r="480" spans="1:1">
      <c r="A480" s="376"/>
    </row>
    <row r="481" spans="1:1">
      <c r="A481" s="376"/>
    </row>
    <row r="482" spans="1:1">
      <c r="A482" s="376"/>
    </row>
    <row r="483" spans="1:1">
      <c r="A483" s="376"/>
    </row>
    <row r="484" spans="1:1">
      <c r="A484" s="376"/>
    </row>
    <row r="485" spans="1:1">
      <c r="A485" s="376"/>
    </row>
    <row r="486" spans="1:1">
      <c r="A486" s="376"/>
    </row>
    <row r="487" spans="1:1">
      <c r="A487" s="376"/>
    </row>
    <row r="488" spans="1:1">
      <c r="A488" s="376"/>
    </row>
    <row r="489" spans="1:1">
      <c r="A489" s="376"/>
    </row>
    <row r="490" spans="1:1">
      <c r="A490" s="376"/>
    </row>
    <row r="491" spans="1:1">
      <c r="A491" s="376"/>
    </row>
    <row r="492" spans="1:1">
      <c r="A492" s="376"/>
    </row>
    <row r="493" spans="1:1">
      <c r="A493" s="376"/>
    </row>
    <row r="494" spans="1:1">
      <c r="A494" s="376"/>
    </row>
    <row r="495" spans="1:1">
      <c r="A495" s="376"/>
    </row>
    <row r="496" spans="1:1">
      <c r="A496" s="376"/>
    </row>
    <row r="497" spans="1:1">
      <c r="A497" s="376"/>
    </row>
    <row r="498" spans="1:1">
      <c r="A498" s="376"/>
    </row>
    <row r="499" spans="1:1">
      <c r="A499" s="376"/>
    </row>
    <row r="500" spans="1:1">
      <c r="A500" s="376"/>
    </row>
    <row r="501" spans="1:1">
      <c r="A501" s="376"/>
    </row>
    <row r="502" spans="1:1">
      <c r="A502" s="376"/>
    </row>
    <row r="503" spans="1:1">
      <c r="A503" s="376"/>
    </row>
    <row r="504" spans="1:1">
      <c r="A504" s="376"/>
    </row>
    <row r="505" spans="1:1">
      <c r="A505" s="376"/>
    </row>
    <row r="506" spans="1:1">
      <c r="A506" s="376"/>
    </row>
    <row r="507" spans="1:1">
      <c r="A507" s="376"/>
    </row>
    <row r="508" spans="1:1">
      <c r="A508" s="376"/>
    </row>
    <row r="509" spans="1:1">
      <c r="A509" s="376"/>
    </row>
    <row r="510" spans="1:1">
      <c r="A510" s="376"/>
    </row>
    <row r="511" spans="1:1">
      <c r="A511" s="376"/>
    </row>
    <row r="512" spans="1:1">
      <c r="A512" s="376"/>
    </row>
    <row r="513" spans="1:1">
      <c r="A513" s="376"/>
    </row>
    <row r="514" spans="1:1">
      <c r="A514" s="376"/>
    </row>
    <row r="515" spans="1:1">
      <c r="A515" s="376"/>
    </row>
    <row r="516" spans="1:1">
      <c r="A516" s="376"/>
    </row>
    <row r="517" spans="1:1">
      <c r="A517" s="376"/>
    </row>
    <row r="518" spans="1:1">
      <c r="A518" s="376"/>
    </row>
    <row r="519" spans="1:1">
      <c r="A519" s="376"/>
    </row>
    <row r="520" spans="1:1">
      <c r="A520" s="376"/>
    </row>
    <row r="521" spans="1:1">
      <c r="A521" s="376"/>
    </row>
    <row r="522" spans="1:1">
      <c r="A522" s="376"/>
    </row>
    <row r="523" spans="1:1">
      <c r="A523" s="376"/>
    </row>
    <row r="524" spans="1:1">
      <c r="A524" s="376"/>
    </row>
    <row r="525" spans="1:1">
      <c r="A525" s="376"/>
    </row>
    <row r="526" spans="1:1">
      <c r="A526" s="376"/>
    </row>
    <row r="527" spans="1:1">
      <c r="A527" s="376"/>
    </row>
    <row r="528" spans="1:1">
      <c r="A528" s="376"/>
    </row>
    <row r="529" spans="1:1">
      <c r="A529" s="376"/>
    </row>
    <row r="530" spans="1:1">
      <c r="A530" s="376"/>
    </row>
    <row r="531" spans="1:1">
      <c r="A531" s="376"/>
    </row>
    <row r="532" spans="1:1">
      <c r="A532" s="376"/>
    </row>
    <row r="533" spans="1:1">
      <c r="A533" s="376"/>
    </row>
    <row r="534" spans="1:1">
      <c r="A534" s="376"/>
    </row>
    <row r="535" spans="1:1">
      <c r="A535" s="376"/>
    </row>
    <row r="536" spans="1:1">
      <c r="A536" s="376"/>
    </row>
    <row r="537" spans="1:1">
      <c r="A537" s="376"/>
    </row>
    <row r="538" spans="1:1">
      <c r="A538" s="376"/>
    </row>
    <row r="539" spans="1:1">
      <c r="A539" s="376"/>
    </row>
    <row r="540" spans="1:1">
      <c r="A540" s="376"/>
    </row>
    <row r="541" spans="1:1">
      <c r="A541" s="376"/>
    </row>
    <row r="542" spans="1:1">
      <c r="A542" s="376"/>
    </row>
    <row r="543" spans="1:1">
      <c r="A543" s="376"/>
    </row>
    <row r="544" spans="1:1">
      <c r="A544" s="376"/>
    </row>
    <row r="545" spans="1:1">
      <c r="A545" s="376"/>
    </row>
    <row r="546" spans="1:1">
      <c r="A546" s="376"/>
    </row>
    <row r="547" spans="1:1">
      <c r="A547" s="376"/>
    </row>
    <row r="548" spans="1:1">
      <c r="A548" s="376"/>
    </row>
    <row r="549" spans="1:1">
      <c r="A549" s="376"/>
    </row>
    <row r="550" spans="1:1">
      <c r="A550" s="376"/>
    </row>
    <row r="551" spans="1:1">
      <c r="A551" s="376"/>
    </row>
    <row r="552" spans="1:1">
      <c r="A552" s="376"/>
    </row>
    <row r="553" spans="1:1">
      <c r="A553" s="376"/>
    </row>
    <row r="554" spans="1:1">
      <c r="A554" s="376"/>
    </row>
    <row r="555" spans="1:1">
      <c r="A555" s="376"/>
    </row>
    <row r="556" spans="1:1">
      <c r="A556" s="376"/>
    </row>
    <row r="557" spans="1:1">
      <c r="A557" s="376"/>
    </row>
    <row r="558" spans="1:1">
      <c r="A558" s="376"/>
    </row>
    <row r="559" spans="1:1">
      <c r="A559" s="376"/>
    </row>
    <row r="560" spans="1:1">
      <c r="A560" s="376"/>
    </row>
    <row r="561" spans="1:1">
      <c r="A561" s="376"/>
    </row>
    <row r="562" spans="1:1">
      <c r="A562" s="376"/>
    </row>
    <row r="563" spans="1:1">
      <c r="A563" s="376"/>
    </row>
    <row r="564" spans="1:1">
      <c r="A564" s="376"/>
    </row>
    <row r="565" spans="1:1">
      <c r="A565" s="376"/>
    </row>
    <row r="566" spans="1:1">
      <c r="A566" s="376"/>
    </row>
    <row r="567" spans="1:1">
      <c r="A567" s="376"/>
    </row>
    <row r="568" spans="1:1">
      <c r="A568" s="376"/>
    </row>
    <row r="569" spans="1:1">
      <c r="A569" s="376"/>
    </row>
    <row r="570" spans="1:1">
      <c r="A570" s="376"/>
    </row>
    <row r="571" spans="1:1">
      <c r="A571" s="376"/>
    </row>
    <row r="572" spans="1:1">
      <c r="A572" s="376"/>
    </row>
    <row r="573" spans="1:1">
      <c r="A573" s="376"/>
    </row>
    <row r="574" spans="1:1">
      <c r="A574" s="376"/>
    </row>
    <row r="575" spans="1:1">
      <c r="A575" s="376"/>
    </row>
    <row r="576" spans="1:1">
      <c r="A576" s="376"/>
    </row>
    <row r="577" spans="1:1">
      <c r="A577" s="376"/>
    </row>
    <row r="578" spans="1:1">
      <c r="A578" s="376"/>
    </row>
    <row r="579" spans="1:1">
      <c r="A579" s="376"/>
    </row>
    <row r="580" spans="1:1">
      <c r="A580" s="376"/>
    </row>
    <row r="581" spans="1:1">
      <c r="A581" s="376"/>
    </row>
    <row r="582" spans="1:1">
      <c r="A582" s="376"/>
    </row>
    <row r="583" spans="1:1">
      <c r="A583" s="376"/>
    </row>
    <row r="584" spans="1:1">
      <c r="A584" s="376"/>
    </row>
    <row r="585" spans="1:1">
      <c r="A585" s="376"/>
    </row>
    <row r="586" spans="1:1">
      <c r="A586" s="376"/>
    </row>
    <row r="587" spans="1:1">
      <c r="A587" s="376"/>
    </row>
    <row r="588" spans="1:1">
      <c r="A588" s="376"/>
    </row>
    <row r="589" spans="1:1">
      <c r="A589" s="376"/>
    </row>
    <row r="590" spans="1:1">
      <c r="A590" s="376"/>
    </row>
    <row r="591" spans="1:1">
      <c r="A591" s="376"/>
    </row>
    <row r="592" spans="1:1">
      <c r="A592" s="376"/>
    </row>
    <row r="593" spans="1:1">
      <c r="A593" s="376"/>
    </row>
    <row r="594" spans="1:1">
      <c r="A594" s="376"/>
    </row>
    <row r="595" spans="1:1">
      <c r="A595" s="376"/>
    </row>
    <row r="596" spans="1:1">
      <c r="A596" s="376"/>
    </row>
    <row r="597" spans="1:1">
      <c r="A597" s="376"/>
    </row>
    <row r="598" spans="1:1">
      <c r="A598" s="376"/>
    </row>
    <row r="599" spans="1:1">
      <c r="A599" s="376"/>
    </row>
    <row r="600" spans="1:1">
      <c r="A600" s="376"/>
    </row>
    <row r="601" spans="1:1">
      <c r="A601" s="376"/>
    </row>
    <row r="602" spans="1:1">
      <c r="A602" s="376"/>
    </row>
    <row r="603" spans="1:1">
      <c r="A603" s="376"/>
    </row>
    <row r="604" spans="1:1">
      <c r="A604" s="376"/>
    </row>
    <row r="605" spans="1:1">
      <c r="A605" s="376"/>
    </row>
    <row r="606" spans="1:1">
      <c r="A606" s="376"/>
    </row>
    <row r="607" spans="1:1">
      <c r="A607" s="376"/>
    </row>
    <row r="608" spans="1:1">
      <c r="A608" s="376"/>
    </row>
    <row r="609" spans="1:1">
      <c r="A609" s="376"/>
    </row>
    <row r="610" spans="1:1">
      <c r="A610" s="376"/>
    </row>
    <row r="611" spans="1:1">
      <c r="A611" s="376"/>
    </row>
    <row r="612" spans="1:1">
      <c r="A612" s="376"/>
    </row>
    <row r="613" spans="1:1">
      <c r="A613" s="376"/>
    </row>
    <row r="614" spans="1:1">
      <c r="A614" s="376"/>
    </row>
    <row r="615" spans="1:1">
      <c r="A615" s="376"/>
    </row>
    <row r="616" spans="1:1">
      <c r="A616" s="376"/>
    </row>
    <row r="617" spans="1:1">
      <c r="A617" s="376"/>
    </row>
    <row r="618" spans="1:1">
      <c r="A618" s="376"/>
    </row>
    <row r="619" spans="1:1">
      <c r="A619" s="376"/>
    </row>
    <row r="620" spans="1:1">
      <c r="A620" s="376"/>
    </row>
    <row r="621" spans="1:1">
      <c r="A621" s="376"/>
    </row>
    <row r="622" spans="1:1">
      <c r="A622" s="376"/>
    </row>
    <row r="623" spans="1:1">
      <c r="A623" s="376"/>
    </row>
    <row r="624" spans="1:1">
      <c r="A624" s="376"/>
    </row>
    <row r="625" spans="1:1">
      <c r="A625" s="376"/>
    </row>
    <row r="626" spans="1:1">
      <c r="A626" s="376"/>
    </row>
    <row r="627" spans="1:1">
      <c r="A627" s="376"/>
    </row>
    <row r="628" spans="1:1">
      <c r="A628" s="376"/>
    </row>
    <row r="629" spans="1:1">
      <c r="A629" s="376"/>
    </row>
    <row r="630" spans="1:1">
      <c r="A630" s="376"/>
    </row>
    <row r="631" spans="1:1">
      <c r="A631" s="376"/>
    </row>
    <row r="632" spans="1:1">
      <c r="A632" s="376"/>
    </row>
    <row r="633" spans="1:1">
      <c r="A633" s="376"/>
    </row>
    <row r="634" spans="1:1">
      <c r="A634" s="376"/>
    </row>
    <row r="635" spans="1:1">
      <c r="A635" s="376"/>
    </row>
    <row r="636" spans="1:1">
      <c r="A636" s="376"/>
    </row>
    <row r="637" spans="1:1">
      <c r="A637" s="376"/>
    </row>
    <row r="638" spans="1:1">
      <c r="A638" s="376"/>
    </row>
    <row r="639" spans="1:1">
      <c r="A639" s="376"/>
    </row>
    <row r="640" spans="1:1">
      <c r="A640" s="376"/>
    </row>
    <row r="641" spans="1:1">
      <c r="A641" s="376"/>
    </row>
    <row r="642" spans="1:1">
      <c r="A642" s="376"/>
    </row>
    <row r="643" spans="1:1">
      <c r="A643" s="376"/>
    </row>
    <row r="644" spans="1:1">
      <c r="A644" s="376"/>
    </row>
    <row r="645" spans="1:1">
      <c r="A645" s="376"/>
    </row>
    <row r="646" spans="1:1">
      <c r="A646" s="376"/>
    </row>
    <row r="647" spans="1:1">
      <c r="A647" s="376"/>
    </row>
    <row r="648" spans="1:1">
      <c r="A648" s="376"/>
    </row>
    <row r="649" spans="1:1">
      <c r="A649" s="376"/>
    </row>
    <row r="650" spans="1:1">
      <c r="A650" s="376"/>
    </row>
    <row r="651" spans="1:1">
      <c r="A651" s="376"/>
    </row>
    <row r="652" spans="1:1">
      <c r="A652" s="376"/>
    </row>
    <row r="653" spans="1:1">
      <c r="A653" s="376"/>
    </row>
    <row r="654" spans="1:1">
      <c r="A654" s="376"/>
    </row>
    <row r="655" spans="1:1">
      <c r="A655" s="376"/>
    </row>
    <row r="656" spans="1:1">
      <c r="A656" s="376"/>
    </row>
    <row r="657" spans="1:1">
      <c r="A657" s="376"/>
    </row>
    <row r="658" spans="1:1">
      <c r="A658" s="376"/>
    </row>
    <row r="659" spans="1:1">
      <c r="A659" s="376"/>
    </row>
    <row r="660" spans="1:1">
      <c r="A660" s="376"/>
    </row>
    <row r="661" spans="1:1">
      <c r="A661" s="376"/>
    </row>
    <row r="662" spans="1:1">
      <c r="A662" s="376"/>
    </row>
    <row r="663" spans="1:1">
      <c r="A663" s="376"/>
    </row>
    <row r="664" spans="1:1">
      <c r="A664" s="376"/>
    </row>
    <row r="665" spans="1:1">
      <c r="A665" s="376"/>
    </row>
    <row r="666" spans="1:1">
      <c r="A666" s="376"/>
    </row>
    <row r="667" spans="1:1">
      <c r="A667" s="376"/>
    </row>
    <row r="668" spans="1:1">
      <c r="A668" s="376"/>
    </row>
    <row r="669" spans="1:1">
      <c r="A669" s="376"/>
    </row>
    <row r="670" spans="1:1">
      <c r="A670" s="376"/>
    </row>
    <row r="671" spans="1:1">
      <c r="A671" s="376"/>
    </row>
    <row r="672" spans="1:1">
      <c r="A672" s="376"/>
    </row>
    <row r="673" spans="1:1">
      <c r="A673" s="376"/>
    </row>
    <row r="674" spans="1:1">
      <c r="A674" s="376"/>
    </row>
    <row r="675" spans="1:1">
      <c r="A675" s="376"/>
    </row>
    <row r="676" spans="1:1">
      <c r="A676" s="376"/>
    </row>
    <row r="677" spans="1:1">
      <c r="A677" s="376"/>
    </row>
    <row r="678" spans="1:1">
      <c r="A678" s="376"/>
    </row>
    <row r="679" spans="1:1">
      <c r="A679" s="376"/>
    </row>
    <row r="680" spans="1:1">
      <c r="A680" s="376"/>
    </row>
    <row r="681" spans="1:1">
      <c r="A681" s="376"/>
    </row>
    <row r="682" spans="1:1">
      <c r="A682" s="376"/>
    </row>
    <row r="683" spans="1:1">
      <c r="A683" s="376"/>
    </row>
    <row r="684" spans="1:1">
      <c r="A684" s="376"/>
    </row>
    <row r="685" spans="1:1">
      <c r="A685" s="376"/>
    </row>
    <row r="686" spans="1:1">
      <c r="A686" s="376"/>
    </row>
    <row r="687" spans="1:1">
      <c r="A687" s="376"/>
    </row>
    <row r="688" spans="1:1">
      <c r="A688" s="376"/>
    </row>
    <row r="689" spans="1:1">
      <c r="A689" s="376"/>
    </row>
    <row r="690" spans="1:1">
      <c r="A690" s="376"/>
    </row>
    <row r="691" spans="1:1">
      <c r="A691" s="376"/>
    </row>
    <row r="692" spans="1:1">
      <c r="A692" s="376"/>
    </row>
    <row r="693" spans="1:1">
      <c r="A693" s="376"/>
    </row>
    <row r="694" spans="1:1">
      <c r="A694" s="376"/>
    </row>
    <row r="695" spans="1:1">
      <c r="A695" s="376"/>
    </row>
    <row r="696" spans="1:1">
      <c r="A696" s="376"/>
    </row>
    <row r="697" spans="1:1">
      <c r="A697" s="376"/>
    </row>
    <row r="698" spans="1:1">
      <c r="A698" s="376"/>
    </row>
    <row r="699" spans="1:1">
      <c r="A699" s="376"/>
    </row>
    <row r="700" spans="1:1">
      <c r="A700" s="376"/>
    </row>
    <row r="701" spans="1:1">
      <c r="A701" s="376"/>
    </row>
    <row r="702" spans="1:1">
      <c r="A702" s="376"/>
    </row>
    <row r="703" spans="1:1">
      <c r="A703" s="376"/>
    </row>
    <row r="704" spans="1:1">
      <c r="A704" s="376"/>
    </row>
    <row r="705" spans="1:1">
      <c r="A705" s="376"/>
    </row>
    <row r="706" spans="1:1">
      <c r="A706" s="376"/>
    </row>
    <row r="707" spans="1:1">
      <c r="A707" s="376"/>
    </row>
    <row r="708" spans="1:1">
      <c r="A708" s="376"/>
    </row>
    <row r="709" spans="1:1">
      <c r="A709" s="376"/>
    </row>
    <row r="710" spans="1:1">
      <c r="A710" s="376"/>
    </row>
    <row r="711" spans="1:1">
      <c r="A711" s="376"/>
    </row>
    <row r="712" spans="1:1">
      <c r="A712" s="376"/>
    </row>
    <row r="713" spans="1:1">
      <c r="A713" s="376"/>
    </row>
    <row r="714" spans="1:1">
      <c r="A714" s="376"/>
    </row>
    <row r="715" spans="1:1">
      <c r="A715" s="376"/>
    </row>
    <row r="716" spans="1:1">
      <c r="A716" s="376"/>
    </row>
    <row r="717" spans="1:1">
      <c r="A717" s="376"/>
    </row>
    <row r="718" spans="1:1">
      <c r="A718" s="376"/>
    </row>
    <row r="719" spans="1:1">
      <c r="A719" s="376"/>
    </row>
    <row r="720" spans="1:1">
      <c r="A720" s="376"/>
    </row>
    <row r="721" spans="1:1">
      <c r="A721" s="376"/>
    </row>
    <row r="722" spans="1:1">
      <c r="A722" s="376"/>
    </row>
    <row r="723" spans="1:1">
      <c r="A723" s="376"/>
    </row>
    <row r="724" spans="1:1">
      <c r="A724" s="376"/>
    </row>
    <row r="725" spans="1:1">
      <c r="A725" s="376"/>
    </row>
    <row r="726" spans="1:1">
      <c r="A726" s="376"/>
    </row>
    <row r="727" spans="1:1">
      <c r="A727" s="376"/>
    </row>
    <row r="728" spans="1:1">
      <c r="A728" s="376"/>
    </row>
    <row r="729" spans="1:1">
      <c r="A729" s="376"/>
    </row>
    <row r="730" spans="1:1">
      <c r="A730" s="376"/>
    </row>
    <row r="731" spans="1:1">
      <c r="A731" s="376"/>
    </row>
    <row r="732" spans="1:1">
      <c r="A732" s="376"/>
    </row>
    <row r="733" spans="1:1">
      <c r="A733" s="376"/>
    </row>
    <row r="734" spans="1:1">
      <c r="A734" s="376"/>
    </row>
    <row r="735" spans="1:1">
      <c r="A735" s="376"/>
    </row>
    <row r="736" spans="1:1">
      <c r="A736" s="376"/>
    </row>
    <row r="737" spans="1:1">
      <c r="A737" s="376"/>
    </row>
    <row r="738" spans="1:1">
      <c r="A738" s="376"/>
    </row>
    <row r="739" spans="1:1">
      <c r="A739" s="376"/>
    </row>
    <row r="740" spans="1:1">
      <c r="A740" s="376"/>
    </row>
    <row r="741" spans="1:1">
      <c r="A741" s="376"/>
    </row>
    <row r="742" spans="1:1">
      <c r="A742" s="376"/>
    </row>
    <row r="743" spans="1:1">
      <c r="A743" s="376"/>
    </row>
    <row r="744" spans="1:1">
      <c r="A744" s="376"/>
    </row>
    <row r="745" spans="1:1">
      <c r="A745" s="376"/>
    </row>
    <row r="746" spans="1:1">
      <c r="A746" s="376"/>
    </row>
    <row r="747" spans="1:1">
      <c r="A747" s="376"/>
    </row>
    <row r="748" spans="1:1">
      <c r="A748" s="376"/>
    </row>
    <row r="749" spans="1:1">
      <c r="A749" s="376"/>
    </row>
    <row r="750" spans="1:1">
      <c r="A750" s="376"/>
    </row>
    <row r="751" spans="1:1">
      <c r="A751" s="376"/>
    </row>
    <row r="752" spans="1:1">
      <c r="A752" s="376"/>
    </row>
    <row r="753" spans="1:1">
      <c r="A753" s="376"/>
    </row>
    <row r="754" spans="1:1">
      <c r="A754" s="376"/>
    </row>
    <row r="755" spans="1:1">
      <c r="A755" s="376"/>
    </row>
    <row r="756" spans="1:1">
      <c r="A756" s="376"/>
    </row>
    <row r="757" spans="1:1">
      <c r="A757" s="376"/>
    </row>
    <row r="758" spans="1:1">
      <c r="A758" s="376"/>
    </row>
    <row r="759" spans="1:1">
      <c r="A759" s="376"/>
    </row>
    <row r="760" spans="1:1">
      <c r="A760" s="376"/>
    </row>
    <row r="761" spans="1:1">
      <c r="A761" s="376"/>
    </row>
    <row r="762" spans="1:1">
      <c r="A762" s="376"/>
    </row>
    <row r="763" spans="1:1">
      <c r="A763" s="376"/>
    </row>
    <row r="764" spans="1:1">
      <c r="A764" s="376"/>
    </row>
    <row r="765" spans="1:1">
      <c r="A765" s="376"/>
    </row>
    <row r="766" spans="1:1">
      <c r="A766" s="376"/>
    </row>
    <row r="767" spans="1:1">
      <c r="A767" s="376"/>
    </row>
    <row r="768" spans="1:1">
      <c r="A768" s="376"/>
    </row>
    <row r="769" spans="1:1">
      <c r="A769" s="376"/>
    </row>
    <row r="770" spans="1:1">
      <c r="A770" s="376"/>
    </row>
    <row r="771" spans="1:1">
      <c r="A771" s="376"/>
    </row>
    <row r="772" spans="1:1">
      <c r="A772" s="376"/>
    </row>
    <row r="773" spans="1:1">
      <c r="A773" s="376"/>
    </row>
    <row r="774" spans="1:1">
      <c r="A774" s="376"/>
    </row>
    <row r="775" spans="1:1">
      <c r="A775" s="376"/>
    </row>
    <row r="776" spans="1:1">
      <c r="A776" s="376"/>
    </row>
    <row r="777" spans="1:1">
      <c r="A777" s="376"/>
    </row>
    <row r="778" spans="1:1">
      <c r="A778" s="376"/>
    </row>
    <row r="779" spans="1:1">
      <c r="A779" s="376"/>
    </row>
    <row r="780" spans="1:1">
      <c r="A780" s="376"/>
    </row>
    <row r="781" spans="1:1">
      <c r="A781" s="376"/>
    </row>
    <row r="782" spans="1:1">
      <c r="A782" s="376"/>
    </row>
    <row r="783" spans="1:1">
      <c r="A783" s="376"/>
    </row>
    <row r="784" spans="1:1">
      <c r="A784" s="376"/>
    </row>
    <row r="785" spans="1:1">
      <c r="A785" s="376"/>
    </row>
    <row r="786" spans="1:1">
      <c r="A786" s="376"/>
    </row>
    <row r="787" spans="1:1">
      <c r="A787" s="376"/>
    </row>
    <row r="788" spans="1:1">
      <c r="A788" s="376"/>
    </row>
    <row r="789" spans="1:1">
      <c r="A789" s="376"/>
    </row>
    <row r="790" spans="1:1">
      <c r="A790" s="376"/>
    </row>
    <row r="791" spans="1:1">
      <c r="A791" s="376"/>
    </row>
    <row r="792" spans="1:1">
      <c r="A792" s="376"/>
    </row>
    <row r="793" spans="1:1">
      <c r="A793" s="376"/>
    </row>
    <row r="794" spans="1:1">
      <c r="A794" s="376"/>
    </row>
    <row r="795" spans="1:1">
      <c r="A795" s="376"/>
    </row>
    <row r="796" spans="1:1">
      <c r="A796" s="376"/>
    </row>
    <row r="797" spans="1:1">
      <c r="A797" s="376"/>
    </row>
    <row r="798" spans="1:1">
      <c r="A798" s="376"/>
    </row>
    <row r="799" spans="1:1">
      <c r="A799" s="376"/>
    </row>
    <row r="800" spans="1:1">
      <c r="A800" s="376"/>
    </row>
    <row r="801" spans="1:1">
      <c r="A801" s="376"/>
    </row>
    <row r="802" spans="1:1">
      <c r="A802" s="376"/>
    </row>
    <row r="803" spans="1:1">
      <c r="A803" s="376"/>
    </row>
    <row r="804" spans="1:1">
      <c r="A804" s="376"/>
    </row>
    <row r="805" spans="1:1">
      <c r="A805" s="376"/>
    </row>
    <row r="806" spans="1:1">
      <c r="A806" s="376"/>
    </row>
    <row r="807" spans="1:1">
      <c r="A807" s="376"/>
    </row>
    <row r="808" spans="1:1">
      <c r="A808" s="376"/>
    </row>
    <row r="809" spans="1:1">
      <c r="A809" s="376"/>
    </row>
    <row r="810" spans="1:1">
      <c r="A810" s="376"/>
    </row>
    <row r="811" spans="1:1">
      <c r="A811" s="376"/>
    </row>
    <row r="812" spans="1:1">
      <c r="A812" s="376"/>
    </row>
    <row r="813" spans="1:1">
      <c r="A813" s="376"/>
    </row>
    <row r="814" spans="1:1">
      <c r="A814" s="376"/>
    </row>
    <row r="815" spans="1:1">
      <c r="A815" s="376"/>
    </row>
    <row r="816" spans="1:1">
      <c r="A816" s="376"/>
    </row>
    <row r="817" spans="1:1">
      <c r="A817" s="376"/>
    </row>
    <row r="818" spans="1:1">
      <c r="A818" s="376"/>
    </row>
    <row r="819" spans="1:1">
      <c r="A819" s="376"/>
    </row>
    <row r="820" spans="1:1">
      <c r="A820" s="376"/>
    </row>
    <row r="821" spans="1:1">
      <c r="A821" s="376"/>
    </row>
    <row r="822" spans="1:1">
      <c r="A822" s="376"/>
    </row>
    <row r="823" spans="1:1">
      <c r="A823" s="376"/>
    </row>
    <row r="824" spans="1:1">
      <c r="A824" s="376"/>
    </row>
    <row r="825" spans="1:1">
      <c r="A825" s="376"/>
    </row>
    <row r="826" spans="1:1">
      <c r="A826" s="376"/>
    </row>
    <row r="827" spans="1:1">
      <c r="A827" s="376"/>
    </row>
    <row r="828" spans="1:1">
      <c r="A828" s="376"/>
    </row>
    <row r="829" spans="1:1">
      <c r="A829" s="376"/>
    </row>
    <row r="830" spans="1:1">
      <c r="A830" s="376"/>
    </row>
    <row r="831" spans="1:1">
      <c r="A831" s="376"/>
    </row>
    <row r="832" spans="1:1">
      <c r="A832" s="376"/>
    </row>
    <row r="833" spans="1:1">
      <c r="A833" s="376"/>
    </row>
    <row r="834" spans="1:1">
      <c r="A834" s="376"/>
    </row>
    <row r="835" spans="1:1">
      <c r="A835" s="376"/>
    </row>
    <row r="836" spans="1:1">
      <c r="A836" s="376"/>
    </row>
    <row r="837" spans="1:1">
      <c r="A837" s="376"/>
    </row>
    <row r="838" spans="1:1">
      <c r="A838" s="376"/>
    </row>
    <row r="839" spans="1:1">
      <c r="A839" s="376"/>
    </row>
    <row r="840" spans="1:1">
      <c r="A840" s="376"/>
    </row>
    <row r="841" spans="1:1">
      <c r="A841" s="376"/>
    </row>
    <row r="842" spans="1:1">
      <c r="A842" s="376"/>
    </row>
    <row r="843" spans="1:1">
      <c r="A843" s="376"/>
    </row>
    <row r="844" spans="1:1">
      <c r="A844" s="376"/>
    </row>
    <row r="845" spans="1:1">
      <c r="A845" s="376"/>
    </row>
    <row r="846" spans="1:1">
      <c r="A846" s="376"/>
    </row>
    <row r="847" spans="1:1">
      <c r="A847" s="376"/>
    </row>
    <row r="848" spans="1:1">
      <c r="A848" s="376"/>
    </row>
    <row r="849" spans="1:1">
      <c r="A849" s="376"/>
    </row>
    <row r="850" spans="1:1">
      <c r="A850" s="376"/>
    </row>
    <row r="851" spans="1:1">
      <c r="A851" s="376"/>
    </row>
    <row r="852" spans="1:1">
      <c r="A852" s="376"/>
    </row>
    <row r="853" spans="1:1">
      <c r="A853" s="376"/>
    </row>
    <row r="854" spans="1:1">
      <c r="A854" s="376"/>
    </row>
    <row r="855" spans="1:1">
      <c r="A855" s="376"/>
    </row>
    <row r="856" spans="1:1">
      <c r="A856" s="376"/>
    </row>
    <row r="857" spans="1:1">
      <c r="A857" s="376"/>
    </row>
    <row r="858" spans="1:1">
      <c r="A858" s="376"/>
    </row>
    <row r="859" spans="1:1">
      <c r="A859" s="376"/>
    </row>
    <row r="860" spans="1:1">
      <c r="A860" s="376"/>
    </row>
    <row r="861" spans="1:1">
      <c r="A861" s="376"/>
    </row>
    <row r="862" spans="1:1">
      <c r="A862" s="376"/>
    </row>
    <row r="863" spans="1:1">
      <c r="A863" s="376"/>
    </row>
    <row r="864" spans="1:1">
      <c r="A864" s="376"/>
    </row>
    <row r="865" spans="1:1">
      <c r="A865" s="376"/>
    </row>
    <row r="866" spans="1:1">
      <c r="A866" s="376"/>
    </row>
    <row r="867" spans="1:1">
      <c r="A867" s="376"/>
    </row>
    <row r="868" spans="1:1">
      <c r="A868" s="376"/>
    </row>
    <row r="869" spans="1:1">
      <c r="A869" s="376"/>
    </row>
    <row r="870" spans="1:1">
      <c r="A870" s="376"/>
    </row>
    <row r="871" spans="1:1">
      <c r="A871" s="376"/>
    </row>
    <row r="872" spans="1:1">
      <c r="A872" s="376"/>
    </row>
    <row r="873" spans="1:1">
      <c r="A873" s="376"/>
    </row>
    <row r="874" spans="1:1">
      <c r="A874" s="376"/>
    </row>
    <row r="875" spans="1:1">
      <c r="A875" s="376"/>
    </row>
    <row r="876" spans="1:1">
      <c r="A876" s="376"/>
    </row>
    <row r="877" spans="1:1">
      <c r="A877" s="376"/>
    </row>
    <row r="878" spans="1:1">
      <c r="A878" s="376"/>
    </row>
    <row r="879" spans="1:1">
      <c r="A879" s="376"/>
    </row>
    <row r="880" spans="1:1">
      <c r="A880" s="376"/>
    </row>
    <row r="881" spans="1:1">
      <c r="A881" s="376"/>
    </row>
    <row r="882" spans="1:1">
      <c r="A882" s="376"/>
    </row>
    <row r="883" spans="1:1">
      <c r="A883" s="376"/>
    </row>
    <row r="884" spans="1:1">
      <c r="A884" s="376"/>
    </row>
    <row r="885" spans="1:1">
      <c r="A885" s="376"/>
    </row>
    <row r="886" spans="1:1">
      <c r="A886" s="376"/>
    </row>
    <row r="887" spans="1:1">
      <c r="A887" s="376"/>
    </row>
    <row r="888" spans="1:1">
      <c r="A888" s="376"/>
    </row>
    <row r="889" spans="1:1">
      <c r="A889" s="376"/>
    </row>
    <row r="890" spans="1:1">
      <c r="A890" s="376"/>
    </row>
    <row r="891" spans="1:1">
      <c r="A891" s="376"/>
    </row>
    <row r="892" spans="1:1">
      <c r="A892" s="376"/>
    </row>
    <row r="893" spans="1:1">
      <c r="A893" s="376"/>
    </row>
    <row r="894" spans="1:1">
      <c r="A894" s="376"/>
    </row>
    <row r="895" spans="1:1">
      <c r="A895" s="376"/>
    </row>
    <row r="896" spans="1:1">
      <c r="A896" s="376"/>
    </row>
    <row r="897" spans="1:1">
      <c r="A897" s="376"/>
    </row>
    <row r="898" spans="1:1">
      <c r="A898" s="376"/>
    </row>
    <row r="899" spans="1:1">
      <c r="A899" s="376"/>
    </row>
    <row r="900" spans="1:1">
      <c r="A900" s="376"/>
    </row>
    <row r="901" spans="1:1">
      <c r="A901" s="376"/>
    </row>
    <row r="902" spans="1:1">
      <c r="A902" s="376"/>
    </row>
    <row r="903" spans="1:1">
      <c r="A903" s="376"/>
    </row>
    <row r="904" spans="1:1">
      <c r="A904" s="376"/>
    </row>
    <row r="905" spans="1:1">
      <c r="A905" s="376"/>
    </row>
    <row r="906" spans="1:1">
      <c r="A906" s="376"/>
    </row>
    <row r="907" spans="1:1">
      <c r="A907" s="376"/>
    </row>
    <row r="908" spans="1:1">
      <c r="A908" s="376"/>
    </row>
    <row r="909" spans="1:1">
      <c r="A909" s="376"/>
    </row>
    <row r="910" spans="1:1">
      <c r="A910" s="376"/>
    </row>
    <row r="911" spans="1:1">
      <c r="A911" s="376"/>
    </row>
    <row r="912" spans="1:1">
      <c r="A912" s="376"/>
    </row>
    <row r="913" spans="1:1">
      <c r="A913" s="376"/>
    </row>
    <row r="914" spans="1:1">
      <c r="A914" s="376"/>
    </row>
    <row r="915" spans="1:1">
      <c r="A915" s="376"/>
    </row>
    <row r="916" spans="1:1">
      <c r="A916" s="376"/>
    </row>
    <row r="917" spans="1:1">
      <c r="A917" s="376"/>
    </row>
    <row r="918" spans="1:1">
      <c r="A918" s="376"/>
    </row>
    <row r="919" spans="1:1">
      <c r="A919" s="376"/>
    </row>
    <row r="920" spans="1:1">
      <c r="A920" s="376"/>
    </row>
    <row r="921" spans="1:1">
      <c r="A921" s="376"/>
    </row>
    <row r="922" spans="1:1">
      <c r="A922" s="376"/>
    </row>
    <row r="923" spans="1:1">
      <c r="A923" s="376"/>
    </row>
    <row r="924" spans="1:1">
      <c r="A924" s="376"/>
    </row>
    <row r="925" spans="1:1">
      <c r="A925" s="376"/>
    </row>
    <row r="926" spans="1:1">
      <c r="A926" s="376"/>
    </row>
    <row r="927" spans="1:1">
      <c r="A927" s="376"/>
    </row>
    <row r="928" spans="1:1">
      <c r="A928" s="376"/>
    </row>
    <row r="929" spans="1:1">
      <c r="A929" s="376"/>
    </row>
    <row r="930" spans="1:1">
      <c r="A930" s="376"/>
    </row>
    <row r="931" spans="1:1">
      <c r="A931" s="376"/>
    </row>
    <row r="932" spans="1:1">
      <c r="A932" s="376"/>
    </row>
    <row r="933" spans="1:1">
      <c r="A933" s="376"/>
    </row>
    <row r="934" spans="1:1">
      <c r="A934" s="376"/>
    </row>
    <row r="935" spans="1:1">
      <c r="A935" s="376"/>
    </row>
    <row r="936" spans="1:1">
      <c r="A936" s="376"/>
    </row>
    <row r="937" spans="1:1">
      <c r="A937" s="376"/>
    </row>
    <row r="938" spans="1:1">
      <c r="A938" s="376"/>
    </row>
    <row r="939" spans="1:1">
      <c r="A939" s="376"/>
    </row>
    <row r="940" spans="1:1">
      <c r="A940" s="376"/>
    </row>
    <row r="941" spans="1:1">
      <c r="A941" s="376"/>
    </row>
    <row r="942" spans="1:1">
      <c r="A942" s="376"/>
    </row>
    <row r="943" spans="1:1">
      <c r="A943" s="376"/>
    </row>
    <row r="944" spans="1:1">
      <c r="A944" s="376"/>
    </row>
    <row r="945" spans="1:1">
      <c r="A945" s="376"/>
    </row>
    <row r="946" spans="1:1">
      <c r="A946" s="376"/>
    </row>
    <row r="947" spans="1:1">
      <c r="A947" s="376"/>
    </row>
    <row r="948" spans="1:1">
      <c r="A948" s="376"/>
    </row>
    <row r="949" spans="1:1">
      <c r="A949" s="376"/>
    </row>
    <row r="950" spans="1:1">
      <c r="A950" s="376"/>
    </row>
    <row r="951" spans="1:1">
      <c r="A951" s="376"/>
    </row>
    <row r="952" spans="1:1">
      <c r="A952" s="376"/>
    </row>
    <row r="953" spans="1:1">
      <c r="A953" s="376"/>
    </row>
    <row r="954" spans="1:1">
      <c r="A954" s="376"/>
    </row>
    <row r="955" spans="1:1">
      <c r="A955" s="376"/>
    </row>
    <row r="956" spans="1:1">
      <c r="A956" s="376"/>
    </row>
    <row r="957" spans="1:1">
      <c r="A957" s="376"/>
    </row>
    <row r="958" spans="1:1">
      <c r="A958" s="376"/>
    </row>
    <row r="959" spans="1:1">
      <c r="A959" s="376"/>
    </row>
    <row r="960" spans="1:1">
      <c r="A960" s="376"/>
    </row>
    <row r="961" spans="1:1">
      <c r="A961" s="376"/>
    </row>
    <row r="962" spans="1:1">
      <c r="A962" s="376"/>
    </row>
    <row r="963" spans="1:1">
      <c r="A963" s="376"/>
    </row>
    <row r="964" spans="1:1">
      <c r="A964" s="376"/>
    </row>
    <row r="965" spans="1:1">
      <c r="A965" s="376"/>
    </row>
    <row r="966" spans="1:1">
      <c r="A966" s="376"/>
    </row>
    <row r="967" spans="1:1">
      <c r="A967" s="376"/>
    </row>
    <row r="968" spans="1:1">
      <c r="A968" s="376"/>
    </row>
    <row r="969" spans="1:1">
      <c r="A969" s="376"/>
    </row>
    <row r="970" spans="1:1">
      <c r="A970" s="376"/>
    </row>
    <row r="971" spans="1:1">
      <c r="A971" s="376"/>
    </row>
    <row r="972" spans="1:1">
      <c r="A972" s="376"/>
    </row>
    <row r="973" spans="1:1">
      <c r="A973" s="376"/>
    </row>
    <row r="974" spans="1:1">
      <c r="A974" s="376"/>
    </row>
    <row r="975" spans="1:1">
      <c r="A975" s="376"/>
    </row>
    <row r="976" spans="1:1">
      <c r="A976" s="376"/>
    </row>
    <row r="977" spans="1:1">
      <c r="A977" s="376"/>
    </row>
    <row r="978" spans="1:1">
      <c r="A978" s="376"/>
    </row>
    <row r="979" spans="1:1">
      <c r="A979" s="376"/>
    </row>
    <row r="980" spans="1:1">
      <c r="A980" s="376"/>
    </row>
    <row r="981" spans="1:1">
      <c r="A981" s="376"/>
    </row>
    <row r="982" spans="1:1">
      <c r="A982" s="376"/>
    </row>
    <row r="983" spans="1:1">
      <c r="A983" s="376"/>
    </row>
    <row r="984" spans="1:1">
      <c r="A984" s="376"/>
    </row>
    <row r="985" spans="1:1">
      <c r="A985" s="376"/>
    </row>
    <row r="986" spans="1:1">
      <c r="A986" s="376"/>
    </row>
    <row r="987" spans="1:1">
      <c r="A987" s="376"/>
    </row>
    <row r="988" spans="1:1">
      <c r="A988" s="376"/>
    </row>
    <row r="989" spans="1:1">
      <c r="A989" s="376"/>
    </row>
    <row r="990" spans="1:1">
      <c r="A990" s="376"/>
    </row>
    <row r="991" spans="1:1">
      <c r="A991" s="376"/>
    </row>
    <row r="992" spans="1:1">
      <c r="A992" s="376"/>
    </row>
    <row r="993" spans="1:1">
      <c r="A993" s="376"/>
    </row>
    <row r="994" spans="1:1">
      <c r="A994" s="376"/>
    </row>
    <row r="995" spans="1:1">
      <c r="A995" s="376"/>
    </row>
    <row r="996" spans="1:1">
      <c r="A996" s="376"/>
    </row>
    <row r="997" spans="1:1">
      <c r="A997" s="376"/>
    </row>
    <row r="998" spans="1:1">
      <c r="A998" s="376"/>
    </row>
    <row r="999" spans="1:1">
      <c r="A999" s="376"/>
    </row>
    <row r="1000" spans="1:1">
      <c r="A1000" s="376"/>
    </row>
  </sheetData>
  <sheetProtection algorithmName="SHA-512" hashValue="/+vMPopRQfAJtDJWMmSoUnI0gSVTeRsYtnvw097luwFQEt4903ot7xnD5RJRx5gJBvmZjTASHLoKStYaDtqsWw==" saltValue="AakjYB+oNOIw1jvmdXHdtg==" spinCount="100000" sheet="1" objects="1" scenarios="1" autoFilter="0"/>
  <customSheetViews>
    <customSheetView guid="{AED1A6D3-A4E7-45F8-93C4-DE2B3261C45F}" scale="60" showPageBreaks="1" fitToPage="1" view="pageBreakPreview">
      <selection activeCell="I17" sqref="I17"/>
      <pageMargins left="0.70866141732283472" right="0.70866141732283472" top="0.74803149606299213" bottom="0.74803149606299213" header="0.31496062992125984" footer="0.31496062992125984"/>
      <pageSetup paperSize="9" scale="48" orientation="landscape" r:id="rId1"/>
    </customSheetView>
  </customSheetViews>
  <mergeCells count="6">
    <mergeCell ref="B26:G26"/>
    <mergeCell ref="B6:B7"/>
    <mergeCell ref="B9:B10"/>
    <mergeCell ref="B13:B14"/>
    <mergeCell ref="B17:B18"/>
    <mergeCell ref="B25:G25"/>
  </mergeCells>
  <phoneticPr fontId="2"/>
  <dataValidations count="9">
    <dataValidation type="list" sqref="D4" xr:uid="{00000000-0002-0000-1500-000000000000}">
      <formula1>CPA_Categories</formula1>
    </dataValidation>
    <dataValidation type="list" sqref="C4" xr:uid="{00000000-0002-0000-1500-000001000000}">
      <formula1>"Japan,America,Other"</formula1>
    </dataValidation>
    <dataValidation type="whole" sqref="B4" xr:uid="{00000000-0002-0000-1500-000002000000}">
      <formula1>1900</formula1>
      <formula2>2100</formula2>
    </dataValidation>
    <dataValidation type="list" showInputMessage="1" showErrorMessage="1" sqref="E7" xr:uid="{57C65E9A-CCD4-4A3C-9281-1F99229325FE}">
      <formula1>CPA_RateTypes</formula1>
    </dataValidation>
    <dataValidation type="list" showInputMessage="1" showErrorMessage="1" sqref="E10" xr:uid="{68ECA5FF-FD6D-4F12-8EBC-A25FA97530CC}">
      <formula1>CPA_RateTypes</formula1>
    </dataValidation>
    <dataValidation type="list" showInputMessage="1" showErrorMessage="1" sqref="E14" xr:uid="{D05342D7-A1AD-4AB6-A212-9A9C252B5C31}">
      <formula1>CPA_RateTypes</formula1>
    </dataValidation>
    <dataValidation type="list" showInputMessage="1" showErrorMessage="1" sqref="E21" xr:uid="{32711D44-FCFF-41BA-8A16-400CB9CB1EAB}">
      <formula1>CPA_RateTypes</formula1>
    </dataValidation>
    <dataValidation type="list" showInputMessage="1" showErrorMessage="1" sqref="E22" xr:uid="{774F0942-2587-428C-BF69-1263237EAC9F}">
      <formula1>CPA_RateTypes</formula1>
    </dataValidation>
    <dataValidation type="list" showInputMessage="1" showErrorMessage="1" sqref="E23" xr:uid="{F72416D2-0086-4C5A-A37B-7C412745E361}">
      <formula1>CPA_RateTypes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pageSetUpPr fitToPage="1"/>
  </sheetPr>
  <dimension ref="B1:H47"/>
  <sheetViews>
    <sheetView zoomScale="90" zoomScaleNormal="90" workbookViewId="0"/>
  </sheetViews>
  <sheetFormatPr defaultRowHeight="18"/>
  <cols>
    <col min="2" max="2" width="18.69921875" customWidth="1"/>
    <col min="3" max="5" width="15.69921875" customWidth="1"/>
    <col min="6" max="6" width="12.69921875" customWidth="1"/>
    <col min="7" max="8" width="3.69921875" customWidth="1"/>
    <col min="9" max="12" width="18" customWidth="1"/>
  </cols>
  <sheetData>
    <row r="1" spans="2:8">
      <c r="B1" s="367"/>
      <c r="C1" s="367"/>
      <c r="D1" s="367"/>
      <c r="E1" s="367"/>
      <c r="F1" s="367"/>
      <c r="G1" s="367"/>
      <c r="H1" s="367"/>
    </row>
    <row r="2" spans="2:8" ht="28.05" customHeight="1">
      <c r="B2" s="368" t="s">
        <v>330</v>
      </c>
      <c r="C2" s="369"/>
      <c r="D2" s="369"/>
      <c r="E2" s="369"/>
      <c r="F2" s="369"/>
      <c r="G2" s="367"/>
      <c r="H2" s="367"/>
    </row>
    <row r="3" spans="2:8">
      <c r="B3" s="367"/>
      <c r="C3" s="367"/>
      <c r="D3" s="367"/>
      <c r="E3" s="367"/>
      <c r="F3" s="367"/>
      <c r="G3" s="367"/>
      <c r="H3" s="367"/>
    </row>
    <row r="4" spans="2:8" ht="34.049999999999997" customHeight="1">
      <c r="B4" s="370" t="s">
        <v>331</v>
      </c>
      <c r="C4" s="370"/>
      <c r="D4" s="370"/>
      <c r="E4" s="370"/>
      <c r="F4" s="370"/>
      <c r="G4" s="375"/>
      <c r="H4" s="375"/>
    </row>
    <row r="5" spans="2:8">
      <c r="B5" s="375"/>
      <c r="C5" s="375"/>
      <c r="D5" s="375"/>
      <c r="E5" s="375"/>
      <c r="F5" s="375"/>
      <c r="G5" s="375"/>
      <c r="H5" s="375"/>
    </row>
    <row r="6" spans="2:8" ht="42" customHeight="1">
      <c r="B6" s="370" t="s">
        <v>332</v>
      </c>
      <c r="C6" s="370"/>
      <c r="D6" s="370"/>
      <c r="E6" s="370"/>
      <c r="F6" s="370"/>
      <c r="G6" s="375"/>
      <c r="H6" s="375"/>
    </row>
    <row r="7" spans="2:8" ht="18" hidden="1" customHeight="1">
      <c r="B7" s="375"/>
      <c r="C7" s="375"/>
      <c r="D7" s="375"/>
      <c r="E7" s="375"/>
      <c r="F7" s="375"/>
      <c r="G7" s="375"/>
      <c r="H7" s="375"/>
    </row>
    <row r="8" spans="2:8" ht="18" hidden="1" customHeight="1">
      <c r="B8" s="375"/>
      <c r="C8" s="375"/>
      <c r="D8" s="375"/>
      <c r="E8" s="375"/>
      <c r="F8" s="375"/>
      <c r="G8" s="375"/>
      <c r="H8" s="375"/>
    </row>
    <row r="9" spans="2:8" ht="18" hidden="1" customHeight="1">
      <c r="B9" s="375"/>
      <c r="C9" s="375"/>
      <c r="D9" s="375"/>
      <c r="E9" s="375"/>
      <c r="F9" s="375"/>
      <c r="G9" s="375"/>
      <c r="H9" s="375"/>
    </row>
    <row r="10" spans="2:8" ht="18" hidden="1" customHeight="1">
      <c r="B10" s="375"/>
      <c r="C10" s="375"/>
      <c r="D10" s="375"/>
      <c r="E10" s="375"/>
      <c r="F10" s="375"/>
      <c r="G10" s="375"/>
      <c r="H10" s="375"/>
    </row>
    <row r="11" spans="2:8" ht="18" hidden="1" customHeight="1">
      <c r="B11" s="375"/>
      <c r="C11" s="375"/>
      <c r="D11" s="375"/>
      <c r="E11" s="375"/>
      <c r="F11" s="375"/>
      <c r="G11" s="375"/>
      <c r="H11" s="375"/>
    </row>
    <row r="12" spans="2:8" ht="18" hidden="1" customHeight="1">
      <c r="B12" s="375"/>
      <c r="C12" s="375"/>
      <c r="D12" s="375"/>
      <c r="E12" s="375"/>
      <c r="F12" s="375"/>
      <c r="G12" s="375"/>
      <c r="H12" s="375"/>
    </row>
    <row r="13" spans="2:8" ht="18" hidden="1" customHeight="1">
      <c r="B13" s="375"/>
      <c r="C13" s="375"/>
      <c r="D13" s="375"/>
      <c r="E13" s="375"/>
      <c r="F13" s="375"/>
      <c r="G13" s="375"/>
      <c r="H13" s="375"/>
    </row>
    <row r="14" spans="2:8" ht="18" hidden="1" customHeight="1">
      <c r="B14" s="375"/>
      <c r="C14" s="375"/>
      <c r="D14" s="375"/>
      <c r="E14" s="375"/>
      <c r="F14" s="375"/>
      <c r="G14" s="375"/>
      <c r="H14" s="375"/>
    </row>
    <row r="15" spans="2:8" ht="18" hidden="1" customHeight="1">
      <c r="B15" s="375"/>
      <c r="C15" s="375"/>
      <c r="D15" s="375"/>
      <c r="E15" s="375"/>
      <c r="F15" s="375"/>
      <c r="G15" s="375"/>
      <c r="H15" s="375"/>
    </row>
    <row r="16" spans="2:8" ht="18" hidden="1" customHeight="1">
      <c r="B16" s="375"/>
      <c r="C16" s="375"/>
      <c r="D16" s="375"/>
      <c r="E16" s="375"/>
      <c r="F16" s="375"/>
      <c r="G16" s="375"/>
      <c r="H16" s="375"/>
    </row>
    <row r="17" spans="2:8" ht="18" hidden="1" customHeight="1">
      <c r="B17" s="375"/>
      <c r="C17" s="375"/>
      <c r="D17" s="375"/>
      <c r="E17" s="375"/>
      <c r="F17" s="375"/>
      <c r="G17" s="375"/>
      <c r="H17" s="375"/>
    </row>
    <row r="18" spans="2:8" ht="18" hidden="1" customHeight="1">
      <c r="B18" s="375"/>
      <c r="C18" s="375"/>
      <c r="D18" s="375"/>
      <c r="E18" s="375"/>
      <c r="F18" s="375"/>
      <c r="G18" s="375"/>
      <c r="H18" s="375"/>
    </row>
    <row r="19" spans="2:8">
      <c r="B19" s="391" t="s">
        <v>333</v>
      </c>
      <c r="C19" s="391" t="s">
        <v>170</v>
      </c>
      <c r="D19" s="391" t="s">
        <v>334</v>
      </c>
      <c r="E19" s="391" t="s">
        <v>335</v>
      </c>
      <c r="F19" s="391" t="s">
        <v>336</v>
      </c>
      <c r="G19" s="375"/>
      <c r="H19" s="375"/>
    </row>
    <row r="20" spans="2:8">
      <c r="B20" s="392" t="s">
        <v>65</v>
      </c>
      <c r="C20" s="393">
        <f>N(MENU!F6)+N(MENU!F7)</f>
        <v>0</v>
      </c>
      <c r="D20" s="393">
        <f>SUMIFS(DB!$H$2:$H$1001,DB!$B$2:$B$1001,MENU!$A$2,DB!$AM$2:$AM$1001,"事業所得")</f>
        <v>0</v>
      </c>
      <c r="E20" s="393">
        <f>C20-D20</f>
        <v>0</v>
      </c>
      <c r="F20" s="394" t="str">
        <f>IF(NOT(ISNUMBER(MENU!A2)),"年未設定",IF(ABS(E20)&lt;0.5,"一致","要確認"))</f>
        <v>年未設定</v>
      </c>
      <c r="G20" s="375"/>
      <c r="H20" s="375"/>
    </row>
    <row r="21" spans="2:8">
      <c r="B21" s="392" t="s">
        <v>64</v>
      </c>
      <c r="C21" s="393">
        <f>N(MENU!F8)</f>
        <v>0</v>
      </c>
      <c r="D21" s="393">
        <f>SUMIFS(DB!$H$2:$H$1001,DB!$B$2:$B$1001,MENU!$A$2,DB!$AM$2:$AM$1001,"不動産所得")</f>
        <v>0</v>
      </c>
      <c r="E21" s="393">
        <f t="shared" ref="E21:E33" si="0">C21-D21</f>
        <v>0</v>
      </c>
      <c r="F21" s="394" t="str">
        <f>IF(NOT(ISNUMBER(MENU!A2)),"年未設定",IF(ABS(E21)&lt;0.5,"一致","要確認"))</f>
        <v>年未設定</v>
      </c>
      <c r="G21" s="375"/>
      <c r="H21" s="375"/>
    </row>
    <row r="22" spans="2:8">
      <c r="B22" s="392" t="s">
        <v>299</v>
      </c>
      <c r="C22" s="393">
        <f>N(MENU!F9)</f>
        <v>0</v>
      </c>
      <c r="D22" s="393">
        <f>SUMIFS(DB!$H$2:$H$1001,DB!$B$2:$B$1001,MENU!$A$2,DB!$AM$2:$AM$1001,"総合配当")</f>
        <v>0</v>
      </c>
      <c r="E22" s="393">
        <f t="shared" si="0"/>
        <v>0</v>
      </c>
      <c r="F22" s="394" t="str">
        <f>IF(NOT(ISNUMBER(MENU!A2)),"年未設定",IF(ABS(E22)&lt;0.5,"一致","要確認"))</f>
        <v>年未設定</v>
      </c>
      <c r="G22" s="375"/>
      <c r="H22" s="375"/>
    </row>
    <row r="23" spans="2:8">
      <c r="B23" s="392" t="s">
        <v>63</v>
      </c>
      <c r="C23" s="393">
        <f>N(MENU!F10)</f>
        <v>0</v>
      </c>
      <c r="D23" s="393">
        <f>SUMIFS(DB!$H$2:$H$1001,DB!$B$2:$B$1001,MENU!$A$2,DB!$AM$2:$AM$1001,"給与所得")</f>
        <v>0</v>
      </c>
      <c r="E23" s="393">
        <f t="shared" si="0"/>
        <v>0</v>
      </c>
      <c r="F23" s="394" t="str">
        <f>IF(NOT(ISNUMBER(MENU!A2)),"年未設定",IF(ABS(E23)&lt;0.5,"一致","要確認"))</f>
        <v>年未設定</v>
      </c>
      <c r="G23" s="375"/>
      <c r="H23" s="375"/>
    </row>
    <row r="24" spans="2:8">
      <c r="B24" s="392" t="s">
        <v>59</v>
      </c>
      <c r="C24" s="393">
        <f>N(MENU!F11)+N(MENU!F12)+N(MENU!F13)</f>
        <v>0</v>
      </c>
      <c r="D24" s="393">
        <f>SUMIFS(DB!$H$2:$H$1001,DB!$B$2:$B$1001,MENU!$A$2,DB!$AM$2:$AM$1001,"雑所得")</f>
        <v>0</v>
      </c>
      <c r="E24" s="393">
        <f t="shared" si="0"/>
        <v>0</v>
      </c>
      <c r="F24" s="394" t="str">
        <f>IF(NOT(ISNUMBER(MENU!A2)),"年未設定",IF(ABS(E24)&lt;0.5,"一致","要確認"))</f>
        <v>年未設定</v>
      </c>
      <c r="G24" s="375"/>
      <c r="H24" s="375"/>
    </row>
    <row r="25" spans="2:8">
      <c r="B25" s="392" t="s">
        <v>300</v>
      </c>
      <c r="C25" s="393">
        <f>N(MENU!F14)+N(MENU!F15)</f>
        <v>0</v>
      </c>
      <c r="D25" s="393">
        <f>SUMIFS(DB!$H$2:$H$1001,DB!$B$2:$B$1001,MENU!$A$2,DB!$AM$2:$AM$1001,"総合譲渡")</f>
        <v>0</v>
      </c>
      <c r="E25" s="393">
        <f t="shared" si="0"/>
        <v>0</v>
      </c>
      <c r="F25" s="394" t="str">
        <f>IF(NOT(ISNUMBER(MENU!A2)),"年未設定",IF(ABS(E25)&lt;0.5,"一致","要確認"))</f>
        <v>年未設定</v>
      </c>
      <c r="G25" s="375"/>
      <c r="H25" s="375"/>
    </row>
    <row r="26" spans="2:8">
      <c r="B26" s="392" t="s">
        <v>61</v>
      </c>
      <c r="C26" s="393">
        <f>N(MENU!F16)</f>
        <v>0</v>
      </c>
      <c r="D26" s="393">
        <f>SUMIFS(DB!$H$2:$H$1001,DB!$B$2:$B$1001,MENU!$A$2,DB!$AM$2:$AM$1001,"一時所得")</f>
        <v>0</v>
      </c>
      <c r="E26" s="393">
        <f t="shared" si="0"/>
        <v>0</v>
      </c>
      <c r="F26" s="394" t="str">
        <f>IF(NOT(ISNUMBER(MENU!A2)),"年未設定",IF(ABS(E26)&lt;0.5,"一致","要確認"))</f>
        <v>年未設定</v>
      </c>
      <c r="G26" s="375"/>
      <c r="H26" s="375"/>
    </row>
    <row r="27" spans="2:8">
      <c r="B27" s="392" t="s">
        <v>301</v>
      </c>
      <c r="C27" s="393">
        <f>N(MENU!F26)+N(MENU!F27)+N(MENU!F28)+N(MENU!F29)+N(MENU!F30)</f>
        <v>0</v>
      </c>
      <c r="D27" s="393">
        <f>SUMIFS(DB!$H$2:$H$1001,DB!$B$2:$B$1001,MENU!$A$2,DB!$AM$2:$AM$1001,"分離譲渡")</f>
        <v>0</v>
      </c>
      <c r="E27" s="393">
        <f t="shared" si="0"/>
        <v>0</v>
      </c>
      <c r="F27" s="394" t="str">
        <f>IF(NOT(ISNUMBER(MENU!A2)),"年未設定",IF(ABS(E27)&lt;0.5,"一致","要確認"))</f>
        <v>年未設定</v>
      </c>
      <c r="G27" s="375"/>
      <c r="H27" s="375"/>
    </row>
    <row r="28" spans="2:8">
      <c r="B28" s="392" t="s">
        <v>162</v>
      </c>
      <c r="C28" s="393">
        <f>N(MENU!F31)+N(MENU!F32)</f>
        <v>0</v>
      </c>
      <c r="D28" s="393">
        <f>SUMIFS(DB!$H$2:$H$1001,DB!$B$2:$B$1001,MENU!$A$2,DB!$AM$2:$AM$1001,"分離株式譲渡")</f>
        <v>0</v>
      </c>
      <c r="E28" s="393">
        <f t="shared" si="0"/>
        <v>0</v>
      </c>
      <c r="F28" s="394" t="str">
        <f>IF(NOT(ISNUMBER(MENU!A2)),"年未設定",IF(ABS(E28)&lt;0.5,"一致","要確認"))</f>
        <v>年未設定</v>
      </c>
      <c r="G28" s="375"/>
      <c r="H28" s="375"/>
    </row>
    <row r="29" spans="2:8">
      <c r="B29" s="392" t="s">
        <v>163</v>
      </c>
      <c r="C29" s="393">
        <f>N(MENU!F33)</f>
        <v>0</v>
      </c>
      <c r="D29" s="393">
        <f>SUMIFS(DB!$H$2:$H$1001,DB!$B$2:$B$1001,MENU!$A$2,DB!$AM$2:$AM$1001,"分離配当")</f>
        <v>0</v>
      </c>
      <c r="E29" s="393">
        <f t="shared" si="0"/>
        <v>0</v>
      </c>
      <c r="F29" s="394" t="str">
        <f>IF(NOT(ISNUMBER(MENU!A2)),"年未設定",IF(ABS(E29)&lt;0.5,"一致","要確認"))</f>
        <v>年未設定</v>
      </c>
      <c r="G29" s="375"/>
      <c r="H29" s="375"/>
    </row>
    <row r="30" spans="2:8">
      <c r="B30" s="392" t="s">
        <v>275</v>
      </c>
      <c r="C30" s="393">
        <f>N(MENU!F34)</f>
        <v>0</v>
      </c>
      <c r="D30" s="393">
        <f>SUMIFS(DB!$H$2:$H$1001,DB!$B$2:$B$1001,MENU!$A$2,DB!$AM$2:$AM$1001,"先物取引")</f>
        <v>0</v>
      </c>
      <c r="E30" s="393">
        <f t="shared" si="0"/>
        <v>0</v>
      </c>
      <c r="F30" s="394" t="str">
        <f>IF(NOT(ISNUMBER(MENU!A2)),"年未設定",IF(ABS(E30)&lt;0.5,"一致","要確認"))</f>
        <v>年未設定</v>
      </c>
      <c r="G30" s="375"/>
      <c r="H30" s="375"/>
    </row>
    <row r="31" spans="2:8">
      <c r="B31" s="392" t="s">
        <v>278</v>
      </c>
      <c r="C31" s="393">
        <f>N(MENU!F35)</f>
        <v>0</v>
      </c>
      <c r="D31" s="393">
        <f>SUMIFS(DB!$H$2:$H$1001,DB!$B$2:$B$1001,MENU!$A$2,DB!$AM$2:$AM$1001,"山林所得")</f>
        <v>0</v>
      </c>
      <c r="E31" s="393">
        <f t="shared" si="0"/>
        <v>0</v>
      </c>
      <c r="F31" s="394" t="str">
        <f>IF(NOT(ISNUMBER(MENU!A2)),"年未設定",IF(ABS(E31)&lt;0.5,"一致","要確認"))</f>
        <v>年未設定</v>
      </c>
      <c r="G31" s="375"/>
      <c r="H31" s="375"/>
    </row>
    <row r="32" spans="2:8">
      <c r="B32" s="392" t="s">
        <v>273</v>
      </c>
      <c r="C32" s="393">
        <f>N(MENU!F36)</f>
        <v>0</v>
      </c>
      <c r="D32" s="393">
        <f>SUMIFS(DB!$H$2:$H$1001,DB!$B$2:$B$1001,MENU!$A$2,DB!$AM$2:$AM$1001,"退職所得")</f>
        <v>0</v>
      </c>
      <c r="E32" s="393">
        <f t="shared" si="0"/>
        <v>0</v>
      </c>
      <c r="F32" s="394" t="str">
        <f>IF(NOT(ISNUMBER(MENU!A2)),"年未設定",IF(ABS(E32)&lt;0.5,"一致","要確認"))</f>
        <v>年未設定</v>
      </c>
      <c r="G32" s="375"/>
      <c r="H32" s="375"/>
    </row>
    <row r="33" spans="2:8">
      <c r="B33" s="392" t="s">
        <v>164</v>
      </c>
      <c r="C33" s="393">
        <f>N(MENU!F39)</f>
        <v>0</v>
      </c>
      <c r="D33" s="393">
        <f>SUMIFS(DB!$H$2:$H$1001,DB!$B$2:$B$1001,MENU!$A$2,DB!$AM$2:$AM$1001,"申告不要分")</f>
        <v>0</v>
      </c>
      <c r="E33" s="393">
        <f t="shared" si="0"/>
        <v>0</v>
      </c>
      <c r="F33" s="394" t="str">
        <f>IF(NOT(ISNUMBER(MENU!A2)),"年未設定",IF(ABS(E33)&lt;0.5,"一致","要確認"))</f>
        <v>年未設定</v>
      </c>
      <c r="G33" s="375"/>
      <c r="H33" s="375"/>
    </row>
    <row r="34" spans="2:8">
      <c r="B34" s="375"/>
      <c r="C34" s="375"/>
      <c r="D34" s="375"/>
      <c r="E34" s="375"/>
      <c r="F34" s="375"/>
      <c r="G34" s="375"/>
      <c r="H34" s="375"/>
    </row>
    <row r="35" spans="2:8">
      <c r="B35" s="375"/>
      <c r="C35" s="375"/>
      <c r="D35" s="375"/>
      <c r="E35" s="375"/>
      <c r="F35" s="375"/>
      <c r="G35" s="375"/>
      <c r="H35" s="375"/>
    </row>
    <row r="36" spans="2:8" ht="18" customHeight="1">
      <c r="B36" s="370" t="s">
        <v>337</v>
      </c>
      <c r="C36" s="370"/>
      <c r="D36" s="370"/>
      <c r="E36" s="370"/>
      <c r="F36" s="370"/>
      <c r="G36" s="375"/>
      <c r="H36" s="375"/>
    </row>
    <row r="37" spans="2:8" ht="18" hidden="1" customHeight="1">
      <c r="B37" s="375"/>
      <c r="C37" s="375"/>
      <c r="D37" s="375"/>
      <c r="E37" s="375"/>
      <c r="F37" s="375"/>
      <c r="G37" s="375"/>
      <c r="H37" s="375"/>
    </row>
    <row r="38" spans="2:8" ht="18" hidden="1" customHeight="1">
      <c r="B38" s="375"/>
      <c r="C38" s="375"/>
      <c r="D38" s="375"/>
      <c r="E38" s="375"/>
      <c r="F38" s="375"/>
      <c r="G38" s="375"/>
      <c r="H38" s="375"/>
    </row>
    <row r="39" spans="2:8" ht="18" hidden="1" customHeight="1">
      <c r="B39" s="375"/>
      <c r="C39" s="375"/>
      <c r="D39" s="375"/>
      <c r="E39" s="375"/>
      <c r="F39" s="375"/>
      <c r="G39" s="375"/>
      <c r="H39" s="375"/>
    </row>
    <row r="40" spans="2:8" ht="18" hidden="1" customHeight="1">
      <c r="B40" s="375"/>
      <c r="C40" s="375"/>
      <c r="D40" s="375"/>
      <c r="E40" s="375"/>
      <c r="F40" s="375"/>
      <c r="G40" s="375"/>
      <c r="H40" s="375"/>
    </row>
    <row r="41" spans="2:8" ht="18" hidden="1" customHeight="1">
      <c r="B41" s="375"/>
      <c r="C41" s="375"/>
      <c r="D41" s="375"/>
      <c r="E41" s="375"/>
      <c r="F41" s="375"/>
      <c r="G41" s="375"/>
      <c r="H41" s="375"/>
    </row>
    <row r="42" spans="2:8" ht="18" hidden="1" customHeight="1">
      <c r="B42" s="375"/>
      <c r="C42" s="375"/>
      <c r="D42" s="375"/>
      <c r="E42" s="375"/>
      <c r="F42" s="375"/>
      <c r="G42" s="375"/>
      <c r="H42" s="375"/>
    </row>
    <row r="43" spans="2:8" ht="18" hidden="1" customHeight="1">
      <c r="B43" s="375"/>
      <c r="C43" s="375"/>
      <c r="D43" s="375"/>
      <c r="E43" s="375"/>
      <c r="F43" s="375"/>
      <c r="G43" s="375"/>
      <c r="H43" s="375"/>
    </row>
    <row r="44" spans="2:8" ht="18" hidden="1" customHeight="1">
      <c r="B44" s="375"/>
      <c r="C44" s="375"/>
      <c r="D44" s="375"/>
      <c r="E44" s="375"/>
      <c r="F44" s="375"/>
      <c r="G44" s="375"/>
      <c r="H44" s="375"/>
    </row>
    <row r="45" spans="2:8" ht="18" hidden="1" customHeight="1">
      <c r="B45" s="375"/>
      <c r="C45" s="375"/>
      <c r="D45" s="375"/>
      <c r="E45" s="375"/>
      <c r="F45" s="375"/>
      <c r="G45" s="375"/>
      <c r="H45" s="375"/>
    </row>
    <row r="46" spans="2:8" ht="18" hidden="1" customHeight="1">
      <c r="B46" s="375"/>
      <c r="C46" s="375"/>
      <c r="D46" s="375"/>
      <c r="E46" s="375"/>
      <c r="F46" s="375"/>
      <c r="G46" s="375"/>
      <c r="H46" s="375"/>
    </row>
    <row r="47" spans="2:8" ht="18" hidden="1" customHeight="1">
      <c r="B47" s="375"/>
      <c r="C47" s="375"/>
      <c r="D47" s="375"/>
      <c r="E47" s="375"/>
      <c r="F47" s="375"/>
      <c r="G47" s="375"/>
      <c r="H47" s="375"/>
    </row>
  </sheetData>
  <sheetProtection algorithmName="SHA-512" hashValue="AM68rcZodgdhsgyUJ7JvMIjbBcZ8A2qoGNNN01OAYG34gAAn2lXkxZYeep+EGPhnkmCLFXuVq2Ke3Z1H+RIVKQ==" saltValue="ZsnIxYGMd3Gu4v9wdQtfAw==" spinCount="100000" sheet="1" objects="1" scenarios="1" autoFilter="0"/>
  <mergeCells count="4">
    <mergeCell ref="B2:F2"/>
    <mergeCell ref="B4:F4"/>
    <mergeCell ref="B6:F6"/>
    <mergeCell ref="B36:F36"/>
  </mergeCells>
  <phoneticPr fontId="2"/>
  <pageMargins left="0.25" right="0.25" top="0.35" bottom="0.3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>
    <tabColor rgb="FF5B9BD5"/>
    <pageSetUpPr fitToPage="1"/>
  </sheetPr>
  <dimension ref="B1:H50"/>
  <sheetViews>
    <sheetView showGridLines="0" zoomScale="90" zoomScaleNormal="90" workbookViewId="0"/>
  </sheetViews>
  <sheetFormatPr defaultRowHeight="18"/>
  <cols>
    <col min="1" max="1" width="3.69921875" customWidth="1"/>
    <col min="2" max="2" width="25.69921875" customWidth="1"/>
    <col min="3" max="3" width="24.69921875" customWidth="1"/>
    <col min="4" max="8" width="13.69921875" customWidth="1"/>
  </cols>
  <sheetData>
    <row r="1" spans="2:8" ht="25.05" customHeight="1"/>
    <row r="2" spans="2:8" ht="28.05" customHeight="1">
      <c r="B2" s="362" t="s">
        <v>309</v>
      </c>
      <c r="C2" s="362"/>
      <c r="D2" s="362"/>
      <c r="E2" s="362"/>
      <c r="F2" s="362"/>
      <c r="G2" s="362"/>
      <c r="H2" s="362"/>
    </row>
    <row r="3" spans="2:8" ht="31.95" customHeight="1">
      <c r="B3" s="363" t="s">
        <v>310</v>
      </c>
      <c r="C3" s="363"/>
      <c r="D3" s="363"/>
      <c r="E3" s="363"/>
      <c r="F3" s="363"/>
      <c r="G3" s="363"/>
      <c r="H3" s="363"/>
    </row>
    <row r="4" spans="2:8" ht="25.05" customHeight="1">
      <c r="B4" s="395"/>
      <c r="C4" s="395"/>
      <c r="D4" s="395"/>
      <c r="E4" s="395"/>
      <c r="F4" s="395"/>
      <c r="G4" s="395"/>
      <c r="H4" s="395"/>
    </row>
    <row r="5" spans="2:8" ht="24" customHeight="1">
      <c r="B5" s="396" t="s">
        <v>311</v>
      </c>
      <c r="C5" s="396" t="s">
        <v>312</v>
      </c>
      <c r="D5" s="397" t="s">
        <v>313</v>
      </c>
      <c r="E5" s="397"/>
      <c r="F5" s="397"/>
      <c r="G5" s="397"/>
      <c r="H5" s="397"/>
    </row>
    <row r="6" spans="2:8" ht="30" customHeight="1">
      <c r="B6" s="398" t="s">
        <v>314</v>
      </c>
      <c r="C6" s="417"/>
      <c r="D6" s="364" t="s">
        <v>315</v>
      </c>
      <c r="E6" s="364"/>
      <c r="F6" s="364"/>
      <c r="G6" s="364"/>
      <c r="H6" s="364"/>
    </row>
    <row r="7" spans="2:8" ht="25.05" customHeight="1">
      <c r="B7" s="398"/>
      <c r="C7" s="399"/>
      <c r="D7" s="281"/>
      <c r="E7" s="281"/>
      <c r="F7" s="281"/>
      <c r="G7" s="281"/>
      <c r="H7" s="281"/>
    </row>
    <row r="8" spans="2:8" ht="34.049999999999997" customHeight="1">
      <c r="B8" s="398" t="s">
        <v>316</v>
      </c>
      <c r="C8" s="417" t="s">
        <v>322</v>
      </c>
      <c r="D8" s="364" t="s">
        <v>317</v>
      </c>
      <c r="E8" s="364"/>
      <c r="F8" s="364"/>
      <c r="G8" s="364"/>
      <c r="H8" s="364"/>
    </row>
    <row r="9" spans="2:8" ht="25.05" customHeight="1">
      <c r="B9" s="398"/>
      <c r="C9" s="399"/>
      <c r="D9" s="281"/>
      <c r="E9" s="281"/>
      <c r="F9" s="281"/>
      <c r="G9" s="281"/>
      <c r="H9" s="281"/>
    </row>
    <row r="10" spans="2:8" ht="30" customHeight="1">
      <c r="B10" s="398" t="s">
        <v>318</v>
      </c>
      <c r="C10" s="418"/>
      <c r="D10" s="364" t="s">
        <v>319</v>
      </c>
      <c r="E10" s="364"/>
      <c r="F10" s="364"/>
      <c r="G10" s="364"/>
      <c r="H10" s="364"/>
    </row>
    <row r="11" spans="2:8" ht="30" customHeight="1">
      <c r="B11" s="398" t="s">
        <v>320</v>
      </c>
      <c r="C11" s="418"/>
      <c r="D11" s="364" t="s">
        <v>321</v>
      </c>
      <c r="E11" s="364"/>
      <c r="F11" s="364"/>
      <c r="G11" s="364"/>
      <c r="H11" s="364"/>
    </row>
    <row r="12" spans="2:8" ht="25.05" customHeight="1">
      <c r="B12" s="395"/>
      <c r="C12" s="395"/>
      <c r="D12" s="395"/>
      <c r="E12" s="395"/>
      <c r="F12" s="395"/>
      <c r="G12" s="395"/>
      <c r="H12" s="395"/>
    </row>
    <row r="13" spans="2:8" ht="25.05" customHeight="1">
      <c r="B13" s="395"/>
      <c r="C13" s="395"/>
      <c r="D13" s="395"/>
      <c r="E13" s="395"/>
      <c r="F13" s="395"/>
      <c r="G13" s="395"/>
      <c r="H13" s="395"/>
    </row>
    <row r="14" spans="2:8" ht="19.95" customHeight="1">
      <c r="B14" s="365" t="s">
        <v>323</v>
      </c>
      <c r="C14" s="365"/>
      <c r="D14" s="365"/>
      <c r="E14" s="365"/>
      <c r="F14" s="365"/>
      <c r="G14" s="365"/>
      <c r="H14" s="365"/>
    </row>
    <row r="15" spans="2:8" ht="19.95" customHeight="1">
      <c r="B15" s="365"/>
      <c r="C15" s="365"/>
      <c r="D15" s="365"/>
      <c r="E15" s="365"/>
      <c r="F15" s="365"/>
      <c r="G15" s="365"/>
      <c r="H15" s="365"/>
    </row>
    <row r="16" spans="2:8" ht="19.95" customHeight="1">
      <c r="B16" s="365"/>
      <c r="C16" s="365"/>
      <c r="D16" s="365"/>
      <c r="E16" s="365"/>
      <c r="F16" s="365"/>
      <c r="G16" s="365"/>
      <c r="H16" s="365"/>
    </row>
    <row r="17" spans="2:8" ht="19.95" customHeight="1">
      <c r="B17" s="365"/>
      <c r="C17" s="365"/>
      <c r="D17" s="365"/>
      <c r="E17" s="365"/>
      <c r="F17" s="365"/>
      <c r="G17" s="365"/>
      <c r="H17" s="365"/>
    </row>
    <row r="18" spans="2:8" ht="25.05" customHeight="1">
      <c r="B18" s="395"/>
      <c r="C18" s="395"/>
      <c r="D18" s="395"/>
      <c r="E18" s="395"/>
      <c r="F18" s="395"/>
      <c r="G18" s="395"/>
      <c r="H18" s="395"/>
    </row>
    <row r="19" spans="2:8" ht="28.05" customHeight="1">
      <c r="B19" s="395"/>
      <c r="C19" s="395"/>
      <c r="D19" s="395"/>
      <c r="E19" s="395"/>
      <c r="F19" s="395"/>
      <c r="G19" s="395"/>
      <c r="H19" s="395"/>
    </row>
    <row r="20" spans="2:8" ht="25.05" customHeight="1">
      <c r="B20" s="395"/>
      <c r="C20" s="395"/>
      <c r="D20" s="395"/>
      <c r="E20" s="395"/>
      <c r="F20" s="395"/>
      <c r="G20" s="395"/>
      <c r="H20" s="395"/>
    </row>
    <row r="21" spans="2:8" ht="24" customHeight="1">
      <c r="B21" s="400" t="str">
        <f>HYPERLINK("#'MENU'!A2","MENUへ戻る")</f>
        <v>MENUへ戻る</v>
      </c>
      <c r="C21" s="401"/>
      <c r="D21" s="401"/>
      <c r="E21" s="401"/>
      <c r="F21" s="401"/>
      <c r="G21" s="401"/>
      <c r="H21" s="401"/>
    </row>
    <row r="22" spans="2:8" ht="25.05" customHeight="1"/>
    <row r="23" spans="2:8" ht="25.05" customHeight="1"/>
    <row r="24" spans="2:8" ht="25.05" customHeight="1"/>
    <row r="25" spans="2:8" ht="25.05" customHeight="1"/>
    <row r="26" spans="2:8" ht="25.05" customHeight="1"/>
    <row r="27" spans="2:8" ht="25.05" customHeight="1"/>
    <row r="28" spans="2:8" ht="25.05" customHeight="1"/>
    <row r="29" spans="2:8" ht="25.05" customHeight="1"/>
    <row r="30" spans="2:8" ht="25.05" customHeight="1"/>
    <row r="31" spans="2:8" ht="25.05" customHeight="1"/>
    <row r="32" spans="2:8" ht="25.05" customHeight="1"/>
    <row r="33" ht="25.05" customHeight="1"/>
    <row r="34" ht="25.05" customHeight="1"/>
    <row r="35" ht="25.05" customHeight="1"/>
    <row r="36" ht="25.05" customHeight="1"/>
    <row r="37" ht="25.05" customHeight="1"/>
    <row r="38" ht="25.05" customHeight="1"/>
    <row r="39" ht="25.05" customHeight="1"/>
    <row r="40" ht="25.05" customHeight="1"/>
    <row r="41" ht="25.05" customHeight="1"/>
    <row r="42" ht="25.05" customHeight="1"/>
    <row r="43" ht="25.05" customHeight="1"/>
    <row r="44" ht="25.05" customHeight="1"/>
    <row r="45" ht="25.05" customHeight="1"/>
    <row r="46" ht="25.05" customHeight="1"/>
    <row r="47" ht="25.05" customHeight="1"/>
    <row r="48" ht="25.05" customHeight="1"/>
    <row r="49" ht="25.05" customHeight="1"/>
    <row r="50" ht="25.05" customHeight="1"/>
  </sheetData>
  <sheetProtection algorithmName="SHA-512" hashValue="VLJSPqZOS2myvzMFjVF9ow6mkA+1iYnygWQHNp6yEPuSAJQswv4vEgRWasDSi4T72XrFuULeciCpTMwZ4SjEWw==" saltValue="G3jdkSPecjMhnJmBi+3jfg==" spinCount="100000" sheet="1" objects="1" scenarios="1" autoFilter="0"/>
  <mergeCells count="9">
    <mergeCell ref="B14:H17"/>
    <mergeCell ref="B21:H21"/>
    <mergeCell ref="D8:H8"/>
    <mergeCell ref="D10:H10"/>
    <mergeCell ref="D11:H11"/>
    <mergeCell ref="B2:H2"/>
    <mergeCell ref="B3:H3"/>
    <mergeCell ref="D5:H5"/>
    <mergeCell ref="D6:H6"/>
  </mergeCells>
  <phoneticPr fontId="2"/>
  <dataValidations count="1">
    <dataValidation type="list" showInputMessage="1" showErrorMessage="1" sqref="C8" xr:uid="{0646C13B-C7B2-4190-AEC5-1B2FD2B81032}">
      <formula1>"未設定,第一表に含む,別途加算"</formula1>
    </dataValidation>
  </dataValidations>
  <pageMargins left="0.25" right="0.25" top="0.35" bottom="0.3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680</vt:i4>
      </vt:variant>
    </vt:vector>
  </HeadingPairs>
  <TitlesOfParts>
    <vt:vector size="700" baseType="lpstr">
      <vt:lpstr>MENU</vt:lpstr>
      <vt:lpstr>Tax_Report_for CPA</vt:lpstr>
      <vt:lpstr>CPA_Detail</vt:lpstr>
      <vt:lpstr>支払税額計算</vt:lpstr>
      <vt:lpstr>事業所得</vt:lpstr>
      <vt:lpstr>不動産所得</vt:lpstr>
      <vt:lpstr>総合配当</vt:lpstr>
      <vt:lpstr>給与所得</vt:lpstr>
      <vt:lpstr>総合譲渡</vt:lpstr>
      <vt:lpstr>一時所得</vt:lpstr>
      <vt:lpstr>分離譲渡</vt:lpstr>
      <vt:lpstr>分離株式譲渡</vt:lpstr>
      <vt:lpstr>山林所得</vt:lpstr>
      <vt:lpstr>退職所得</vt:lpstr>
      <vt:lpstr>分離配当</vt:lpstr>
      <vt:lpstr>先物取引</vt:lpstr>
      <vt:lpstr>雑所得</vt:lpstr>
      <vt:lpstr>申告不要分</vt:lpstr>
      <vt:lpstr>確認・使い方</vt:lpstr>
      <vt:lpstr>詳細設定</vt:lpstr>
      <vt:lpstr>AcquisitionDate</vt:lpstr>
      <vt:lpstr>Amount_FX</vt:lpstr>
      <vt:lpstr>Amount_JPY</vt:lpstr>
      <vt:lpstr>Broker</vt:lpstr>
      <vt:lpstr>Category</vt:lpstr>
      <vt:lpstr>Cost_FX</vt:lpstr>
      <vt:lpstr>Cost_JPY</vt:lpstr>
      <vt:lpstr>Cost_Rate</vt:lpstr>
      <vt:lpstr>Cost_RateType</vt:lpstr>
      <vt:lpstr>Country</vt:lpstr>
      <vt:lpstr>CPA_Categories</vt:lpstr>
      <vt:lpstr>CPA_RateTypes</vt:lpstr>
      <vt:lpstr>Description</vt:lpstr>
      <vt:lpstr>Description_JP</vt:lpstr>
      <vt:lpstr>Expense_FX</vt:lpstr>
      <vt:lpstr>Expense_JPY</vt:lpstr>
      <vt:lpstr>Expense_Rate</vt:lpstr>
      <vt:lpstr>Expense_RateType</vt:lpstr>
      <vt:lpstr>ForeignTax_FX</vt:lpstr>
      <vt:lpstr>ForeignTax_JP</vt:lpstr>
      <vt:lpstr>ForeignTax_JPY</vt:lpstr>
      <vt:lpstr>ForeignTax_Rate</vt:lpstr>
      <vt:lpstr>ForeignTax_RateType</vt:lpstr>
      <vt:lpstr>Form</vt:lpstr>
      <vt:lpstr>FTC</vt:lpstr>
      <vt:lpstr>JPTax_FX</vt:lpstr>
      <vt:lpstr>JPTax_JPY</vt:lpstr>
      <vt:lpstr>JPTax_Rate</vt:lpstr>
      <vt:lpstr>JPTax_RateType</vt:lpstr>
      <vt:lpstr>Line</vt:lpstr>
      <vt:lpstr>NetIncome_FX</vt:lpstr>
      <vt:lpstr>NetIncome_JPY</vt:lpstr>
      <vt:lpstr>Payer</vt:lpstr>
      <vt:lpstr>CPA_Detail!Print_Area</vt:lpstr>
      <vt:lpstr>MENU!Print_Area</vt:lpstr>
      <vt:lpstr>'Tax_Report_for CPA'!Print_Area</vt:lpstr>
      <vt:lpstr>テンプレ!Print_Area</vt:lpstr>
      <vt:lpstr>一時所得!Print_Area</vt:lpstr>
      <vt:lpstr>確認・使い方!Print_Area</vt:lpstr>
      <vt:lpstr>給与所得!Print_Area</vt:lpstr>
      <vt:lpstr>雑所得!Print_Area</vt:lpstr>
      <vt:lpstr>山林所得!Print_Area</vt:lpstr>
      <vt:lpstr>支払税額計算!Print_Area</vt:lpstr>
      <vt:lpstr>事業所得!Print_Area</vt:lpstr>
      <vt:lpstr>詳細設定!Print_Area</vt:lpstr>
      <vt:lpstr>申告不要分!Print_Area</vt:lpstr>
      <vt:lpstr>先物取引!Print_Area</vt:lpstr>
      <vt:lpstr>総合譲渡!Print_Area</vt:lpstr>
      <vt:lpstr>総合配当!Print_Area</vt:lpstr>
      <vt:lpstr>退職所得!Print_Area</vt:lpstr>
      <vt:lpstr>不動産所得!Print_Area</vt:lpstr>
      <vt:lpstr>分離株式譲渡!Print_Area</vt:lpstr>
      <vt:lpstr>分離譲渡!Print_Area</vt:lpstr>
      <vt:lpstr>分離配当!Print_Area</vt:lpstr>
      <vt:lpstr>CPA_Detail!Print_Titles</vt:lpstr>
      <vt:lpstr>Sale_Date</vt:lpstr>
      <vt:lpstr>Sale_Rate</vt:lpstr>
      <vt:lpstr>Sale_RateType</vt:lpstr>
      <vt:lpstr>Source</vt:lpstr>
      <vt:lpstr>Timestamp</vt:lpstr>
      <vt:lpstr>USTax_FX</vt:lpstr>
      <vt:lpstr>USTax_JPY</vt:lpstr>
      <vt:lpstr>USTax_Rate</vt:lpstr>
      <vt:lpstr>USTax_RateType</vt:lpstr>
      <vt:lpstr>Year</vt:lpstr>
      <vt:lpstr>テンプレ_AcquisitionDate</vt:lpstr>
      <vt:lpstr>テンプレ_Amount_FX</vt:lpstr>
      <vt:lpstr>テンプレ_Amount_JPY</vt:lpstr>
      <vt:lpstr>テンプレ_AmountJPY</vt:lpstr>
      <vt:lpstr>テンプレ_Area</vt:lpstr>
      <vt:lpstr>テンプレ_Broker</vt:lpstr>
      <vt:lpstr>テンプレ_Category</vt:lpstr>
      <vt:lpstr>テンプレ_Cost_FX</vt:lpstr>
      <vt:lpstr>テンプレ_Cost_JPY</vt:lpstr>
      <vt:lpstr>テンプレ_Cost_Rate</vt:lpstr>
      <vt:lpstr>テンプレ_Cost_RateType</vt:lpstr>
      <vt:lpstr>テンプレ_Country</vt:lpstr>
      <vt:lpstr>テンプレ_Description</vt:lpstr>
      <vt:lpstr>テンプレ_Expense_FX</vt:lpstr>
      <vt:lpstr>テンプレ_Expense_JPY</vt:lpstr>
      <vt:lpstr>テンプレ_Expense_Rate</vt:lpstr>
      <vt:lpstr>テンプレ_Expense_RateType</vt:lpstr>
      <vt:lpstr>テンプレ_ForeignTax_FX</vt:lpstr>
      <vt:lpstr>テンプレ_ForeignTax_JPY</vt:lpstr>
      <vt:lpstr>テンプレ_ForeignTax_Rate</vt:lpstr>
      <vt:lpstr>テンプレ_ForeignTax_RateType</vt:lpstr>
      <vt:lpstr>テンプレ_Form</vt:lpstr>
      <vt:lpstr>テンプレ_FTC</vt:lpstr>
      <vt:lpstr>テンプレ_JPTax_FX</vt:lpstr>
      <vt:lpstr>テンプレ_JPTax_JPY</vt:lpstr>
      <vt:lpstr>テンプレ_JPTax_Rate</vt:lpstr>
      <vt:lpstr>テンプレ_JPTax_RateType</vt:lpstr>
      <vt:lpstr>テンプレ_Line</vt:lpstr>
      <vt:lpstr>テンプレ_NetIncome_FX</vt:lpstr>
      <vt:lpstr>テンプレ_NetIncome_JPY</vt:lpstr>
      <vt:lpstr>テンプレ_Payer</vt:lpstr>
      <vt:lpstr>テンプレ_Sale_Date</vt:lpstr>
      <vt:lpstr>テンプレ_Sale_Rate</vt:lpstr>
      <vt:lpstr>テンプレ_Sale_RateType</vt:lpstr>
      <vt:lpstr>テンプレ_Saledate</vt:lpstr>
      <vt:lpstr>テンプレ_Title</vt:lpstr>
      <vt:lpstr>テンプレ_USTax_FX</vt:lpstr>
      <vt:lpstr>テンプレ_USTax_JPY</vt:lpstr>
      <vt:lpstr>テンプレ_USTax_Rate</vt:lpstr>
      <vt:lpstr>テンプレ_USTax_RateType</vt:lpstr>
      <vt:lpstr>テンプレ_Year</vt:lpstr>
      <vt:lpstr>一時所得_AcquisitionDate</vt:lpstr>
      <vt:lpstr>一時所得_Amount_FX</vt:lpstr>
      <vt:lpstr>一時所得_Amount_JPY</vt:lpstr>
      <vt:lpstr>一時所得_AmountJPY</vt:lpstr>
      <vt:lpstr>一時所得_Area</vt:lpstr>
      <vt:lpstr>一時所得_Broker</vt:lpstr>
      <vt:lpstr>一時所得_Category</vt:lpstr>
      <vt:lpstr>一時所得_Cost_FX</vt:lpstr>
      <vt:lpstr>一時所得_Cost_JPY</vt:lpstr>
      <vt:lpstr>一時所得_Cost_Rate</vt:lpstr>
      <vt:lpstr>一時所得_Cost_RateType</vt:lpstr>
      <vt:lpstr>一時所得_Country</vt:lpstr>
      <vt:lpstr>一時所得_Description</vt:lpstr>
      <vt:lpstr>一時所得_Expense_FX</vt:lpstr>
      <vt:lpstr>一時所得_Expense_JPY</vt:lpstr>
      <vt:lpstr>一時所得_Expense_Rate</vt:lpstr>
      <vt:lpstr>一時所得_Expense_RateType</vt:lpstr>
      <vt:lpstr>一時所得_ForeignTax_FX</vt:lpstr>
      <vt:lpstr>一時所得_ForeignTax_JPY</vt:lpstr>
      <vt:lpstr>一時所得_ForeignTax_Rate</vt:lpstr>
      <vt:lpstr>一時所得_ForeignTax_RateType</vt:lpstr>
      <vt:lpstr>一時所得_Form</vt:lpstr>
      <vt:lpstr>一時所得_FTC</vt:lpstr>
      <vt:lpstr>一時所得_JPTax_FX</vt:lpstr>
      <vt:lpstr>一時所得_JPTax_JPY</vt:lpstr>
      <vt:lpstr>一時所得_JPTax_Rate</vt:lpstr>
      <vt:lpstr>一時所得_JPTax_RateType</vt:lpstr>
      <vt:lpstr>一時所得_Line</vt:lpstr>
      <vt:lpstr>一時所得_NetIncome_FX</vt:lpstr>
      <vt:lpstr>一時所得_NetIncome_JPY</vt:lpstr>
      <vt:lpstr>一時所得_Payer</vt:lpstr>
      <vt:lpstr>一時所得_Sale_Date</vt:lpstr>
      <vt:lpstr>一時所得_Sale_Rate</vt:lpstr>
      <vt:lpstr>一時所得_Sale_RateType</vt:lpstr>
      <vt:lpstr>一時所得_Saledate</vt:lpstr>
      <vt:lpstr>一時所得_Title</vt:lpstr>
      <vt:lpstr>一時所得_USTax_FX</vt:lpstr>
      <vt:lpstr>一時所得_USTax_JPY</vt:lpstr>
      <vt:lpstr>一時所得_USTax_Rate</vt:lpstr>
      <vt:lpstr>一時所得_USTax_RateType</vt:lpstr>
      <vt:lpstr>一時所得_Year</vt:lpstr>
      <vt:lpstr>給与所得_AcquisitionDate</vt:lpstr>
      <vt:lpstr>給与所得_Amount_FX</vt:lpstr>
      <vt:lpstr>給与所得_Amount_JPY</vt:lpstr>
      <vt:lpstr>給与所得_AmountJPY</vt:lpstr>
      <vt:lpstr>給与所得_Area</vt:lpstr>
      <vt:lpstr>給与所得_Broker</vt:lpstr>
      <vt:lpstr>給与所得_Category</vt:lpstr>
      <vt:lpstr>給与所得_Cost_FX</vt:lpstr>
      <vt:lpstr>給与所得_Cost_JPY</vt:lpstr>
      <vt:lpstr>給与所得_Cost_Rate</vt:lpstr>
      <vt:lpstr>給与所得_Cost_RateType</vt:lpstr>
      <vt:lpstr>給与所得_Country</vt:lpstr>
      <vt:lpstr>給与所得_Description</vt:lpstr>
      <vt:lpstr>給与所得_Expense_FX</vt:lpstr>
      <vt:lpstr>給与所得_Expense_JPY</vt:lpstr>
      <vt:lpstr>給与所得_Expense_Rate</vt:lpstr>
      <vt:lpstr>給与所得_Expense_RateType</vt:lpstr>
      <vt:lpstr>給与所得_ForeignTax_FX</vt:lpstr>
      <vt:lpstr>給与所得_ForeignTax_JPY</vt:lpstr>
      <vt:lpstr>給与所得_ForeignTax_Rate</vt:lpstr>
      <vt:lpstr>給与所得_ForeignTax_RateType</vt:lpstr>
      <vt:lpstr>給与所得_Form</vt:lpstr>
      <vt:lpstr>給与所得_FTC</vt:lpstr>
      <vt:lpstr>給与所得_JPTax_FX</vt:lpstr>
      <vt:lpstr>給与所得_JPTax_JPY</vt:lpstr>
      <vt:lpstr>給与所得_JPTax_Rate</vt:lpstr>
      <vt:lpstr>給与所得_JPTax_RateType</vt:lpstr>
      <vt:lpstr>給与所得_Line</vt:lpstr>
      <vt:lpstr>給与所得_NetIncome_FX</vt:lpstr>
      <vt:lpstr>給与所得_NetIncome_JPY</vt:lpstr>
      <vt:lpstr>給与所得_Payer</vt:lpstr>
      <vt:lpstr>給与所得_Sale_Date</vt:lpstr>
      <vt:lpstr>給与所得_Sale_Rate</vt:lpstr>
      <vt:lpstr>給与所得_Sale_RateType</vt:lpstr>
      <vt:lpstr>給与所得_Saledate</vt:lpstr>
      <vt:lpstr>給与所得_Title</vt:lpstr>
      <vt:lpstr>給与所得_USTax_FX</vt:lpstr>
      <vt:lpstr>給与所得_USTax_JPY</vt:lpstr>
      <vt:lpstr>給与所得_USTax_Rate</vt:lpstr>
      <vt:lpstr>給与所得_USTax_RateType</vt:lpstr>
      <vt:lpstr>給与所得_Year</vt:lpstr>
      <vt:lpstr>雑所得_AcquisitionDate</vt:lpstr>
      <vt:lpstr>雑所得_Amount_FX</vt:lpstr>
      <vt:lpstr>雑所得_Amount_JPY</vt:lpstr>
      <vt:lpstr>雑所得_AmountJPY</vt:lpstr>
      <vt:lpstr>雑所得_Area</vt:lpstr>
      <vt:lpstr>雑所得_Broker</vt:lpstr>
      <vt:lpstr>雑所得_Category</vt:lpstr>
      <vt:lpstr>雑所得_Cost_FX</vt:lpstr>
      <vt:lpstr>雑所得_Cost_JPY</vt:lpstr>
      <vt:lpstr>雑所得_Cost_Rate</vt:lpstr>
      <vt:lpstr>雑所得_Cost_RateType</vt:lpstr>
      <vt:lpstr>雑所得_Country</vt:lpstr>
      <vt:lpstr>雑所得_Description</vt:lpstr>
      <vt:lpstr>雑所得_Expense_FX</vt:lpstr>
      <vt:lpstr>雑所得_Expense_JPY</vt:lpstr>
      <vt:lpstr>雑所得_Expense_Rate</vt:lpstr>
      <vt:lpstr>雑所得_Expense_RateType</vt:lpstr>
      <vt:lpstr>雑所得_ForeignTax_FX</vt:lpstr>
      <vt:lpstr>雑所得_ForeignTax_JPY</vt:lpstr>
      <vt:lpstr>雑所得_ForeignTax_Rate</vt:lpstr>
      <vt:lpstr>雑所得_ForeignTax_RateType</vt:lpstr>
      <vt:lpstr>雑所得_Form</vt:lpstr>
      <vt:lpstr>雑所得_FTC</vt:lpstr>
      <vt:lpstr>雑所得_JPTax_FX</vt:lpstr>
      <vt:lpstr>雑所得_JPTax_JPY</vt:lpstr>
      <vt:lpstr>雑所得_JPTax_Rate</vt:lpstr>
      <vt:lpstr>雑所得_JPTax_RateType</vt:lpstr>
      <vt:lpstr>雑所得_Line</vt:lpstr>
      <vt:lpstr>雑所得_NetIncome_FX</vt:lpstr>
      <vt:lpstr>雑所得_NetIncome_JPY</vt:lpstr>
      <vt:lpstr>雑所得_Payer</vt:lpstr>
      <vt:lpstr>雑所得_Sale_Date</vt:lpstr>
      <vt:lpstr>雑所得_Sale_Rate</vt:lpstr>
      <vt:lpstr>雑所得_Sale_RateType</vt:lpstr>
      <vt:lpstr>雑所得_Saledate</vt:lpstr>
      <vt:lpstr>雑所得_Title</vt:lpstr>
      <vt:lpstr>雑所得_USTax_FX</vt:lpstr>
      <vt:lpstr>雑所得_USTax_JPY</vt:lpstr>
      <vt:lpstr>雑所得_USTax_Rate</vt:lpstr>
      <vt:lpstr>雑所得_USTax_RateType</vt:lpstr>
      <vt:lpstr>雑所得_Year</vt:lpstr>
      <vt:lpstr>山林所得_AcquisitionDate</vt:lpstr>
      <vt:lpstr>山林所得_Amount_FX</vt:lpstr>
      <vt:lpstr>山林所得_Amount_JPY</vt:lpstr>
      <vt:lpstr>山林所得_AmountJPY</vt:lpstr>
      <vt:lpstr>山林所得_Area</vt:lpstr>
      <vt:lpstr>山林所得_Broker</vt:lpstr>
      <vt:lpstr>山林所得_Category</vt:lpstr>
      <vt:lpstr>山林所得_Cost_FX</vt:lpstr>
      <vt:lpstr>山林所得_Cost_JPY</vt:lpstr>
      <vt:lpstr>山林所得_Cost_Rate</vt:lpstr>
      <vt:lpstr>山林所得_Cost_RateType</vt:lpstr>
      <vt:lpstr>山林所得_Country</vt:lpstr>
      <vt:lpstr>山林所得_Description</vt:lpstr>
      <vt:lpstr>山林所得_Expense_FX</vt:lpstr>
      <vt:lpstr>山林所得_Expense_JPY</vt:lpstr>
      <vt:lpstr>山林所得_Expense_Rate</vt:lpstr>
      <vt:lpstr>山林所得_Expense_RateType</vt:lpstr>
      <vt:lpstr>山林所得_ForeignTax_FX</vt:lpstr>
      <vt:lpstr>山林所得_ForeignTax_JPY</vt:lpstr>
      <vt:lpstr>山林所得_ForeignTax_Rate</vt:lpstr>
      <vt:lpstr>山林所得_ForeignTax_RateType</vt:lpstr>
      <vt:lpstr>山林所得_Form</vt:lpstr>
      <vt:lpstr>山林所得_FTC</vt:lpstr>
      <vt:lpstr>山林所得_JPTax_FX</vt:lpstr>
      <vt:lpstr>山林所得_JPTax_JPY</vt:lpstr>
      <vt:lpstr>山林所得_JPTax_Rate</vt:lpstr>
      <vt:lpstr>山林所得_JPTax_RateType</vt:lpstr>
      <vt:lpstr>山林所得_Line</vt:lpstr>
      <vt:lpstr>山林所得_NetIncome_FX</vt:lpstr>
      <vt:lpstr>山林所得_NetIncome_JPY</vt:lpstr>
      <vt:lpstr>山林所得_Payer</vt:lpstr>
      <vt:lpstr>山林所得_Sale_Date</vt:lpstr>
      <vt:lpstr>山林所得_Sale_Rate</vt:lpstr>
      <vt:lpstr>山林所得_Sale_RateType</vt:lpstr>
      <vt:lpstr>山林所得_Saledate</vt:lpstr>
      <vt:lpstr>山林所得_Title</vt:lpstr>
      <vt:lpstr>山林所得_USTax_FX</vt:lpstr>
      <vt:lpstr>山林所得_USTax_JPY</vt:lpstr>
      <vt:lpstr>山林所得_USTax_Rate</vt:lpstr>
      <vt:lpstr>山林所得_USTax_RateType</vt:lpstr>
      <vt:lpstr>山林所得_Year</vt:lpstr>
      <vt:lpstr>事業所得_AcquisitionDate</vt:lpstr>
      <vt:lpstr>事業所得_Amount_FX</vt:lpstr>
      <vt:lpstr>事業所得_Amount_JPY</vt:lpstr>
      <vt:lpstr>事業所得_AmountJPY</vt:lpstr>
      <vt:lpstr>事業所得_Area</vt:lpstr>
      <vt:lpstr>事業所得_Broker</vt:lpstr>
      <vt:lpstr>事業所得_Category</vt:lpstr>
      <vt:lpstr>事業所得_Cost_FX</vt:lpstr>
      <vt:lpstr>事業所得_Cost_JPY</vt:lpstr>
      <vt:lpstr>事業所得_Cost_Rate</vt:lpstr>
      <vt:lpstr>事業所得_Cost_RateType</vt:lpstr>
      <vt:lpstr>事業所得_Country</vt:lpstr>
      <vt:lpstr>事業所得_Description</vt:lpstr>
      <vt:lpstr>事業所得_Expense_FX</vt:lpstr>
      <vt:lpstr>事業所得_Expense_JPY</vt:lpstr>
      <vt:lpstr>事業所得_Expense_Rate</vt:lpstr>
      <vt:lpstr>事業所得_Expense_RateType</vt:lpstr>
      <vt:lpstr>事業所得_ForeignTax_FX</vt:lpstr>
      <vt:lpstr>事業所得_ForeignTax_JPY</vt:lpstr>
      <vt:lpstr>事業所得_ForeignTax_Rate</vt:lpstr>
      <vt:lpstr>事業所得_ForeignTax_RateType</vt:lpstr>
      <vt:lpstr>事業所得_Form</vt:lpstr>
      <vt:lpstr>事業所得_FTC</vt:lpstr>
      <vt:lpstr>事業所得_JPTax_FX</vt:lpstr>
      <vt:lpstr>事業所得_JPTax_JPY</vt:lpstr>
      <vt:lpstr>事業所得_JPTax_Rate</vt:lpstr>
      <vt:lpstr>事業所得_JPTax_RateType</vt:lpstr>
      <vt:lpstr>事業所得_Line</vt:lpstr>
      <vt:lpstr>事業所得_NetIncome_FX</vt:lpstr>
      <vt:lpstr>事業所得_NetIncome_JPY</vt:lpstr>
      <vt:lpstr>事業所得_Payer</vt:lpstr>
      <vt:lpstr>事業所得_Sale_Date</vt:lpstr>
      <vt:lpstr>事業所得_Sale_Rate</vt:lpstr>
      <vt:lpstr>事業所得_Sale_RateType</vt:lpstr>
      <vt:lpstr>事業所得_Saledate</vt:lpstr>
      <vt:lpstr>事業所得_Title</vt:lpstr>
      <vt:lpstr>事業所得_USTax_FX</vt:lpstr>
      <vt:lpstr>事業所得_USTax_JPY</vt:lpstr>
      <vt:lpstr>事業所得_USTax_Rate</vt:lpstr>
      <vt:lpstr>事業所得_USTax_RateType</vt:lpstr>
      <vt:lpstr>事業所得_Year</vt:lpstr>
      <vt:lpstr>申告不要分_AcquisitionDate</vt:lpstr>
      <vt:lpstr>申告不要分_Amount_FX</vt:lpstr>
      <vt:lpstr>申告不要分_Amount_JPY</vt:lpstr>
      <vt:lpstr>申告不要分_AmountJPY</vt:lpstr>
      <vt:lpstr>申告不要分_Area</vt:lpstr>
      <vt:lpstr>申告不要分_Broker</vt:lpstr>
      <vt:lpstr>申告不要分_Category</vt:lpstr>
      <vt:lpstr>申告不要分_Cost_FX</vt:lpstr>
      <vt:lpstr>申告不要分_Cost_JPY</vt:lpstr>
      <vt:lpstr>申告不要分_Cost_Rate</vt:lpstr>
      <vt:lpstr>申告不要分_Cost_RateType</vt:lpstr>
      <vt:lpstr>申告不要分_Country</vt:lpstr>
      <vt:lpstr>申告不要分_Description</vt:lpstr>
      <vt:lpstr>申告不要分_Expense_FX</vt:lpstr>
      <vt:lpstr>申告不要分_Expense_JPY</vt:lpstr>
      <vt:lpstr>申告不要分_Expense_Rate</vt:lpstr>
      <vt:lpstr>申告不要分_Expense_RateType</vt:lpstr>
      <vt:lpstr>申告不要分_ForeignTax_FX</vt:lpstr>
      <vt:lpstr>申告不要分_ForeignTax_JPY</vt:lpstr>
      <vt:lpstr>申告不要分_ForeignTax_Rate</vt:lpstr>
      <vt:lpstr>申告不要分_ForeignTax_RateType</vt:lpstr>
      <vt:lpstr>申告不要分_Form</vt:lpstr>
      <vt:lpstr>申告不要分_FTC</vt:lpstr>
      <vt:lpstr>申告不要分_JPTax_FX</vt:lpstr>
      <vt:lpstr>申告不要分_JPTax_JPY</vt:lpstr>
      <vt:lpstr>申告不要分_JPTax_Rate</vt:lpstr>
      <vt:lpstr>申告不要分_JPTax_RateType</vt:lpstr>
      <vt:lpstr>申告不要分_Line</vt:lpstr>
      <vt:lpstr>申告不要分_NetIncome_FX</vt:lpstr>
      <vt:lpstr>申告不要分_NetIncome_JPY</vt:lpstr>
      <vt:lpstr>申告不要分_Payer</vt:lpstr>
      <vt:lpstr>申告不要分_Sale_Date</vt:lpstr>
      <vt:lpstr>申告不要分_Sale_Rate</vt:lpstr>
      <vt:lpstr>申告不要分_Sale_RateType</vt:lpstr>
      <vt:lpstr>申告不要分_Saledate</vt:lpstr>
      <vt:lpstr>申告不要分_Title</vt:lpstr>
      <vt:lpstr>申告不要分_USTax_FX</vt:lpstr>
      <vt:lpstr>申告不要分_USTax_JPY</vt:lpstr>
      <vt:lpstr>申告不要分_USTax_Rate</vt:lpstr>
      <vt:lpstr>申告不要分_USTax_RateType</vt:lpstr>
      <vt:lpstr>申告不要分_Year</vt:lpstr>
      <vt:lpstr>先物取引_AcquisitionDate</vt:lpstr>
      <vt:lpstr>先物取引_Amount_FX</vt:lpstr>
      <vt:lpstr>先物取引_Amount_JPY</vt:lpstr>
      <vt:lpstr>先物取引_AmountJPY</vt:lpstr>
      <vt:lpstr>先物取引_Area</vt:lpstr>
      <vt:lpstr>先物取引_Broker</vt:lpstr>
      <vt:lpstr>先物取引_Category</vt:lpstr>
      <vt:lpstr>先物取引_Cost_FX</vt:lpstr>
      <vt:lpstr>先物取引_Cost_JPY</vt:lpstr>
      <vt:lpstr>先物取引_Cost_Rate</vt:lpstr>
      <vt:lpstr>先物取引_Cost_RateType</vt:lpstr>
      <vt:lpstr>先物取引_Country</vt:lpstr>
      <vt:lpstr>先物取引_Description</vt:lpstr>
      <vt:lpstr>先物取引_Expense_FX</vt:lpstr>
      <vt:lpstr>先物取引_Expense_JPY</vt:lpstr>
      <vt:lpstr>先物取引_Expense_Rate</vt:lpstr>
      <vt:lpstr>先物取引_Expense_RateType</vt:lpstr>
      <vt:lpstr>先物取引_ForeignTax_FX</vt:lpstr>
      <vt:lpstr>先物取引_ForeignTax_JPY</vt:lpstr>
      <vt:lpstr>先物取引_ForeignTax_Rate</vt:lpstr>
      <vt:lpstr>先物取引_ForeignTax_RateType</vt:lpstr>
      <vt:lpstr>先物取引_Form</vt:lpstr>
      <vt:lpstr>先物取引_FTC</vt:lpstr>
      <vt:lpstr>先物取引_JPTax_FX</vt:lpstr>
      <vt:lpstr>先物取引_JPTax_JPY</vt:lpstr>
      <vt:lpstr>先物取引_JPTax_Rate</vt:lpstr>
      <vt:lpstr>先物取引_JPTax_RateType</vt:lpstr>
      <vt:lpstr>先物取引_Line</vt:lpstr>
      <vt:lpstr>先物取引_NetIncome_FX</vt:lpstr>
      <vt:lpstr>先物取引_NetIncome_JPY</vt:lpstr>
      <vt:lpstr>先物取引_Payer</vt:lpstr>
      <vt:lpstr>先物取引_Sale_Date</vt:lpstr>
      <vt:lpstr>先物取引_Sale_Rate</vt:lpstr>
      <vt:lpstr>先物取引_Sale_RateType</vt:lpstr>
      <vt:lpstr>先物取引_Saledate</vt:lpstr>
      <vt:lpstr>先物取引_Title</vt:lpstr>
      <vt:lpstr>先物取引_USTax_FX</vt:lpstr>
      <vt:lpstr>先物取引_USTax_JPY</vt:lpstr>
      <vt:lpstr>先物取引_USTax_Rate</vt:lpstr>
      <vt:lpstr>先物取引_USTax_RateType</vt:lpstr>
      <vt:lpstr>先物取引_Year</vt:lpstr>
      <vt:lpstr>総合譲渡_AcquisitionDate</vt:lpstr>
      <vt:lpstr>総合譲渡_Amount_FX</vt:lpstr>
      <vt:lpstr>総合譲渡_Amount_JPY</vt:lpstr>
      <vt:lpstr>総合譲渡_AmountJPY</vt:lpstr>
      <vt:lpstr>総合譲渡_Area</vt:lpstr>
      <vt:lpstr>総合譲渡_Broker</vt:lpstr>
      <vt:lpstr>総合譲渡_Category</vt:lpstr>
      <vt:lpstr>総合譲渡_Cost_FX</vt:lpstr>
      <vt:lpstr>総合譲渡_Cost_JPY</vt:lpstr>
      <vt:lpstr>総合譲渡_Cost_Rate</vt:lpstr>
      <vt:lpstr>総合譲渡_Cost_RateType</vt:lpstr>
      <vt:lpstr>総合譲渡_Country</vt:lpstr>
      <vt:lpstr>総合譲渡_Description</vt:lpstr>
      <vt:lpstr>総合譲渡_Expense_FX</vt:lpstr>
      <vt:lpstr>総合譲渡_Expense_JPY</vt:lpstr>
      <vt:lpstr>総合譲渡_Expense_Rate</vt:lpstr>
      <vt:lpstr>総合譲渡_Expense_RateType</vt:lpstr>
      <vt:lpstr>総合譲渡_ForeignTax_FX</vt:lpstr>
      <vt:lpstr>総合譲渡_ForeignTax_JPY</vt:lpstr>
      <vt:lpstr>総合譲渡_ForeignTax_Rate</vt:lpstr>
      <vt:lpstr>総合譲渡_ForeignTax_RateType</vt:lpstr>
      <vt:lpstr>総合譲渡_Form</vt:lpstr>
      <vt:lpstr>総合譲渡_FTC</vt:lpstr>
      <vt:lpstr>総合譲渡_JPTax_FX</vt:lpstr>
      <vt:lpstr>総合譲渡_JPTax_JPY</vt:lpstr>
      <vt:lpstr>総合譲渡_JPTax_Rate</vt:lpstr>
      <vt:lpstr>総合譲渡_JPTax_RateType</vt:lpstr>
      <vt:lpstr>総合譲渡_Line</vt:lpstr>
      <vt:lpstr>総合譲渡_NetIncome_FX</vt:lpstr>
      <vt:lpstr>総合譲渡_NetIncome_JPY</vt:lpstr>
      <vt:lpstr>総合譲渡_Payer</vt:lpstr>
      <vt:lpstr>総合譲渡_Sale_Date</vt:lpstr>
      <vt:lpstr>総合譲渡_Sale_Rate</vt:lpstr>
      <vt:lpstr>総合譲渡_Sale_RateType</vt:lpstr>
      <vt:lpstr>総合譲渡_Saledate</vt:lpstr>
      <vt:lpstr>総合譲渡_Title</vt:lpstr>
      <vt:lpstr>総合譲渡_USTax_FX</vt:lpstr>
      <vt:lpstr>総合譲渡_USTax_JPY</vt:lpstr>
      <vt:lpstr>総合譲渡_USTax_Rate</vt:lpstr>
      <vt:lpstr>総合譲渡_USTax_RateType</vt:lpstr>
      <vt:lpstr>総合譲渡_Year</vt:lpstr>
      <vt:lpstr>総合配当_AcquisitionDate</vt:lpstr>
      <vt:lpstr>総合配当_Amount_FX</vt:lpstr>
      <vt:lpstr>総合配当_Amount_JPY</vt:lpstr>
      <vt:lpstr>総合配当_AmountJPY</vt:lpstr>
      <vt:lpstr>総合配当_Area</vt:lpstr>
      <vt:lpstr>総合配当_Broker</vt:lpstr>
      <vt:lpstr>総合配当_Category</vt:lpstr>
      <vt:lpstr>総合配当_Cost_FX</vt:lpstr>
      <vt:lpstr>総合配当_Cost_JPY</vt:lpstr>
      <vt:lpstr>総合配当_Cost_Rate</vt:lpstr>
      <vt:lpstr>総合配当_Cost_RateType</vt:lpstr>
      <vt:lpstr>総合配当_Country</vt:lpstr>
      <vt:lpstr>総合配当_Description</vt:lpstr>
      <vt:lpstr>総合配当_Expense_FX</vt:lpstr>
      <vt:lpstr>総合配当_Expense_JPY</vt:lpstr>
      <vt:lpstr>総合配当_Expense_Rate</vt:lpstr>
      <vt:lpstr>総合配当_Expense_RateType</vt:lpstr>
      <vt:lpstr>総合配当_ForeignTax_FX</vt:lpstr>
      <vt:lpstr>総合配当_ForeignTax_JPY</vt:lpstr>
      <vt:lpstr>総合配当_ForeignTax_Rate</vt:lpstr>
      <vt:lpstr>総合配当_ForeignTax_RateType</vt:lpstr>
      <vt:lpstr>総合配当_Form</vt:lpstr>
      <vt:lpstr>総合配当_FTC</vt:lpstr>
      <vt:lpstr>総合配当_JPTax_FX</vt:lpstr>
      <vt:lpstr>総合配当_JPTax_JPY</vt:lpstr>
      <vt:lpstr>総合配当_JPTax_Rate</vt:lpstr>
      <vt:lpstr>総合配当_JPTax_RateType</vt:lpstr>
      <vt:lpstr>総合配当_Line</vt:lpstr>
      <vt:lpstr>総合配当_NetIncome_FX</vt:lpstr>
      <vt:lpstr>総合配当_NetIncome_JPY</vt:lpstr>
      <vt:lpstr>総合配当_Payer</vt:lpstr>
      <vt:lpstr>総合配当_Sale_Date</vt:lpstr>
      <vt:lpstr>総合配当_Sale_Rate</vt:lpstr>
      <vt:lpstr>総合配当_Sale_RateType</vt:lpstr>
      <vt:lpstr>総合配当_Saledate</vt:lpstr>
      <vt:lpstr>総合配当_Title</vt:lpstr>
      <vt:lpstr>総合配当_USTax_FX</vt:lpstr>
      <vt:lpstr>総合配当_USTax_JPY</vt:lpstr>
      <vt:lpstr>総合配当_USTax_Rate</vt:lpstr>
      <vt:lpstr>総合配当_USTax_RateType</vt:lpstr>
      <vt:lpstr>総合配当_Year</vt:lpstr>
      <vt:lpstr>退職所得_AcquisitionDate</vt:lpstr>
      <vt:lpstr>退職所得_Amount_FX</vt:lpstr>
      <vt:lpstr>退職所得_Amount_JPY</vt:lpstr>
      <vt:lpstr>退職所得_AmountJPY</vt:lpstr>
      <vt:lpstr>退職所得_Area</vt:lpstr>
      <vt:lpstr>退職所得_Broker</vt:lpstr>
      <vt:lpstr>退職所得_Category</vt:lpstr>
      <vt:lpstr>退職所得_Cost_FX</vt:lpstr>
      <vt:lpstr>退職所得_Cost_JPY</vt:lpstr>
      <vt:lpstr>退職所得_Cost_Rate</vt:lpstr>
      <vt:lpstr>退職所得_Cost_RateType</vt:lpstr>
      <vt:lpstr>退職所得_Country</vt:lpstr>
      <vt:lpstr>退職所得_Description</vt:lpstr>
      <vt:lpstr>退職所得_Expense_FX</vt:lpstr>
      <vt:lpstr>退職所得_Expense_JPY</vt:lpstr>
      <vt:lpstr>退職所得_Expense_Rate</vt:lpstr>
      <vt:lpstr>退職所得_Expense_RateType</vt:lpstr>
      <vt:lpstr>退職所得_ForeignTax_FX</vt:lpstr>
      <vt:lpstr>退職所得_ForeignTax_JPY</vt:lpstr>
      <vt:lpstr>退職所得_ForeignTax_Rate</vt:lpstr>
      <vt:lpstr>退職所得_ForeignTax_RateType</vt:lpstr>
      <vt:lpstr>退職所得_Form</vt:lpstr>
      <vt:lpstr>退職所得_FTC</vt:lpstr>
      <vt:lpstr>退職所得_JPTax_FX</vt:lpstr>
      <vt:lpstr>退職所得_JPTax_JPY</vt:lpstr>
      <vt:lpstr>退職所得_JPTax_Rate</vt:lpstr>
      <vt:lpstr>退職所得_JPTax_RateType</vt:lpstr>
      <vt:lpstr>退職所得_Line</vt:lpstr>
      <vt:lpstr>退職所得_NetIncome_FX</vt:lpstr>
      <vt:lpstr>退職所得_NetIncome_JPY</vt:lpstr>
      <vt:lpstr>退職所得_Payer</vt:lpstr>
      <vt:lpstr>退職所得_Sale_Date</vt:lpstr>
      <vt:lpstr>退職所得_Sale_Rate</vt:lpstr>
      <vt:lpstr>退職所得_Sale_RateType</vt:lpstr>
      <vt:lpstr>退職所得_Saledate</vt:lpstr>
      <vt:lpstr>退職所得_Title</vt:lpstr>
      <vt:lpstr>退職所得_USTax_FX</vt:lpstr>
      <vt:lpstr>退職所得_USTax_JPY</vt:lpstr>
      <vt:lpstr>退職所得_USTax_Rate</vt:lpstr>
      <vt:lpstr>退職所得_USTax_RateType</vt:lpstr>
      <vt:lpstr>退職所得_Year</vt:lpstr>
      <vt:lpstr>不動産所得_AcquisitionDate</vt:lpstr>
      <vt:lpstr>不動産所得_Amount_FX</vt:lpstr>
      <vt:lpstr>不動産所得_Amount_JPY</vt:lpstr>
      <vt:lpstr>不動産所得_AmountJPY</vt:lpstr>
      <vt:lpstr>不動産所得_Area</vt:lpstr>
      <vt:lpstr>不動産所得_Broker</vt:lpstr>
      <vt:lpstr>不動産所得_Category</vt:lpstr>
      <vt:lpstr>不動産所得_Cost_FX</vt:lpstr>
      <vt:lpstr>不動産所得_Cost_JPY</vt:lpstr>
      <vt:lpstr>不動産所得_Cost_Rate</vt:lpstr>
      <vt:lpstr>不動産所得_Cost_RateType</vt:lpstr>
      <vt:lpstr>不動産所得_Country</vt:lpstr>
      <vt:lpstr>不動産所得_Description</vt:lpstr>
      <vt:lpstr>不動産所得_Expense_FX</vt:lpstr>
      <vt:lpstr>不動産所得_Expense_JPY</vt:lpstr>
      <vt:lpstr>不動産所得_Expense_Rate</vt:lpstr>
      <vt:lpstr>不動産所得_Expense_RateType</vt:lpstr>
      <vt:lpstr>不動産所得_ForeignTax_FX</vt:lpstr>
      <vt:lpstr>不動産所得_ForeignTax_JPY</vt:lpstr>
      <vt:lpstr>不動産所得_ForeignTax_Rate</vt:lpstr>
      <vt:lpstr>不動産所得_ForeignTax_RateType</vt:lpstr>
      <vt:lpstr>不動産所得_Form</vt:lpstr>
      <vt:lpstr>不動産所得_FTC</vt:lpstr>
      <vt:lpstr>不動産所得_JPTax_FX</vt:lpstr>
      <vt:lpstr>不動産所得_JPTax_JPY</vt:lpstr>
      <vt:lpstr>不動産所得_JPTax_Rate</vt:lpstr>
      <vt:lpstr>不動産所得_JPTax_RateType</vt:lpstr>
      <vt:lpstr>不動産所得_Line</vt:lpstr>
      <vt:lpstr>不動産所得_NetIncome_FX</vt:lpstr>
      <vt:lpstr>不動産所得_NetIncome_JPY</vt:lpstr>
      <vt:lpstr>不動産所得_Payer</vt:lpstr>
      <vt:lpstr>不動産所得_Sale_Date</vt:lpstr>
      <vt:lpstr>不動産所得_Sale_Rate</vt:lpstr>
      <vt:lpstr>不動産所得_Sale_RateType</vt:lpstr>
      <vt:lpstr>不動産所得_Saledate</vt:lpstr>
      <vt:lpstr>不動産所得_Title</vt:lpstr>
      <vt:lpstr>不動産所得_USTax_FX</vt:lpstr>
      <vt:lpstr>不動産所得_USTax_JPY</vt:lpstr>
      <vt:lpstr>不動産所得_USTax_Rate</vt:lpstr>
      <vt:lpstr>不動産所得_USTax_RateType</vt:lpstr>
      <vt:lpstr>不動産所得_Year</vt:lpstr>
      <vt:lpstr>分離株式譲渡_AcquisitionDate</vt:lpstr>
      <vt:lpstr>分離株式譲渡_Amount_FX</vt:lpstr>
      <vt:lpstr>分離株式譲渡_Amount_JPY</vt:lpstr>
      <vt:lpstr>分離株式譲渡_AmountJPY</vt:lpstr>
      <vt:lpstr>分離株式譲渡_Area</vt:lpstr>
      <vt:lpstr>分離株式譲渡_Broker</vt:lpstr>
      <vt:lpstr>分離株式譲渡_Category</vt:lpstr>
      <vt:lpstr>分離株式譲渡_Cost_FX</vt:lpstr>
      <vt:lpstr>分離株式譲渡_Cost_JPY</vt:lpstr>
      <vt:lpstr>分離株式譲渡_Cost_Rate</vt:lpstr>
      <vt:lpstr>分離株式譲渡_Cost_RateType</vt:lpstr>
      <vt:lpstr>分離株式譲渡_Country</vt:lpstr>
      <vt:lpstr>分離株式譲渡_Description</vt:lpstr>
      <vt:lpstr>分離株式譲渡_Expense_FX</vt:lpstr>
      <vt:lpstr>分離株式譲渡_Expense_JPY</vt:lpstr>
      <vt:lpstr>分離株式譲渡_Expense_Rate</vt:lpstr>
      <vt:lpstr>分離株式譲渡_Expense_RateType</vt:lpstr>
      <vt:lpstr>分離株式譲渡_ForeignTax_FX</vt:lpstr>
      <vt:lpstr>分離株式譲渡_ForeignTax_JPY</vt:lpstr>
      <vt:lpstr>分離株式譲渡_ForeignTax_Rate</vt:lpstr>
      <vt:lpstr>分離株式譲渡_ForeignTax_RateType</vt:lpstr>
      <vt:lpstr>分離株式譲渡_Form</vt:lpstr>
      <vt:lpstr>分離株式譲渡_FTC</vt:lpstr>
      <vt:lpstr>分離株式譲渡_JPTax_FX</vt:lpstr>
      <vt:lpstr>分離株式譲渡_JPTax_JPY</vt:lpstr>
      <vt:lpstr>分離株式譲渡_JPTax_Rate</vt:lpstr>
      <vt:lpstr>分離株式譲渡_JPTax_RateType</vt:lpstr>
      <vt:lpstr>分離株式譲渡_Line</vt:lpstr>
      <vt:lpstr>分離株式譲渡_NetIncome_FX</vt:lpstr>
      <vt:lpstr>分離株式譲渡_NetIncome_JPY</vt:lpstr>
      <vt:lpstr>分離株式譲渡_Payer</vt:lpstr>
      <vt:lpstr>分離株式譲渡_Sale_Date</vt:lpstr>
      <vt:lpstr>分離株式譲渡_Sale_Rate</vt:lpstr>
      <vt:lpstr>分離株式譲渡_Sale_RateType</vt:lpstr>
      <vt:lpstr>分離株式譲渡_Saledate</vt:lpstr>
      <vt:lpstr>分離株式譲渡_Title</vt:lpstr>
      <vt:lpstr>分離株式譲渡_USTax_FX</vt:lpstr>
      <vt:lpstr>分離株式譲渡_USTax_JPY</vt:lpstr>
      <vt:lpstr>分離株式譲渡_USTax_Rate</vt:lpstr>
      <vt:lpstr>分離株式譲渡_USTax_RateType</vt:lpstr>
      <vt:lpstr>分離株式譲渡_Year</vt:lpstr>
      <vt:lpstr>分離譲渡_AcquisitionDate</vt:lpstr>
      <vt:lpstr>分離譲渡_Amount_FX</vt:lpstr>
      <vt:lpstr>分離譲渡_Amount_JPY</vt:lpstr>
      <vt:lpstr>分離譲渡_AmountJPY</vt:lpstr>
      <vt:lpstr>分離譲渡_Area</vt:lpstr>
      <vt:lpstr>分離譲渡_Broker</vt:lpstr>
      <vt:lpstr>分離譲渡_Category</vt:lpstr>
      <vt:lpstr>分離譲渡_Cost_FX</vt:lpstr>
      <vt:lpstr>分離譲渡_Cost_JPY</vt:lpstr>
      <vt:lpstr>分離譲渡_Cost_Rate</vt:lpstr>
      <vt:lpstr>分離譲渡_Cost_RateType</vt:lpstr>
      <vt:lpstr>分離譲渡_Country</vt:lpstr>
      <vt:lpstr>分離譲渡_Description</vt:lpstr>
      <vt:lpstr>分離譲渡_Expense_FX</vt:lpstr>
      <vt:lpstr>分離譲渡_Expense_JPY</vt:lpstr>
      <vt:lpstr>分離譲渡_Expense_Rate</vt:lpstr>
      <vt:lpstr>分離譲渡_Expense_RateType</vt:lpstr>
      <vt:lpstr>分離譲渡_ForeignTax_FX</vt:lpstr>
      <vt:lpstr>分離譲渡_ForeignTax_JPY</vt:lpstr>
      <vt:lpstr>分離譲渡_ForeignTax_Rate</vt:lpstr>
      <vt:lpstr>分離譲渡_ForeignTax_RateType</vt:lpstr>
      <vt:lpstr>分離譲渡_Form</vt:lpstr>
      <vt:lpstr>分離譲渡_FTC</vt:lpstr>
      <vt:lpstr>分離譲渡_JPTax_FX</vt:lpstr>
      <vt:lpstr>分離譲渡_JPTax_JPY</vt:lpstr>
      <vt:lpstr>分離譲渡_JPTax_Rate</vt:lpstr>
      <vt:lpstr>分離譲渡_JPTax_RateType</vt:lpstr>
      <vt:lpstr>分離譲渡_Line</vt:lpstr>
      <vt:lpstr>分離譲渡_NetIncome_FX</vt:lpstr>
      <vt:lpstr>分離譲渡_NetIncome_JPY</vt:lpstr>
      <vt:lpstr>分離譲渡_Payer</vt:lpstr>
      <vt:lpstr>分離譲渡_Sale_Date</vt:lpstr>
      <vt:lpstr>分離譲渡_Sale_Rate</vt:lpstr>
      <vt:lpstr>分離譲渡_Sale_RateType</vt:lpstr>
      <vt:lpstr>分離譲渡_Saledate</vt:lpstr>
      <vt:lpstr>分離譲渡_Title</vt:lpstr>
      <vt:lpstr>分離譲渡_USTax_FX</vt:lpstr>
      <vt:lpstr>分離譲渡_USTax_JPY</vt:lpstr>
      <vt:lpstr>分離譲渡_USTax_Rate</vt:lpstr>
      <vt:lpstr>分離譲渡_USTax_RateType</vt:lpstr>
      <vt:lpstr>分離譲渡_Year</vt:lpstr>
      <vt:lpstr>分離配当_AcquisitionDate</vt:lpstr>
      <vt:lpstr>分離配当_Amount_FX</vt:lpstr>
      <vt:lpstr>分離配当_Amount_JPY</vt:lpstr>
      <vt:lpstr>分離配当_AmountJPY</vt:lpstr>
      <vt:lpstr>分離配当_Area</vt:lpstr>
      <vt:lpstr>分離配当_Broker</vt:lpstr>
      <vt:lpstr>分離配当_Category</vt:lpstr>
      <vt:lpstr>分離配当_Cost_FX</vt:lpstr>
      <vt:lpstr>分離配当_Cost_JPY</vt:lpstr>
      <vt:lpstr>分離配当_Cost_Rate</vt:lpstr>
      <vt:lpstr>分離配当_Cost_RateType</vt:lpstr>
      <vt:lpstr>分離配当_Country</vt:lpstr>
      <vt:lpstr>分離配当_Description</vt:lpstr>
      <vt:lpstr>分離配当_Expense_FX</vt:lpstr>
      <vt:lpstr>分離配当_Expense_JPY</vt:lpstr>
      <vt:lpstr>分離配当_Expense_Rate</vt:lpstr>
      <vt:lpstr>分離配当_Expense_RateType</vt:lpstr>
      <vt:lpstr>分離配当_ForeignTax_FX</vt:lpstr>
      <vt:lpstr>分離配当_ForeignTax_JPY</vt:lpstr>
      <vt:lpstr>分離配当_ForeignTax_Rate</vt:lpstr>
      <vt:lpstr>分離配当_ForeignTax_RateType</vt:lpstr>
      <vt:lpstr>分離配当_Form</vt:lpstr>
      <vt:lpstr>分離配当_FTC</vt:lpstr>
      <vt:lpstr>分離配当_JPTax_FX</vt:lpstr>
      <vt:lpstr>分離配当_JPTax_JPY</vt:lpstr>
      <vt:lpstr>分離配当_JPTax_Rate</vt:lpstr>
      <vt:lpstr>分離配当_JPTax_RateType</vt:lpstr>
      <vt:lpstr>分離配当_Line</vt:lpstr>
      <vt:lpstr>分離配当_NetIncome_FX</vt:lpstr>
      <vt:lpstr>分離配当_NetIncome_JPY</vt:lpstr>
      <vt:lpstr>分離配当_Payer</vt:lpstr>
      <vt:lpstr>分離配当_Sale_Date</vt:lpstr>
      <vt:lpstr>分離配当_Sale_Rate</vt:lpstr>
      <vt:lpstr>分離配当_Sale_RateType</vt:lpstr>
      <vt:lpstr>分離配当_Saledate</vt:lpstr>
      <vt:lpstr>分離配当_Title</vt:lpstr>
      <vt:lpstr>分離配当_USTax_FX</vt:lpstr>
      <vt:lpstr>分離配当_USTax_JPY</vt:lpstr>
      <vt:lpstr>分離配当_USTax_Rate</vt:lpstr>
      <vt:lpstr>分離配当_USTax_RateType</vt:lpstr>
      <vt:lpstr>分離配当_Year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中嶋税理士事務所</dc:creator>
  <cp:lastModifiedBy>哲朗 田中</cp:lastModifiedBy>
  <cp:lastPrinted>2026-04-08T23:51:51Z</cp:lastPrinted>
  <dcterms:created xsi:type="dcterms:W3CDTF">2015-06-05T18:19:34Z</dcterms:created>
  <dcterms:modified xsi:type="dcterms:W3CDTF">2026-10-27T22:20:51Z</dcterms:modified>
</cp:coreProperties>
</file>